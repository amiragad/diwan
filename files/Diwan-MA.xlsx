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5c19abd779233f0/Documents/"/>
    </mc:Choice>
  </mc:AlternateContent>
  <xr:revisionPtr revIDLastSave="2407" documentId="8_{028F6AE3-71DC-4A83-B819-2ABD0B107EF3}" xr6:coauthVersionLast="47" xr6:coauthVersionMax="47" xr10:uidLastSave="{E1600825-C39E-4D91-870F-32DBBDED4DC3}"/>
  <bookViews>
    <workbookView xWindow="-110" yWindow="-110" windowWidth="19420" windowHeight="10300" firstSheet="2" activeTab="4" xr2:uid="{CD51F724-5CC6-4A0C-9992-F80B0FE01B27}"/>
  </bookViews>
  <sheets>
    <sheet name="Products" sheetId="2" r:id="rId1"/>
    <sheet name="Website Content Guide" sheetId="3" r:id="rId2"/>
    <sheet name="Website Copy" sheetId="4" r:id="rId3"/>
    <sheet name="Website Gap Review" sheetId="5" r:id="rId4"/>
    <sheet name="Website Launch Control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41" i="5" l="1"/>
  <c r="E25" i="5"/>
  <c r="C25" i="5"/>
  <c r="G128" i="4"/>
  <c r="G127" i="4"/>
  <c r="G126" i="4"/>
  <c r="G125" i="4"/>
  <c r="G124" i="4"/>
  <c r="G123" i="4"/>
  <c r="G122" i="4"/>
  <c r="G121" i="4"/>
  <c r="G120" i="4"/>
  <c r="G119" i="4"/>
  <c r="G118" i="4"/>
  <c r="G117" i="4"/>
  <c r="G116" i="4"/>
  <c r="G19" i="3"/>
  <c r="G16" i="3"/>
  <c r="G15" i="3"/>
  <c r="D145" i="6"/>
  <c r="G18" i="3"/>
  <c r="D40" i="5"/>
  <c r="D39" i="5"/>
  <c r="D38" i="5"/>
  <c r="C32" i="5"/>
  <c r="C24" i="5"/>
  <c r="C23" i="5"/>
  <c r="D22" i="5"/>
  <c r="C22" i="5"/>
  <c r="C21" i="5"/>
  <c r="B16" i="5"/>
  <c r="B13" i="5"/>
  <c r="C12" i="5"/>
  <c r="H10" i="5"/>
  <c r="B10" i="5"/>
  <c r="H9" i="5"/>
  <c r="B9" i="5"/>
  <c r="H8" i="5"/>
  <c r="B7" i="5"/>
  <c r="B6" i="5"/>
  <c r="D141" i="6"/>
  <c r="D140" i="6"/>
  <c r="D139" i="6"/>
  <c r="D138" i="6"/>
  <c r="D137" i="6"/>
  <c r="G14" i="3"/>
  <c r="G13" i="3"/>
  <c r="G12" i="3"/>
  <c r="G11" i="3"/>
  <c r="G10" i="3"/>
  <c r="E516" i="5"/>
  <c r="F516" i="5"/>
  <c r="G516" i="5"/>
  <c r="H516" i="5"/>
  <c r="E517" i="5"/>
  <c r="F517" i="5"/>
  <c r="G517" i="5"/>
  <c r="H517" i="5"/>
  <c r="E518" i="5"/>
  <c r="F518" i="5"/>
  <c r="G518" i="5"/>
  <c r="H518" i="5"/>
  <c r="E519" i="5"/>
  <c r="F519" i="5"/>
  <c r="G519" i="5"/>
  <c r="H519" i="5"/>
  <c r="E520" i="5"/>
  <c r="F520" i="5"/>
  <c r="G520" i="5"/>
  <c r="H520" i="5"/>
  <c r="E521" i="5"/>
  <c r="F521" i="5"/>
  <c r="G521" i="5"/>
  <c r="H521" i="5"/>
  <c r="E522" i="5"/>
  <c r="F522" i="5"/>
  <c r="G522" i="5"/>
  <c r="H522" i="5"/>
  <c r="E523" i="5"/>
  <c r="F523" i="5"/>
  <c r="G523" i="5"/>
  <c r="H523" i="5"/>
  <c r="E524" i="5"/>
  <c r="F524" i="5"/>
  <c r="G524" i="5"/>
  <c r="H524" i="5"/>
  <c r="E525" i="5"/>
  <c r="F525" i="5"/>
  <c r="G525" i="5"/>
  <c r="H525" i="5"/>
  <c r="E526" i="5"/>
  <c r="F526" i="5"/>
  <c r="G526" i="5"/>
  <c r="H526" i="5"/>
  <c r="E527" i="5"/>
  <c r="F527" i="5"/>
  <c r="G527" i="5"/>
  <c r="H527" i="5"/>
  <c r="E528" i="5"/>
  <c r="F528" i="5"/>
  <c r="G528" i="5"/>
  <c r="H528" i="5"/>
  <c r="E529" i="5"/>
  <c r="F529" i="5"/>
  <c r="G529" i="5"/>
  <c r="H529" i="5"/>
  <c r="E530" i="5"/>
  <c r="F530" i="5"/>
  <c r="G530" i="5"/>
  <c r="H530" i="5"/>
  <c r="E531" i="5"/>
  <c r="F531" i="5"/>
  <c r="G531" i="5"/>
  <c r="H531" i="5"/>
  <c r="E532" i="5"/>
  <c r="F532" i="5"/>
  <c r="G532" i="5"/>
  <c r="H532" i="5"/>
  <c r="E533" i="5"/>
  <c r="F533" i="5"/>
  <c r="G533" i="5"/>
  <c r="H533" i="5"/>
  <c r="E534" i="5"/>
  <c r="F534" i="5"/>
  <c r="G534" i="5"/>
  <c r="H534" i="5"/>
  <c r="E535" i="5"/>
  <c r="F535" i="5"/>
  <c r="G535" i="5"/>
  <c r="H535" i="5"/>
  <c r="E536" i="5"/>
  <c r="F536" i="5"/>
  <c r="G536" i="5"/>
  <c r="H536" i="5"/>
  <c r="E537" i="5"/>
  <c r="F537" i="5"/>
  <c r="G537" i="5"/>
  <c r="H537" i="5"/>
  <c r="E538" i="5"/>
  <c r="F538" i="5"/>
  <c r="G538" i="5"/>
  <c r="H538" i="5"/>
  <c r="E539" i="5"/>
  <c r="F539" i="5"/>
  <c r="G539" i="5"/>
  <c r="H539" i="5"/>
  <c r="E540" i="5"/>
  <c r="F540" i="5"/>
  <c r="G540" i="5"/>
  <c r="H540" i="5"/>
  <c r="E541" i="5"/>
  <c r="F541" i="5"/>
  <c r="G541" i="5"/>
  <c r="H541" i="5"/>
  <c r="E542" i="5"/>
  <c r="F542" i="5"/>
  <c r="G542" i="5"/>
  <c r="H542" i="5"/>
  <c r="E543" i="5"/>
  <c r="F543" i="5"/>
  <c r="G543" i="5"/>
  <c r="H543" i="5"/>
  <c r="E544" i="5"/>
  <c r="F544" i="5"/>
  <c r="G544" i="5"/>
  <c r="H544" i="5"/>
  <c r="E545" i="5"/>
  <c r="F545" i="5"/>
  <c r="G545" i="5"/>
  <c r="H545" i="5"/>
  <c r="E546" i="5"/>
  <c r="F546" i="5"/>
  <c r="G546" i="5"/>
  <c r="H546" i="5"/>
  <c r="E547" i="5"/>
  <c r="F547" i="5"/>
  <c r="G547" i="5"/>
  <c r="H547" i="5"/>
  <c r="E548" i="5"/>
  <c r="F548" i="5"/>
  <c r="G548" i="5"/>
  <c r="H548" i="5"/>
  <c r="E549" i="5"/>
  <c r="F549" i="5"/>
  <c r="G549" i="5"/>
  <c r="H549" i="5"/>
  <c r="E550" i="5"/>
  <c r="F550" i="5"/>
  <c r="G550" i="5"/>
  <c r="H550" i="5"/>
  <c r="E551" i="5"/>
  <c r="F551" i="5"/>
  <c r="G551" i="5"/>
  <c r="H551" i="5"/>
  <c r="E552" i="5"/>
  <c r="F552" i="5"/>
  <c r="G552" i="5"/>
  <c r="H552" i="5"/>
  <c r="E553" i="5"/>
  <c r="F553" i="5"/>
  <c r="G553" i="5"/>
  <c r="H553" i="5"/>
  <c r="E554" i="5"/>
  <c r="F554" i="5"/>
  <c r="G554" i="5"/>
  <c r="H554" i="5"/>
  <c r="E555" i="5"/>
  <c r="F555" i="5"/>
  <c r="G555" i="5"/>
  <c r="H555" i="5"/>
  <c r="E556" i="5"/>
  <c r="F556" i="5"/>
  <c r="G556" i="5"/>
  <c r="H556" i="5"/>
  <c r="E557" i="5"/>
  <c r="F557" i="5"/>
  <c r="G557" i="5"/>
  <c r="H557" i="5"/>
  <c r="E558" i="5"/>
  <c r="F558" i="5"/>
  <c r="G558" i="5"/>
  <c r="H558" i="5"/>
  <c r="E559" i="5"/>
  <c r="F559" i="5"/>
  <c r="G559" i="5"/>
  <c r="H559" i="5"/>
  <c r="E560" i="5"/>
  <c r="F560" i="5"/>
  <c r="G560" i="5"/>
  <c r="H560" i="5"/>
  <c r="E561" i="5"/>
  <c r="F561" i="5"/>
  <c r="G561" i="5"/>
  <c r="H561" i="5"/>
  <c r="E562" i="5"/>
  <c r="F562" i="5"/>
  <c r="G562" i="5"/>
  <c r="H562" i="5"/>
  <c r="E563" i="5"/>
  <c r="F563" i="5"/>
  <c r="G563" i="5"/>
  <c r="H563" i="5"/>
  <c r="E564" i="5"/>
  <c r="F564" i="5"/>
  <c r="G564" i="5"/>
  <c r="H564" i="5"/>
  <c r="E565" i="5"/>
  <c r="F565" i="5"/>
  <c r="G565" i="5"/>
  <c r="H565" i="5"/>
  <c r="E566" i="5"/>
  <c r="F566" i="5"/>
  <c r="G566" i="5"/>
  <c r="H566" i="5"/>
  <c r="E567" i="5"/>
  <c r="F567" i="5"/>
  <c r="G567" i="5"/>
  <c r="H567" i="5"/>
  <c r="E568" i="5"/>
  <c r="F568" i="5"/>
  <c r="G568" i="5"/>
  <c r="H568" i="5"/>
  <c r="E569" i="5"/>
  <c r="F569" i="5"/>
  <c r="G569" i="5"/>
  <c r="H569" i="5"/>
  <c r="E570" i="5"/>
  <c r="F570" i="5"/>
  <c r="G570" i="5"/>
  <c r="H570" i="5"/>
  <c r="E571" i="5"/>
  <c r="F571" i="5"/>
  <c r="G571" i="5"/>
  <c r="H571" i="5"/>
  <c r="E572" i="5"/>
  <c r="F572" i="5"/>
  <c r="G572" i="5"/>
  <c r="H572" i="5"/>
  <c r="E573" i="5"/>
  <c r="F573" i="5"/>
  <c r="G573" i="5"/>
  <c r="H573" i="5"/>
  <c r="E574" i="5"/>
  <c r="F574" i="5"/>
  <c r="G574" i="5"/>
  <c r="H574" i="5"/>
  <c r="E575" i="5"/>
  <c r="F575" i="5"/>
  <c r="G575" i="5"/>
  <c r="H575" i="5"/>
  <c r="E576" i="5"/>
  <c r="F576" i="5"/>
  <c r="G576" i="5"/>
  <c r="H576" i="5"/>
  <c r="E577" i="5"/>
  <c r="F577" i="5"/>
  <c r="G577" i="5"/>
  <c r="H577" i="5"/>
  <c r="E578" i="5"/>
  <c r="F578" i="5"/>
  <c r="G578" i="5"/>
  <c r="H578" i="5"/>
  <c r="E579" i="5"/>
  <c r="F579" i="5"/>
  <c r="G579" i="5"/>
  <c r="H579" i="5"/>
  <c r="E580" i="5"/>
  <c r="F580" i="5"/>
  <c r="G580" i="5"/>
  <c r="H580" i="5"/>
  <c r="E581" i="5"/>
  <c r="F581" i="5"/>
  <c r="G581" i="5"/>
  <c r="H581" i="5"/>
  <c r="E582" i="5"/>
  <c r="F582" i="5"/>
  <c r="G582" i="5"/>
  <c r="H582" i="5"/>
  <c r="E583" i="5"/>
  <c r="F583" i="5"/>
  <c r="G583" i="5"/>
  <c r="H583" i="5"/>
  <c r="E584" i="5"/>
  <c r="F584" i="5"/>
  <c r="G584" i="5"/>
  <c r="H584" i="5"/>
  <c r="E585" i="5"/>
  <c r="F585" i="5"/>
  <c r="G585" i="5"/>
  <c r="H585" i="5"/>
  <c r="E586" i="5"/>
  <c r="F586" i="5"/>
  <c r="G586" i="5"/>
  <c r="H586" i="5"/>
  <c r="E587" i="5"/>
  <c r="F587" i="5"/>
  <c r="G587" i="5"/>
  <c r="H587" i="5"/>
  <c r="E588" i="5"/>
  <c r="F588" i="5"/>
  <c r="G588" i="5"/>
  <c r="H588" i="5"/>
  <c r="E589" i="5"/>
  <c r="F589" i="5"/>
  <c r="G589" i="5"/>
  <c r="H589" i="5"/>
  <c r="E590" i="5"/>
  <c r="F590" i="5"/>
  <c r="G590" i="5"/>
  <c r="H590" i="5"/>
  <c r="E591" i="5"/>
  <c r="F591" i="5"/>
  <c r="G591" i="5"/>
  <c r="H591" i="5"/>
  <c r="E592" i="5"/>
  <c r="F592" i="5"/>
  <c r="G592" i="5"/>
  <c r="H592" i="5"/>
  <c r="E593" i="5"/>
  <c r="F593" i="5"/>
  <c r="G593" i="5"/>
  <c r="H593" i="5"/>
  <c r="E594" i="5"/>
  <c r="F594" i="5"/>
  <c r="G594" i="5"/>
  <c r="H594" i="5"/>
  <c r="E595" i="5"/>
  <c r="F595" i="5"/>
  <c r="G595" i="5"/>
  <c r="H595" i="5"/>
  <c r="E596" i="5"/>
  <c r="F596" i="5"/>
  <c r="G596" i="5"/>
  <c r="H596" i="5"/>
  <c r="E597" i="5"/>
  <c r="F597" i="5"/>
  <c r="G597" i="5"/>
  <c r="H597" i="5"/>
  <c r="E598" i="5"/>
  <c r="F598" i="5"/>
  <c r="G598" i="5"/>
  <c r="H598" i="5"/>
  <c r="E599" i="5"/>
  <c r="F599" i="5"/>
  <c r="G599" i="5"/>
  <c r="H599" i="5"/>
  <c r="E600" i="5"/>
  <c r="F600" i="5"/>
  <c r="G600" i="5"/>
  <c r="H600" i="5"/>
  <c r="E601" i="5"/>
  <c r="F601" i="5"/>
  <c r="G601" i="5"/>
  <c r="H601" i="5"/>
  <c r="E602" i="5"/>
  <c r="F602" i="5"/>
  <c r="G602" i="5"/>
  <c r="H602" i="5"/>
  <c r="E603" i="5"/>
  <c r="F603" i="5"/>
  <c r="G603" i="5"/>
  <c r="H603" i="5"/>
  <c r="E604" i="5"/>
  <c r="F604" i="5"/>
  <c r="G604" i="5"/>
  <c r="H604" i="5"/>
  <c r="E605" i="5"/>
  <c r="F605" i="5"/>
  <c r="G605" i="5"/>
  <c r="H605" i="5"/>
  <c r="E606" i="5"/>
  <c r="F606" i="5"/>
  <c r="G606" i="5"/>
  <c r="H606" i="5"/>
  <c r="E607" i="5"/>
  <c r="F607" i="5"/>
  <c r="G607" i="5"/>
  <c r="H607" i="5"/>
  <c r="E608" i="5"/>
  <c r="F608" i="5"/>
  <c r="G608" i="5"/>
  <c r="H608" i="5"/>
  <c r="E609" i="5"/>
  <c r="F609" i="5"/>
  <c r="G609" i="5"/>
  <c r="H609" i="5"/>
  <c r="E610" i="5"/>
  <c r="F610" i="5"/>
  <c r="G610" i="5"/>
  <c r="H610" i="5"/>
  <c r="E611" i="5"/>
  <c r="F611" i="5"/>
  <c r="G611" i="5"/>
  <c r="H611" i="5"/>
  <c r="E612" i="5"/>
  <c r="F612" i="5"/>
  <c r="G612" i="5"/>
  <c r="H612" i="5"/>
  <c r="E613" i="5"/>
  <c r="F613" i="5"/>
  <c r="G613" i="5"/>
  <c r="H613" i="5"/>
  <c r="E614" i="5"/>
  <c r="F614" i="5"/>
  <c r="G614" i="5"/>
  <c r="H614" i="5"/>
  <c r="E615" i="5"/>
  <c r="F615" i="5"/>
  <c r="G615" i="5"/>
  <c r="H615" i="5"/>
  <c r="E616" i="5"/>
  <c r="F616" i="5"/>
  <c r="G616" i="5"/>
  <c r="H616" i="5"/>
  <c r="E617" i="5"/>
  <c r="F617" i="5"/>
  <c r="G617" i="5"/>
  <c r="H617" i="5"/>
  <c r="E618" i="5"/>
  <c r="F618" i="5"/>
  <c r="G618" i="5"/>
  <c r="H618" i="5"/>
  <c r="E619" i="5"/>
  <c r="F619" i="5"/>
  <c r="G619" i="5"/>
  <c r="H619" i="5"/>
  <c r="E620" i="5"/>
  <c r="F620" i="5"/>
  <c r="G620" i="5"/>
  <c r="H620" i="5"/>
  <c r="E621" i="5"/>
  <c r="F621" i="5"/>
  <c r="G621" i="5"/>
  <c r="H621" i="5"/>
  <c r="E622" i="5"/>
  <c r="F622" i="5"/>
  <c r="G622" i="5"/>
  <c r="H622" i="5"/>
  <c r="E623" i="5"/>
  <c r="F623" i="5"/>
  <c r="G623" i="5"/>
  <c r="H623" i="5"/>
  <c r="E624" i="5"/>
  <c r="F624" i="5"/>
  <c r="G624" i="5"/>
  <c r="H624" i="5"/>
  <c r="E625" i="5"/>
  <c r="F625" i="5"/>
  <c r="G625" i="5"/>
  <c r="H625" i="5"/>
  <c r="E626" i="5"/>
  <c r="F626" i="5"/>
  <c r="G626" i="5"/>
  <c r="H626" i="5"/>
  <c r="E627" i="5"/>
  <c r="F627" i="5"/>
  <c r="G627" i="5"/>
  <c r="H627" i="5"/>
  <c r="E628" i="5"/>
  <c r="F628" i="5"/>
  <c r="G628" i="5"/>
  <c r="H628" i="5"/>
  <c r="E629" i="5"/>
  <c r="F629" i="5"/>
  <c r="G629" i="5"/>
  <c r="H629" i="5"/>
  <c r="E630" i="5"/>
  <c r="F630" i="5"/>
  <c r="G630" i="5"/>
  <c r="H630" i="5"/>
  <c r="E631" i="5"/>
  <c r="F631" i="5"/>
  <c r="G631" i="5"/>
  <c r="H631" i="5"/>
  <c r="E632" i="5"/>
  <c r="F632" i="5"/>
  <c r="G632" i="5"/>
  <c r="H632" i="5"/>
  <c r="E633" i="5"/>
  <c r="F633" i="5"/>
  <c r="G633" i="5"/>
  <c r="H633" i="5"/>
  <c r="E634" i="5"/>
  <c r="F634" i="5"/>
  <c r="G634" i="5"/>
  <c r="H634" i="5"/>
  <c r="E635" i="5"/>
  <c r="F635" i="5"/>
  <c r="G635" i="5"/>
  <c r="H635" i="5"/>
  <c r="E636" i="5"/>
  <c r="F636" i="5"/>
  <c r="G636" i="5"/>
  <c r="H636" i="5"/>
  <c r="E637" i="5"/>
  <c r="F637" i="5"/>
  <c r="G637" i="5"/>
  <c r="H637" i="5"/>
  <c r="E638" i="5"/>
  <c r="F638" i="5"/>
  <c r="G638" i="5"/>
  <c r="H638" i="5"/>
  <c r="E639" i="5"/>
  <c r="F639" i="5"/>
  <c r="G639" i="5"/>
  <c r="H639" i="5"/>
  <c r="E640" i="5"/>
  <c r="F640" i="5"/>
  <c r="G640" i="5"/>
  <c r="H640" i="5"/>
  <c r="E641" i="5"/>
  <c r="F641" i="5"/>
  <c r="G641" i="5"/>
  <c r="H641" i="5"/>
  <c r="E642" i="5"/>
  <c r="F642" i="5"/>
  <c r="G642" i="5"/>
  <c r="H642" i="5"/>
  <c r="E643" i="5"/>
  <c r="F643" i="5"/>
  <c r="G643" i="5"/>
  <c r="H643" i="5"/>
  <c r="E644" i="5"/>
  <c r="F644" i="5"/>
  <c r="G644" i="5"/>
  <c r="H644" i="5"/>
  <c r="E645" i="5"/>
  <c r="F645" i="5"/>
  <c r="G645" i="5"/>
  <c r="H645" i="5"/>
  <c r="E646" i="5"/>
  <c r="F646" i="5"/>
  <c r="G646" i="5"/>
  <c r="H646" i="5"/>
  <c r="E647" i="5"/>
  <c r="F647" i="5"/>
  <c r="G647" i="5"/>
  <c r="H647" i="5"/>
  <c r="E648" i="5"/>
  <c r="F648" i="5"/>
  <c r="G648" i="5"/>
  <c r="H648" i="5"/>
  <c r="E649" i="5"/>
  <c r="F649" i="5"/>
  <c r="G649" i="5"/>
  <c r="H649" i="5"/>
  <c r="E650" i="5"/>
  <c r="F650" i="5"/>
  <c r="G650" i="5"/>
  <c r="H650" i="5"/>
  <c r="E651" i="5"/>
  <c r="F651" i="5"/>
  <c r="G651" i="5"/>
  <c r="H651" i="5"/>
  <c r="E652" i="5"/>
  <c r="F652" i="5"/>
  <c r="G652" i="5"/>
  <c r="H652" i="5"/>
  <c r="E653" i="5"/>
  <c r="F653" i="5"/>
  <c r="G653" i="5"/>
  <c r="H653" i="5"/>
  <c r="E654" i="5"/>
  <c r="F654" i="5"/>
  <c r="G654" i="5"/>
  <c r="H654" i="5"/>
  <c r="E655" i="5"/>
  <c r="F655" i="5"/>
  <c r="G655" i="5"/>
  <c r="H655" i="5"/>
  <c r="E656" i="5"/>
  <c r="F656" i="5"/>
  <c r="G656" i="5"/>
  <c r="H656" i="5"/>
  <c r="E657" i="5"/>
  <c r="F657" i="5"/>
  <c r="G657" i="5"/>
  <c r="H657" i="5"/>
  <c r="E658" i="5"/>
  <c r="F658" i="5"/>
  <c r="G658" i="5"/>
  <c r="H658" i="5"/>
  <c r="E659" i="5"/>
  <c r="F659" i="5"/>
  <c r="G659" i="5"/>
  <c r="H659" i="5"/>
  <c r="E660" i="5"/>
  <c r="F660" i="5"/>
  <c r="G660" i="5"/>
  <c r="H660" i="5"/>
  <c r="E661" i="5"/>
  <c r="F661" i="5"/>
  <c r="G661" i="5"/>
  <c r="H661" i="5"/>
  <c r="E662" i="5"/>
  <c r="F662" i="5"/>
  <c r="G662" i="5"/>
  <c r="H662" i="5"/>
  <c r="E663" i="5"/>
  <c r="F663" i="5"/>
  <c r="G663" i="5"/>
  <c r="H663" i="5"/>
  <c r="E664" i="5"/>
  <c r="F664" i="5"/>
  <c r="G664" i="5"/>
  <c r="H664" i="5"/>
  <c r="E141" i="5"/>
  <c r="F141" i="5"/>
  <c r="G141" i="5"/>
  <c r="H141" i="5"/>
  <c r="E142" i="5"/>
  <c r="F142" i="5"/>
  <c r="G142" i="5"/>
  <c r="H142" i="5"/>
  <c r="E143" i="5"/>
  <c r="F143" i="5"/>
  <c r="G143" i="5"/>
  <c r="H143" i="5"/>
  <c r="E144" i="5"/>
  <c r="F144" i="5"/>
  <c r="G144" i="5"/>
  <c r="H144" i="5"/>
  <c r="E145" i="5"/>
  <c r="F145" i="5"/>
  <c r="G145" i="5"/>
  <c r="H145" i="5"/>
  <c r="E146" i="5"/>
  <c r="F146" i="5"/>
  <c r="G146" i="5"/>
  <c r="H146" i="5"/>
  <c r="E147" i="5"/>
  <c r="F147" i="5"/>
  <c r="G147" i="5"/>
  <c r="H147" i="5"/>
  <c r="E148" i="5"/>
  <c r="F148" i="5"/>
  <c r="G148" i="5"/>
  <c r="H148" i="5"/>
  <c r="E149" i="5"/>
  <c r="F149" i="5"/>
  <c r="G149" i="5"/>
  <c r="H149" i="5"/>
  <c r="E150" i="5"/>
  <c r="F150" i="5"/>
  <c r="G150" i="5"/>
  <c r="H150" i="5"/>
  <c r="E151" i="5"/>
  <c r="F151" i="5"/>
  <c r="G151" i="5"/>
  <c r="H151" i="5"/>
  <c r="E152" i="5"/>
  <c r="F152" i="5"/>
  <c r="G152" i="5"/>
  <c r="H152" i="5"/>
  <c r="E153" i="5"/>
  <c r="F153" i="5"/>
  <c r="G153" i="5"/>
  <c r="H153" i="5"/>
  <c r="E154" i="5"/>
  <c r="F154" i="5"/>
  <c r="G154" i="5"/>
  <c r="H154" i="5"/>
  <c r="E155" i="5"/>
  <c r="F155" i="5"/>
  <c r="G155" i="5"/>
  <c r="H155" i="5"/>
  <c r="E156" i="5"/>
  <c r="F156" i="5"/>
  <c r="G156" i="5"/>
  <c r="H156" i="5"/>
  <c r="E157" i="5"/>
  <c r="F157" i="5"/>
  <c r="G157" i="5"/>
  <c r="H157" i="5"/>
  <c r="E158" i="5"/>
  <c r="F158" i="5"/>
  <c r="G158" i="5"/>
  <c r="H158" i="5"/>
  <c r="E159" i="5"/>
  <c r="F159" i="5"/>
  <c r="G159" i="5"/>
  <c r="H159" i="5"/>
  <c r="E160" i="5"/>
  <c r="F160" i="5"/>
  <c r="G160" i="5"/>
  <c r="H160" i="5"/>
  <c r="E161" i="5"/>
  <c r="F161" i="5"/>
  <c r="G161" i="5"/>
  <c r="H161" i="5"/>
  <c r="E162" i="5"/>
  <c r="F162" i="5"/>
  <c r="G162" i="5"/>
  <c r="H162" i="5"/>
  <c r="E163" i="5"/>
  <c r="F163" i="5"/>
  <c r="G163" i="5"/>
  <c r="H163" i="5"/>
  <c r="E164" i="5"/>
  <c r="F164" i="5"/>
  <c r="G164" i="5"/>
  <c r="H164" i="5"/>
  <c r="E165" i="5"/>
  <c r="F165" i="5"/>
  <c r="G165" i="5"/>
  <c r="H165" i="5"/>
  <c r="E166" i="5"/>
  <c r="F166" i="5"/>
  <c r="G166" i="5"/>
  <c r="H166" i="5"/>
  <c r="E167" i="5"/>
  <c r="F167" i="5"/>
  <c r="G167" i="5"/>
  <c r="H167" i="5"/>
  <c r="E168" i="5"/>
  <c r="F168" i="5"/>
  <c r="G168" i="5"/>
  <c r="H168" i="5"/>
  <c r="E169" i="5"/>
  <c r="F169" i="5"/>
  <c r="G169" i="5"/>
  <c r="H169" i="5"/>
  <c r="E170" i="5"/>
  <c r="F170" i="5"/>
  <c r="G170" i="5"/>
  <c r="H170" i="5"/>
  <c r="E171" i="5"/>
  <c r="F171" i="5"/>
  <c r="G171" i="5"/>
  <c r="H171" i="5"/>
  <c r="E172" i="5"/>
  <c r="F172" i="5"/>
  <c r="G172" i="5"/>
  <c r="H172" i="5"/>
  <c r="E173" i="5"/>
  <c r="F173" i="5"/>
  <c r="G173" i="5"/>
  <c r="H173" i="5"/>
  <c r="E174" i="5"/>
  <c r="F174" i="5"/>
  <c r="G174" i="5"/>
  <c r="H174" i="5"/>
  <c r="E175" i="5"/>
  <c r="F175" i="5"/>
  <c r="G175" i="5"/>
  <c r="H175" i="5"/>
  <c r="E176" i="5"/>
  <c r="F176" i="5"/>
  <c r="G176" i="5"/>
  <c r="H176" i="5"/>
  <c r="E177" i="5"/>
  <c r="F177" i="5"/>
  <c r="G177" i="5"/>
  <c r="H177" i="5"/>
  <c r="E178" i="5"/>
  <c r="F178" i="5"/>
  <c r="G178" i="5"/>
  <c r="H178" i="5"/>
  <c r="E179" i="5"/>
  <c r="F179" i="5"/>
  <c r="G179" i="5"/>
  <c r="H179" i="5"/>
  <c r="E180" i="5"/>
  <c r="F180" i="5"/>
  <c r="G180" i="5"/>
  <c r="H180" i="5"/>
  <c r="E181" i="5"/>
  <c r="F181" i="5"/>
  <c r="G181" i="5"/>
  <c r="H181" i="5"/>
  <c r="E182" i="5"/>
  <c r="F182" i="5"/>
  <c r="G182" i="5"/>
  <c r="H182" i="5"/>
  <c r="E183" i="5"/>
  <c r="F183" i="5"/>
  <c r="G183" i="5"/>
  <c r="H183" i="5"/>
  <c r="E184" i="5"/>
  <c r="F184" i="5"/>
  <c r="G184" i="5"/>
  <c r="H184" i="5"/>
  <c r="E185" i="5"/>
  <c r="F185" i="5"/>
  <c r="G185" i="5"/>
  <c r="H185" i="5"/>
  <c r="E186" i="5"/>
  <c r="F186" i="5"/>
  <c r="G186" i="5"/>
  <c r="H186" i="5"/>
  <c r="E187" i="5"/>
  <c r="F187" i="5"/>
  <c r="G187" i="5"/>
  <c r="H187" i="5"/>
  <c r="E188" i="5"/>
  <c r="F188" i="5"/>
  <c r="G188" i="5"/>
  <c r="H188" i="5"/>
  <c r="E189" i="5"/>
  <c r="F189" i="5"/>
  <c r="G189" i="5"/>
  <c r="H189" i="5"/>
  <c r="E190" i="5"/>
  <c r="F190" i="5"/>
  <c r="G190" i="5"/>
  <c r="H190" i="5"/>
  <c r="E191" i="5"/>
  <c r="F191" i="5"/>
  <c r="G191" i="5"/>
  <c r="H191" i="5"/>
  <c r="E192" i="5"/>
  <c r="F192" i="5"/>
  <c r="G192" i="5"/>
  <c r="H192" i="5"/>
  <c r="E193" i="5"/>
  <c r="F193" i="5"/>
  <c r="G193" i="5"/>
  <c r="H193" i="5"/>
  <c r="E194" i="5"/>
  <c r="F194" i="5"/>
  <c r="G194" i="5"/>
  <c r="H194" i="5"/>
  <c r="E195" i="5"/>
  <c r="F195" i="5"/>
  <c r="G195" i="5"/>
  <c r="H195" i="5"/>
  <c r="E196" i="5"/>
  <c r="F196" i="5"/>
  <c r="G196" i="5"/>
  <c r="H196" i="5"/>
  <c r="E197" i="5"/>
  <c r="F197" i="5"/>
  <c r="G197" i="5"/>
  <c r="H197" i="5"/>
  <c r="E198" i="5"/>
  <c r="F198" i="5"/>
  <c r="G198" i="5"/>
  <c r="H198" i="5"/>
  <c r="E199" i="5"/>
  <c r="F199" i="5"/>
  <c r="G199" i="5"/>
  <c r="H199" i="5"/>
  <c r="E200" i="5"/>
  <c r="F200" i="5"/>
  <c r="G200" i="5"/>
  <c r="H200" i="5"/>
  <c r="E201" i="5"/>
  <c r="F201" i="5"/>
  <c r="G201" i="5"/>
  <c r="H201" i="5"/>
  <c r="E202" i="5"/>
  <c r="F202" i="5"/>
  <c r="G202" i="5"/>
  <c r="H202" i="5"/>
  <c r="E203" i="5"/>
  <c r="F203" i="5"/>
  <c r="G203" i="5"/>
  <c r="H203" i="5"/>
  <c r="E204" i="5"/>
  <c r="F204" i="5"/>
  <c r="G204" i="5"/>
  <c r="H204" i="5"/>
  <c r="E205" i="5"/>
  <c r="F205" i="5"/>
  <c r="G205" i="5"/>
  <c r="H205" i="5"/>
  <c r="E206" i="5"/>
  <c r="F206" i="5"/>
  <c r="G206" i="5"/>
  <c r="H206" i="5"/>
  <c r="E207" i="5"/>
  <c r="F207" i="5"/>
  <c r="G207" i="5"/>
  <c r="H207" i="5"/>
  <c r="E208" i="5"/>
  <c r="F208" i="5"/>
  <c r="G208" i="5"/>
  <c r="H208" i="5"/>
  <c r="E209" i="5"/>
  <c r="F209" i="5"/>
  <c r="G209" i="5"/>
  <c r="H209" i="5"/>
  <c r="E210" i="5"/>
  <c r="F210" i="5"/>
  <c r="G210" i="5"/>
  <c r="H210" i="5"/>
  <c r="E211" i="5"/>
  <c r="F211" i="5"/>
  <c r="G211" i="5"/>
  <c r="H211" i="5"/>
  <c r="E212" i="5"/>
  <c r="F212" i="5"/>
  <c r="G212" i="5"/>
  <c r="H212" i="5"/>
  <c r="E213" i="5"/>
  <c r="F213" i="5"/>
  <c r="G213" i="5"/>
  <c r="H213" i="5"/>
  <c r="E214" i="5"/>
  <c r="F214" i="5"/>
  <c r="G214" i="5"/>
  <c r="H214" i="5"/>
  <c r="E215" i="5"/>
  <c r="F215" i="5"/>
  <c r="G215" i="5"/>
  <c r="H215" i="5"/>
  <c r="E216" i="5"/>
  <c r="F216" i="5"/>
  <c r="G216" i="5"/>
  <c r="H216" i="5"/>
  <c r="E217" i="5"/>
  <c r="F217" i="5"/>
  <c r="G217" i="5"/>
  <c r="H217" i="5"/>
  <c r="E218" i="5"/>
  <c r="F218" i="5"/>
  <c r="G218" i="5"/>
  <c r="H218" i="5"/>
  <c r="E219" i="5"/>
  <c r="F219" i="5"/>
  <c r="G219" i="5"/>
  <c r="H219" i="5"/>
  <c r="E220" i="5"/>
  <c r="F220" i="5"/>
  <c r="G220" i="5"/>
  <c r="H220" i="5"/>
  <c r="E221" i="5"/>
  <c r="F221" i="5"/>
  <c r="G221" i="5"/>
  <c r="H221" i="5"/>
  <c r="E222" i="5"/>
  <c r="F222" i="5"/>
  <c r="G222" i="5"/>
  <c r="H222" i="5"/>
  <c r="E223" i="5"/>
  <c r="F223" i="5"/>
  <c r="G223" i="5"/>
  <c r="H223" i="5"/>
  <c r="E224" i="5"/>
  <c r="F224" i="5"/>
  <c r="G224" i="5"/>
  <c r="H224" i="5"/>
  <c r="E225" i="5"/>
  <c r="F225" i="5"/>
  <c r="G225" i="5"/>
  <c r="H225" i="5"/>
  <c r="E226" i="5"/>
  <c r="F226" i="5"/>
  <c r="G226" i="5"/>
  <c r="H226" i="5"/>
  <c r="E227" i="5"/>
  <c r="F227" i="5"/>
  <c r="G227" i="5"/>
  <c r="H227" i="5"/>
  <c r="E228" i="5"/>
  <c r="F228" i="5"/>
  <c r="G228" i="5"/>
  <c r="H228" i="5"/>
  <c r="E229" i="5"/>
  <c r="F229" i="5"/>
  <c r="G229" i="5"/>
  <c r="H229" i="5"/>
  <c r="E230" i="5"/>
  <c r="F230" i="5"/>
  <c r="G230" i="5"/>
  <c r="H230" i="5"/>
  <c r="E231" i="5"/>
  <c r="F231" i="5"/>
  <c r="G231" i="5"/>
  <c r="H231" i="5"/>
  <c r="E232" i="5"/>
  <c r="F232" i="5"/>
  <c r="G232" i="5"/>
  <c r="H232" i="5"/>
  <c r="E233" i="5"/>
  <c r="F233" i="5"/>
  <c r="G233" i="5"/>
  <c r="H233" i="5"/>
  <c r="E234" i="5"/>
  <c r="F234" i="5"/>
  <c r="G234" i="5"/>
  <c r="H234" i="5"/>
  <c r="E235" i="5"/>
  <c r="F235" i="5"/>
  <c r="G235" i="5"/>
  <c r="H235" i="5"/>
  <c r="E236" i="5"/>
  <c r="F236" i="5"/>
  <c r="G236" i="5"/>
  <c r="H236" i="5"/>
  <c r="E237" i="5"/>
  <c r="F237" i="5"/>
  <c r="G237" i="5"/>
  <c r="H237" i="5"/>
  <c r="E238" i="5"/>
  <c r="F238" i="5"/>
  <c r="G238" i="5"/>
  <c r="H238" i="5"/>
  <c r="E239" i="5"/>
  <c r="F239" i="5"/>
  <c r="G239" i="5"/>
  <c r="H239" i="5"/>
  <c r="E240" i="5"/>
  <c r="F240" i="5"/>
  <c r="G240" i="5"/>
  <c r="H240" i="5"/>
  <c r="E241" i="5"/>
  <c r="F241" i="5"/>
  <c r="G241" i="5"/>
  <c r="H241" i="5"/>
  <c r="E242" i="5"/>
  <c r="F242" i="5"/>
  <c r="G242" i="5"/>
  <c r="H242" i="5"/>
  <c r="E243" i="5"/>
  <c r="F243" i="5"/>
  <c r="G243" i="5"/>
  <c r="H243" i="5"/>
  <c r="E244" i="5"/>
  <c r="F244" i="5"/>
  <c r="G244" i="5"/>
  <c r="H244" i="5"/>
  <c r="E245" i="5"/>
  <c r="F245" i="5"/>
  <c r="G245" i="5"/>
  <c r="H245" i="5"/>
  <c r="E246" i="5"/>
  <c r="F246" i="5"/>
  <c r="G246" i="5"/>
  <c r="H246" i="5"/>
  <c r="E247" i="5"/>
  <c r="F247" i="5"/>
  <c r="G247" i="5"/>
  <c r="H247" i="5"/>
  <c r="E248" i="5"/>
  <c r="F248" i="5"/>
  <c r="G248" i="5"/>
  <c r="H248" i="5"/>
  <c r="E249" i="5"/>
  <c r="F249" i="5"/>
  <c r="G249" i="5"/>
  <c r="H249" i="5"/>
  <c r="E250" i="5"/>
  <c r="F250" i="5"/>
  <c r="G250" i="5"/>
  <c r="H250" i="5"/>
  <c r="E251" i="5"/>
  <c r="F251" i="5"/>
  <c r="G251" i="5"/>
  <c r="H251" i="5"/>
  <c r="E252" i="5"/>
  <c r="F252" i="5"/>
  <c r="G252" i="5"/>
  <c r="H252" i="5"/>
  <c r="E253" i="5"/>
  <c r="F253" i="5"/>
  <c r="G253" i="5"/>
  <c r="H253" i="5"/>
  <c r="E254" i="5"/>
  <c r="F254" i="5"/>
  <c r="G254" i="5"/>
  <c r="H254" i="5"/>
  <c r="E255" i="5"/>
  <c r="F255" i="5"/>
  <c r="G255" i="5"/>
  <c r="H255" i="5"/>
  <c r="E256" i="5"/>
  <c r="F256" i="5"/>
  <c r="G256" i="5"/>
  <c r="H256" i="5"/>
  <c r="E257" i="5"/>
  <c r="F257" i="5"/>
  <c r="G257" i="5"/>
  <c r="H257" i="5"/>
  <c r="E258" i="5"/>
  <c r="F258" i="5"/>
  <c r="G258" i="5"/>
  <c r="H258" i="5"/>
  <c r="E259" i="5"/>
  <c r="F259" i="5"/>
  <c r="G259" i="5"/>
  <c r="H259" i="5"/>
  <c r="E260" i="5"/>
  <c r="F260" i="5"/>
  <c r="G260" i="5"/>
  <c r="H260" i="5"/>
  <c r="E261" i="5"/>
  <c r="F261" i="5"/>
  <c r="G261" i="5"/>
  <c r="H261" i="5"/>
  <c r="E262" i="5"/>
  <c r="F262" i="5"/>
  <c r="G262" i="5"/>
  <c r="H262" i="5"/>
  <c r="E263" i="5"/>
  <c r="F263" i="5"/>
  <c r="G263" i="5"/>
  <c r="H263" i="5"/>
  <c r="E264" i="5"/>
  <c r="F264" i="5"/>
  <c r="G264" i="5"/>
  <c r="H264" i="5"/>
  <c r="E265" i="5"/>
  <c r="F265" i="5"/>
  <c r="G265" i="5"/>
  <c r="H265" i="5"/>
  <c r="E266" i="5"/>
  <c r="F266" i="5"/>
  <c r="G266" i="5"/>
  <c r="H266" i="5"/>
  <c r="E267" i="5"/>
  <c r="F267" i="5"/>
  <c r="G267" i="5"/>
  <c r="H267" i="5"/>
  <c r="E268" i="5"/>
  <c r="F268" i="5"/>
  <c r="G268" i="5"/>
  <c r="H268" i="5"/>
  <c r="E269" i="5"/>
  <c r="F269" i="5"/>
  <c r="G269" i="5"/>
  <c r="H269" i="5"/>
  <c r="E270" i="5"/>
  <c r="F270" i="5"/>
  <c r="G270" i="5"/>
  <c r="H270" i="5"/>
  <c r="E271" i="5"/>
  <c r="F271" i="5"/>
  <c r="G271" i="5"/>
  <c r="H271" i="5"/>
  <c r="E272" i="5"/>
  <c r="F272" i="5"/>
  <c r="G272" i="5"/>
  <c r="H272" i="5"/>
  <c r="E273" i="5"/>
  <c r="F273" i="5"/>
  <c r="G273" i="5"/>
  <c r="H273" i="5"/>
  <c r="E274" i="5"/>
  <c r="F274" i="5"/>
  <c r="G274" i="5"/>
  <c r="H274" i="5"/>
  <c r="E275" i="5"/>
  <c r="F275" i="5"/>
  <c r="G275" i="5"/>
  <c r="H275" i="5"/>
  <c r="E276" i="5"/>
  <c r="F276" i="5"/>
  <c r="G276" i="5"/>
  <c r="H276" i="5"/>
  <c r="E277" i="5"/>
  <c r="F277" i="5"/>
  <c r="G277" i="5"/>
  <c r="H277" i="5"/>
  <c r="E278" i="5"/>
  <c r="F278" i="5"/>
  <c r="G278" i="5"/>
  <c r="H278" i="5"/>
  <c r="E279" i="5"/>
  <c r="F279" i="5"/>
  <c r="G279" i="5"/>
  <c r="H279" i="5"/>
  <c r="E280" i="5"/>
  <c r="F280" i="5"/>
  <c r="G280" i="5"/>
  <c r="H280" i="5"/>
  <c r="E281" i="5"/>
  <c r="F281" i="5"/>
  <c r="G281" i="5"/>
  <c r="H281" i="5"/>
  <c r="E282" i="5"/>
  <c r="F282" i="5"/>
  <c r="G282" i="5"/>
  <c r="H282" i="5"/>
  <c r="E283" i="5"/>
  <c r="F283" i="5"/>
  <c r="G283" i="5"/>
  <c r="H283" i="5"/>
  <c r="E284" i="5"/>
  <c r="F284" i="5"/>
  <c r="G284" i="5"/>
  <c r="H284" i="5"/>
  <c r="E285" i="5"/>
  <c r="F285" i="5"/>
  <c r="G285" i="5"/>
  <c r="H285" i="5"/>
  <c r="E286" i="5"/>
  <c r="F286" i="5"/>
  <c r="G286" i="5"/>
  <c r="H286" i="5"/>
  <c r="E287" i="5"/>
  <c r="F287" i="5"/>
  <c r="G287" i="5"/>
  <c r="H287" i="5"/>
  <c r="E288" i="5"/>
  <c r="F288" i="5"/>
  <c r="G288" i="5"/>
  <c r="H288" i="5"/>
  <c r="E289" i="5"/>
  <c r="F289" i="5"/>
  <c r="G289" i="5"/>
  <c r="H289" i="5"/>
  <c r="E290" i="5"/>
  <c r="F290" i="5"/>
  <c r="G290" i="5"/>
  <c r="H290" i="5"/>
  <c r="E291" i="5"/>
  <c r="F291" i="5"/>
  <c r="G291" i="5"/>
  <c r="H291" i="5"/>
  <c r="E292" i="5"/>
  <c r="F292" i="5"/>
  <c r="G292" i="5"/>
  <c r="H292" i="5"/>
  <c r="E293" i="5"/>
  <c r="F293" i="5"/>
  <c r="G293" i="5"/>
  <c r="H293" i="5"/>
  <c r="E294" i="5"/>
  <c r="F294" i="5"/>
  <c r="G294" i="5"/>
  <c r="H294" i="5"/>
  <c r="E295" i="5"/>
  <c r="F295" i="5"/>
  <c r="G295" i="5"/>
  <c r="H295" i="5"/>
  <c r="E296" i="5"/>
  <c r="F296" i="5"/>
  <c r="G296" i="5"/>
  <c r="H296" i="5"/>
  <c r="E297" i="5"/>
  <c r="F297" i="5"/>
  <c r="G297" i="5"/>
  <c r="H297" i="5"/>
  <c r="E298" i="5"/>
  <c r="F298" i="5"/>
  <c r="G298" i="5"/>
  <c r="H298" i="5"/>
  <c r="E299" i="5"/>
  <c r="F299" i="5"/>
  <c r="G299" i="5"/>
  <c r="H299" i="5"/>
  <c r="E300" i="5"/>
  <c r="F300" i="5"/>
  <c r="G300" i="5"/>
  <c r="H300" i="5"/>
  <c r="E301" i="5"/>
  <c r="F301" i="5"/>
  <c r="G301" i="5"/>
  <c r="H301" i="5"/>
  <c r="E302" i="5"/>
  <c r="F302" i="5"/>
  <c r="G302" i="5"/>
  <c r="H302" i="5"/>
  <c r="E303" i="5"/>
  <c r="F303" i="5"/>
  <c r="G303" i="5"/>
  <c r="H303" i="5"/>
  <c r="E304" i="5"/>
  <c r="F304" i="5"/>
  <c r="G304" i="5"/>
  <c r="H304" i="5"/>
  <c r="E305" i="5"/>
  <c r="F305" i="5"/>
  <c r="G305" i="5"/>
  <c r="H305" i="5"/>
  <c r="E306" i="5"/>
  <c r="F306" i="5"/>
  <c r="G306" i="5"/>
  <c r="H306" i="5"/>
  <c r="E307" i="5"/>
  <c r="F307" i="5"/>
  <c r="G307" i="5"/>
  <c r="H307" i="5"/>
  <c r="E308" i="5"/>
  <c r="F308" i="5"/>
  <c r="G308" i="5"/>
  <c r="H308" i="5"/>
  <c r="E309" i="5"/>
  <c r="F309" i="5"/>
  <c r="G309" i="5"/>
  <c r="H309" i="5"/>
  <c r="E310" i="5"/>
  <c r="F310" i="5"/>
  <c r="G310" i="5"/>
  <c r="H310" i="5"/>
  <c r="E311" i="5"/>
  <c r="F311" i="5"/>
  <c r="G311" i="5"/>
  <c r="H311" i="5"/>
  <c r="E312" i="5"/>
  <c r="F312" i="5"/>
  <c r="G312" i="5"/>
  <c r="H312" i="5"/>
  <c r="E313" i="5"/>
  <c r="F313" i="5"/>
  <c r="G313" i="5"/>
  <c r="H313" i="5"/>
  <c r="E314" i="5"/>
  <c r="F314" i="5"/>
  <c r="G314" i="5"/>
  <c r="H314" i="5"/>
  <c r="E315" i="5"/>
  <c r="F315" i="5"/>
  <c r="G315" i="5"/>
  <c r="H315" i="5"/>
  <c r="E316" i="5"/>
  <c r="F316" i="5"/>
  <c r="G316" i="5"/>
  <c r="H316" i="5"/>
  <c r="E317" i="5"/>
  <c r="F317" i="5"/>
  <c r="G317" i="5"/>
  <c r="H317" i="5"/>
  <c r="E318" i="5"/>
  <c r="F318" i="5"/>
  <c r="G318" i="5"/>
  <c r="H318" i="5"/>
  <c r="E319" i="5"/>
  <c r="F319" i="5"/>
  <c r="G319" i="5"/>
  <c r="H319" i="5"/>
  <c r="E320" i="5"/>
  <c r="F320" i="5"/>
  <c r="G320" i="5"/>
  <c r="H320" i="5"/>
  <c r="E321" i="5"/>
  <c r="F321" i="5"/>
  <c r="G321" i="5"/>
  <c r="H321" i="5"/>
  <c r="E322" i="5"/>
  <c r="F322" i="5"/>
  <c r="G322" i="5"/>
  <c r="H322" i="5"/>
  <c r="E323" i="5"/>
  <c r="F323" i="5"/>
  <c r="G323" i="5"/>
  <c r="H323" i="5"/>
  <c r="E324" i="5"/>
  <c r="F324" i="5"/>
  <c r="G324" i="5"/>
  <c r="H324" i="5"/>
  <c r="E325" i="5"/>
  <c r="F325" i="5"/>
  <c r="G325" i="5"/>
  <c r="H325" i="5"/>
  <c r="E326" i="5"/>
  <c r="F326" i="5"/>
  <c r="G326" i="5"/>
  <c r="H326" i="5"/>
  <c r="E327" i="5"/>
  <c r="F327" i="5"/>
  <c r="G327" i="5"/>
  <c r="H327" i="5"/>
  <c r="E328" i="5"/>
  <c r="F328" i="5"/>
  <c r="G328" i="5"/>
  <c r="H328" i="5"/>
  <c r="E329" i="5"/>
  <c r="F329" i="5"/>
  <c r="G329" i="5"/>
  <c r="H329" i="5"/>
  <c r="E330" i="5"/>
  <c r="F330" i="5"/>
  <c r="G330" i="5"/>
  <c r="H330" i="5"/>
  <c r="E331" i="5"/>
  <c r="F331" i="5"/>
  <c r="G331" i="5"/>
  <c r="H331" i="5"/>
  <c r="E332" i="5"/>
  <c r="F332" i="5"/>
  <c r="G332" i="5"/>
  <c r="H332" i="5"/>
  <c r="E333" i="5"/>
  <c r="F333" i="5"/>
  <c r="G333" i="5"/>
  <c r="H333" i="5"/>
  <c r="E334" i="5"/>
  <c r="F334" i="5"/>
  <c r="G334" i="5"/>
  <c r="H334" i="5"/>
  <c r="E335" i="5"/>
  <c r="F335" i="5"/>
  <c r="G335" i="5"/>
  <c r="H335" i="5"/>
  <c r="E336" i="5"/>
  <c r="F336" i="5"/>
  <c r="G336" i="5"/>
  <c r="H336" i="5"/>
  <c r="E337" i="5"/>
  <c r="F337" i="5"/>
  <c r="G337" i="5"/>
  <c r="H337" i="5"/>
  <c r="E338" i="5"/>
  <c r="F338" i="5"/>
  <c r="G338" i="5"/>
  <c r="H338" i="5"/>
  <c r="E339" i="5"/>
  <c r="F339" i="5"/>
  <c r="G339" i="5"/>
  <c r="H339" i="5"/>
  <c r="E340" i="5"/>
  <c r="F340" i="5"/>
  <c r="G340" i="5"/>
  <c r="H340" i="5"/>
  <c r="E341" i="5"/>
  <c r="F341" i="5"/>
  <c r="G341" i="5"/>
  <c r="H341" i="5"/>
  <c r="E342" i="5"/>
  <c r="F342" i="5"/>
  <c r="G342" i="5"/>
  <c r="H342" i="5"/>
  <c r="E343" i="5"/>
  <c r="F343" i="5"/>
  <c r="G343" i="5"/>
  <c r="H343" i="5"/>
  <c r="E344" i="5"/>
  <c r="F344" i="5"/>
  <c r="G344" i="5"/>
  <c r="H344" i="5"/>
  <c r="E345" i="5"/>
  <c r="F345" i="5"/>
  <c r="G345" i="5"/>
  <c r="H345" i="5"/>
  <c r="E346" i="5"/>
  <c r="F346" i="5"/>
  <c r="G346" i="5"/>
  <c r="H346" i="5"/>
  <c r="E347" i="5"/>
  <c r="F347" i="5"/>
  <c r="G347" i="5"/>
  <c r="H347" i="5"/>
  <c r="E348" i="5"/>
  <c r="F348" i="5"/>
  <c r="G348" i="5"/>
  <c r="H348" i="5"/>
  <c r="E349" i="5"/>
  <c r="F349" i="5"/>
  <c r="G349" i="5"/>
  <c r="H349" i="5"/>
  <c r="E350" i="5"/>
  <c r="F350" i="5"/>
  <c r="G350" i="5"/>
  <c r="H350" i="5"/>
  <c r="E351" i="5"/>
  <c r="F351" i="5"/>
  <c r="G351" i="5"/>
  <c r="H351" i="5"/>
  <c r="E352" i="5"/>
  <c r="F352" i="5"/>
  <c r="G352" i="5"/>
  <c r="H352" i="5"/>
  <c r="E353" i="5"/>
  <c r="F353" i="5"/>
  <c r="G353" i="5"/>
  <c r="H353" i="5"/>
  <c r="E354" i="5"/>
  <c r="F354" i="5"/>
  <c r="G354" i="5"/>
  <c r="H354" i="5"/>
  <c r="E355" i="5"/>
  <c r="F355" i="5"/>
  <c r="G355" i="5"/>
  <c r="H355" i="5"/>
  <c r="E356" i="5"/>
  <c r="F356" i="5"/>
  <c r="G356" i="5"/>
  <c r="H356" i="5"/>
  <c r="E357" i="5"/>
  <c r="F357" i="5"/>
  <c r="G357" i="5"/>
  <c r="H357" i="5"/>
  <c r="E358" i="5"/>
  <c r="F358" i="5"/>
  <c r="G358" i="5"/>
  <c r="H358" i="5"/>
  <c r="E359" i="5"/>
  <c r="F359" i="5"/>
  <c r="G359" i="5"/>
  <c r="H359" i="5"/>
  <c r="E360" i="5"/>
  <c r="F360" i="5"/>
  <c r="G360" i="5"/>
  <c r="H360" i="5"/>
  <c r="E361" i="5"/>
  <c r="F361" i="5"/>
  <c r="G361" i="5"/>
  <c r="H361" i="5"/>
  <c r="E362" i="5"/>
  <c r="F362" i="5"/>
  <c r="G362" i="5"/>
  <c r="H362" i="5"/>
  <c r="E363" i="5"/>
  <c r="F363" i="5"/>
  <c r="G363" i="5"/>
  <c r="H363" i="5"/>
  <c r="E364" i="5"/>
  <c r="F364" i="5"/>
  <c r="G364" i="5"/>
  <c r="H364" i="5"/>
  <c r="E365" i="5"/>
  <c r="F365" i="5"/>
  <c r="G365" i="5"/>
  <c r="H365" i="5"/>
  <c r="E366" i="5"/>
  <c r="F366" i="5"/>
  <c r="G366" i="5"/>
  <c r="H366" i="5"/>
  <c r="E367" i="5"/>
  <c r="F367" i="5"/>
  <c r="G367" i="5"/>
  <c r="H367" i="5"/>
  <c r="E368" i="5"/>
  <c r="F368" i="5"/>
  <c r="G368" i="5"/>
  <c r="H368" i="5"/>
  <c r="E369" i="5"/>
  <c r="F369" i="5"/>
  <c r="G369" i="5"/>
  <c r="H369" i="5"/>
  <c r="E370" i="5"/>
  <c r="F370" i="5"/>
  <c r="G370" i="5"/>
  <c r="H370" i="5"/>
  <c r="E371" i="5"/>
  <c r="F371" i="5"/>
  <c r="G371" i="5"/>
  <c r="H371" i="5"/>
  <c r="E372" i="5"/>
  <c r="F372" i="5"/>
  <c r="G372" i="5"/>
  <c r="H372" i="5"/>
  <c r="E373" i="5"/>
  <c r="F373" i="5"/>
  <c r="G373" i="5"/>
  <c r="H373" i="5"/>
  <c r="E374" i="5"/>
  <c r="F374" i="5"/>
  <c r="G374" i="5"/>
  <c r="H374" i="5"/>
  <c r="E375" i="5"/>
  <c r="F375" i="5"/>
  <c r="G375" i="5"/>
  <c r="H375" i="5"/>
  <c r="E376" i="5"/>
  <c r="F376" i="5"/>
  <c r="G376" i="5"/>
  <c r="H376" i="5"/>
  <c r="E377" i="5"/>
  <c r="F377" i="5"/>
  <c r="G377" i="5"/>
  <c r="H377" i="5"/>
  <c r="E378" i="5"/>
  <c r="F378" i="5"/>
  <c r="G378" i="5"/>
  <c r="H378" i="5"/>
  <c r="E379" i="5"/>
  <c r="F379" i="5"/>
  <c r="G379" i="5"/>
  <c r="H379" i="5"/>
  <c r="E380" i="5"/>
  <c r="F380" i="5"/>
  <c r="G380" i="5"/>
  <c r="H380" i="5"/>
  <c r="E381" i="5"/>
  <c r="F381" i="5"/>
  <c r="G381" i="5"/>
  <c r="H381" i="5"/>
  <c r="E382" i="5"/>
  <c r="F382" i="5"/>
  <c r="G382" i="5"/>
  <c r="H382" i="5"/>
  <c r="E383" i="5"/>
  <c r="F383" i="5"/>
  <c r="G383" i="5"/>
  <c r="H383" i="5"/>
  <c r="E384" i="5"/>
  <c r="F384" i="5"/>
  <c r="G384" i="5"/>
  <c r="H384" i="5"/>
  <c r="E385" i="5"/>
  <c r="F385" i="5"/>
  <c r="G385" i="5"/>
  <c r="H385" i="5"/>
  <c r="E386" i="5"/>
  <c r="F386" i="5"/>
  <c r="G386" i="5"/>
  <c r="H386" i="5"/>
  <c r="E387" i="5"/>
  <c r="F387" i="5"/>
  <c r="G387" i="5"/>
  <c r="H387" i="5"/>
  <c r="E388" i="5"/>
  <c r="F388" i="5"/>
  <c r="G388" i="5"/>
  <c r="H388" i="5"/>
  <c r="E389" i="5"/>
  <c r="F389" i="5"/>
  <c r="G389" i="5"/>
  <c r="H389" i="5"/>
  <c r="E390" i="5"/>
  <c r="F390" i="5"/>
  <c r="G390" i="5"/>
  <c r="H390" i="5"/>
  <c r="E391" i="5"/>
  <c r="F391" i="5"/>
  <c r="G391" i="5"/>
  <c r="H391" i="5"/>
  <c r="E392" i="5"/>
  <c r="F392" i="5"/>
  <c r="G392" i="5"/>
  <c r="H392" i="5"/>
  <c r="E393" i="5"/>
  <c r="F393" i="5"/>
  <c r="G393" i="5"/>
  <c r="H393" i="5"/>
  <c r="E394" i="5"/>
  <c r="F394" i="5"/>
  <c r="G394" i="5"/>
  <c r="H394" i="5"/>
  <c r="E395" i="5"/>
  <c r="F395" i="5"/>
  <c r="G395" i="5"/>
  <c r="H395" i="5"/>
  <c r="E396" i="5"/>
  <c r="F396" i="5"/>
  <c r="G396" i="5"/>
  <c r="H396" i="5"/>
  <c r="E397" i="5"/>
  <c r="F397" i="5"/>
  <c r="G397" i="5"/>
  <c r="H397" i="5"/>
  <c r="E398" i="5"/>
  <c r="F398" i="5"/>
  <c r="G398" i="5"/>
  <c r="H398" i="5"/>
  <c r="E399" i="5"/>
  <c r="F399" i="5"/>
  <c r="G399" i="5"/>
  <c r="H399" i="5"/>
  <c r="E400" i="5"/>
  <c r="F400" i="5"/>
  <c r="G400" i="5"/>
  <c r="H400" i="5"/>
  <c r="E401" i="5"/>
  <c r="F401" i="5"/>
  <c r="G401" i="5"/>
  <c r="H401" i="5"/>
  <c r="E402" i="5"/>
  <c r="F402" i="5"/>
  <c r="G402" i="5"/>
  <c r="H402" i="5"/>
  <c r="E403" i="5"/>
  <c r="F403" i="5"/>
  <c r="G403" i="5"/>
  <c r="H403" i="5"/>
  <c r="E404" i="5"/>
  <c r="F404" i="5"/>
  <c r="G404" i="5"/>
  <c r="H404" i="5"/>
  <c r="E405" i="5"/>
  <c r="F405" i="5"/>
  <c r="G405" i="5"/>
  <c r="H405" i="5"/>
  <c r="E406" i="5"/>
  <c r="F406" i="5"/>
  <c r="G406" i="5"/>
  <c r="H406" i="5"/>
  <c r="E407" i="5"/>
  <c r="F407" i="5"/>
  <c r="G407" i="5"/>
  <c r="H407" i="5"/>
  <c r="E408" i="5"/>
  <c r="F408" i="5"/>
  <c r="G408" i="5"/>
  <c r="H408" i="5"/>
  <c r="E409" i="5"/>
  <c r="F409" i="5"/>
  <c r="G409" i="5"/>
  <c r="H409" i="5"/>
  <c r="E410" i="5"/>
  <c r="F410" i="5"/>
  <c r="G410" i="5"/>
  <c r="H410" i="5"/>
  <c r="E411" i="5"/>
  <c r="F411" i="5"/>
  <c r="G411" i="5"/>
  <c r="H411" i="5"/>
  <c r="E412" i="5"/>
  <c r="F412" i="5"/>
  <c r="G412" i="5"/>
  <c r="H412" i="5"/>
  <c r="E413" i="5"/>
  <c r="F413" i="5"/>
  <c r="G413" i="5"/>
  <c r="H413" i="5"/>
  <c r="E414" i="5"/>
  <c r="F414" i="5"/>
  <c r="G414" i="5"/>
  <c r="H414" i="5"/>
  <c r="E415" i="5"/>
  <c r="F415" i="5"/>
  <c r="G415" i="5"/>
  <c r="H415" i="5"/>
  <c r="E416" i="5"/>
  <c r="F416" i="5"/>
  <c r="G416" i="5"/>
  <c r="H416" i="5"/>
  <c r="E417" i="5"/>
  <c r="F417" i="5"/>
  <c r="G417" i="5"/>
  <c r="H417" i="5"/>
  <c r="E418" i="5"/>
  <c r="F418" i="5"/>
  <c r="G418" i="5"/>
  <c r="H418" i="5"/>
  <c r="E419" i="5"/>
  <c r="F419" i="5"/>
  <c r="G419" i="5"/>
  <c r="H419" i="5"/>
  <c r="E420" i="5"/>
  <c r="F420" i="5"/>
  <c r="G420" i="5"/>
  <c r="H420" i="5"/>
  <c r="E421" i="5"/>
  <c r="F421" i="5"/>
  <c r="G421" i="5"/>
  <c r="H421" i="5"/>
  <c r="E422" i="5"/>
  <c r="F422" i="5"/>
  <c r="G422" i="5"/>
  <c r="H422" i="5"/>
  <c r="E423" i="5"/>
  <c r="F423" i="5"/>
  <c r="G423" i="5"/>
  <c r="H423" i="5"/>
  <c r="E424" i="5"/>
  <c r="F424" i="5"/>
  <c r="G424" i="5"/>
  <c r="H424" i="5"/>
  <c r="E425" i="5"/>
  <c r="F425" i="5"/>
  <c r="G425" i="5"/>
  <c r="H425" i="5"/>
  <c r="E426" i="5"/>
  <c r="F426" i="5"/>
  <c r="G426" i="5"/>
  <c r="H426" i="5"/>
  <c r="E427" i="5"/>
  <c r="F427" i="5"/>
  <c r="G427" i="5"/>
  <c r="H427" i="5"/>
  <c r="E428" i="5"/>
  <c r="F428" i="5"/>
  <c r="G428" i="5"/>
  <c r="H428" i="5"/>
  <c r="E429" i="5"/>
  <c r="F429" i="5"/>
  <c r="G429" i="5"/>
  <c r="H429" i="5"/>
  <c r="E430" i="5"/>
  <c r="F430" i="5"/>
  <c r="G430" i="5"/>
  <c r="H430" i="5"/>
  <c r="E431" i="5"/>
  <c r="F431" i="5"/>
  <c r="G431" i="5"/>
  <c r="H431" i="5"/>
  <c r="E432" i="5"/>
  <c r="F432" i="5"/>
  <c r="G432" i="5"/>
  <c r="H432" i="5"/>
  <c r="E433" i="5"/>
  <c r="F433" i="5"/>
  <c r="G433" i="5"/>
  <c r="H433" i="5"/>
  <c r="E434" i="5"/>
  <c r="F434" i="5"/>
  <c r="G434" i="5"/>
  <c r="H434" i="5"/>
  <c r="E435" i="5"/>
  <c r="F435" i="5"/>
  <c r="G435" i="5"/>
  <c r="H435" i="5"/>
  <c r="E436" i="5"/>
  <c r="F436" i="5"/>
  <c r="G436" i="5"/>
  <c r="H436" i="5"/>
  <c r="E437" i="5"/>
  <c r="F437" i="5"/>
  <c r="G437" i="5"/>
  <c r="H437" i="5"/>
  <c r="E438" i="5"/>
  <c r="F438" i="5"/>
  <c r="G438" i="5"/>
  <c r="H438" i="5"/>
  <c r="E439" i="5"/>
  <c r="F439" i="5"/>
  <c r="G439" i="5"/>
  <c r="H439" i="5"/>
  <c r="E440" i="5"/>
  <c r="F440" i="5"/>
  <c r="G440" i="5"/>
  <c r="H440" i="5"/>
  <c r="E441" i="5"/>
  <c r="F441" i="5"/>
  <c r="G441" i="5"/>
  <c r="H441" i="5"/>
  <c r="E442" i="5"/>
  <c r="F442" i="5"/>
  <c r="G442" i="5"/>
  <c r="H442" i="5"/>
  <c r="E443" i="5"/>
  <c r="F443" i="5"/>
  <c r="G443" i="5"/>
  <c r="H443" i="5"/>
  <c r="E444" i="5"/>
  <c r="F444" i="5"/>
  <c r="G444" i="5"/>
  <c r="H444" i="5"/>
  <c r="E445" i="5"/>
  <c r="F445" i="5"/>
  <c r="G445" i="5"/>
  <c r="H445" i="5"/>
  <c r="E446" i="5"/>
  <c r="F446" i="5"/>
  <c r="G446" i="5"/>
  <c r="H446" i="5"/>
  <c r="E447" i="5"/>
  <c r="F447" i="5"/>
  <c r="G447" i="5"/>
  <c r="H447" i="5"/>
  <c r="E448" i="5"/>
  <c r="F448" i="5"/>
  <c r="G448" i="5"/>
  <c r="H448" i="5"/>
  <c r="E449" i="5"/>
  <c r="F449" i="5"/>
  <c r="G449" i="5"/>
  <c r="H449" i="5"/>
  <c r="E450" i="5"/>
  <c r="F450" i="5"/>
  <c r="G450" i="5"/>
  <c r="H450" i="5"/>
  <c r="E451" i="5"/>
  <c r="F451" i="5"/>
  <c r="G451" i="5"/>
  <c r="H451" i="5"/>
  <c r="E452" i="5"/>
  <c r="F452" i="5"/>
  <c r="G452" i="5"/>
  <c r="H452" i="5"/>
  <c r="E453" i="5"/>
  <c r="F453" i="5"/>
  <c r="G453" i="5"/>
  <c r="H453" i="5"/>
  <c r="E454" i="5"/>
  <c r="F454" i="5"/>
  <c r="G454" i="5"/>
  <c r="H454" i="5"/>
  <c r="E455" i="5"/>
  <c r="F455" i="5"/>
  <c r="G455" i="5"/>
  <c r="H455" i="5"/>
  <c r="E456" i="5"/>
  <c r="F456" i="5"/>
  <c r="G456" i="5"/>
  <c r="H456" i="5"/>
  <c r="E457" i="5"/>
  <c r="F457" i="5"/>
  <c r="G457" i="5"/>
  <c r="H457" i="5"/>
  <c r="E458" i="5"/>
  <c r="F458" i="5"/>
  <c r="G458" i="5"/>
  <c r="H458" i="5"/>
  <c r="E459" i="5"/>
  <c r="F459" i="5"/>
  <c r="G459" i="5"/>
  <c r="H459" i="5"/>
  <c r="E460" i="5"/>
  <c r="F460" i="5"/>
  <c r="G460" i="5"/>
  <c r="H460" i="5"/>
  <c r="E461" i="5"/>
  <c r="F461" i="5"/>
  <c r="G461" i="5"/>
  <c r="H461" i="5"/>
  <c r="E462" i="5"/>
  <c r="F462" i="5"/>
  <c r="G462" i="5"/>
  <c r="H462" i="5"/>
  <c r="E463" i="5"/>
  <c r="F463" i="5"/>
  <c r="G463" i="5"/>
  <c r="H463" i="5"/>
  <c r="E464" i="5"/>
  <c r="F464" i="5"/>
  <c r="G464" i="5"/>
  <c r="H464" i="5"/>
  <c r="E465" i="5"/>
  <c r="F465" i="5"/>
  <c r="G465" i="5"/>
  <c r="H465" i="5"/>
  <c r="E466" i="5"/>
  <c r="F466" i="5"/>
  <c r="G466" i="5"/>
  <c r="H466" i="5"/>
  <c r="E467" i="5"/>
  <c r="F467" i="5"/>
  <c r="G467" i="5"/>
  <c r="H467" i="5"/>
  <c r="E468" i="5"/>
  <c r="F468" i="5"/>
  <c r="G468" i="5"/>
  <c r="H468" i="5"/>
  <c r="E469" i="5"/>
  <c r="F469" i="5"/>
  <c r="G469" i="5"/>
  <c r="H469" i="5"/>
  <c r="E470" i="5"/>
  <c r="F470" i="5"/>
  <c r="G470" i="5"/>
  <c r="H470" i="5"/>
  <c r="E471" i="5"/>
  <c r="F471" i="5"/>
  <c r="G471" i="5"/>
  <c r="H471" i="5"/>
  <c r="E472" i="5"/>
  <c r="F472" i="5"/>
  <c r="G472" i="5"/>
  <c r="H472" i="5"/>
  <c r="E473" i="5"/>
  <c r="F473" i="5"/>
  <c r="G473" i="5"/>
  <c r="H473" i="5"/>
  <c r="E474" i="5"/>
  <c r="F474" i="5"/>
  <c r="G474" i="5"/>
  <c r="H474" i="5"/>
  <c r="E475" i="5"/>
  <c r="F475" i="5"/>
  <c r="G475" i="5"/>
  <c r="H475" i="5"/>
  <c r="E476" i="5"/>
  <c r="F476" i="5"/>
  <c r="G476" i="5"/>
  <c r="H476" i="5"/>
  <c r="E477" i="5"/>
  <c r="F477" i="5"/>
  <c r="G477" i="5"/>
  <c r="H477" i="5"/>
  <c r="E478" i="5"/>
  <c r="F478" i="5"/>
  <c r="G478" i="5"/>
  <c r="H478" i="5"/>
  <c r="E479" i="5"/>
  <c r="F479" i="5"/>
  <c r="G479" i="5"/>
  <c r="H479" i="5"/>
  <c r="E480" i="5"/>
  <c r="F480" i="5"/>
  <c r="G480" i="5"/>
  <c r="H480" i="5"/>
  <c r="E481" i="5"/>
  <c r="F481" i="5"/>
  <c r="G481" i="5"/>
  <c r="H481" i="5"/>
  <c r="E482" i="5"/>
  <c r="F482" i="5"/>
  <c r="G482" i="5"/>
  <c r="H482" i="5"/>
  <c r="E483" i="5"/>
  <c r="F483" i="5"/>
  <c r="G483" i="5"/>
  <c r="H483" i="5"/>
  <c r="E484" i="5"/>
  <c r="F484" i="5"/>
  <c r="G484" i="5"/>
  <c r="H484" i="5"/>
  <c r="E485" i="5"/>
  <c r="F485" i="5"/>
  <c r="G485" i="5"/>
  <c r="H485" i="5"/>
  <c r="E486" i="5"/>
  <c r="F486" i="5"/>
  <c r="G486" i="5"/>
  <c r="H486" i="5"/>
  <c r="E487" i="5"/>
  <c r="F487" i="5"/>
  <c r="G487" i="5"/>
  <c r="H487" i="5"/>
  <c r="E488" i="5"/>
  <c r="F488" i="5"/>
  <c r="G488" i="5"/>
  <c r="H488" i="5"/>
  <c r="E489" i="5"/>
  <c r="F489" i="5"/>
  <c r="G489" i="5"/>
  <c r="H489" i="5"/>
  <c r="E490" i="5"/>
  <c r="F490" i="5"/>
  <c r="G490" i="5"/>
  <c r="H490" i="5"/>
  <c r="E491" i="5"/>
  <c r="F491" i="5"/>
  <c r="G491" i="5"/>
  <c r="H491" i="5"/>
  <c r="E492" i="5"/>
  <c r="F492" i="5"/>
  <c r="G492" i="5"/>
  <c r="H492" i="5"/>
  <c r="E493" i="5"/>
  <c r="F493" i="5"/>
  <c r="G493" i="5"/>
  <c r="H493" i="5"/>
  <c r="E494" i="5"/>
  <c r="F494" i="5"/>
  <c r="G494" i="5"/>
  <c r="H494" i="5"/>
  <c r="E495" i="5"/>
  <c r="F495" i="5"/>
  <c r="G495" i="5"/>
  <c r="H495" i="5"/>
  <c r="E496" i="5"/>
  <c r="F496" i="5"/>
  <c r="G496" i="5"/>
  <c r="H496" i="5"/>
  <c r="E497" i="5"/>
  <c r="F497" i="5"/>
  <c r="G497" i="5"/>
  <c r="H497" i="5"/>
  <c r="E498" i="5"/>
  <c r="F498" i="5"/>
  <c r="G498" i="5"/>
  <c r="H498" i="5"/>
  <c r="E499" i="5"/>
  <c r="F499" i="5"/>
  <c r="G499" i="5"/>
  <c r="H499" i="5"/>
  <c r="E500" i="5"/>
  <c r="F500" i="5"/>
  <c r="G500" i="5"/>
  <c r="H500" i="5"/>
  <c r="E501" i="5"/>
  <c r="F501" i="5"/>
  <c r="G501" i="5"/>
  <c r="H501" i="5"/>
  <c r="E502" i="5"/>
  <c r="F502" i="5"/>
  <c r="G502" i="5"/>
  <c r="H502" i="5"/>
  <c r="E503" i="5"/>
  <c r="F503" i="5"/>
  <c r="G503" i="5"/>
  <c r="H503" i="5"/>
  <c r="E504" i="5"/>
  <c r="F504" i="5"/>
  <c r="G504" i="5"/>
  <c r="H504" i="5"/>
  <c r="E505" i="5"/>
  <c r="F505" i="5"/>
  <c r="G505" i="5"/>
  <c r="H505" i="5"/>
  <c r="E506" i="5"/>
  <c r="F506" i="5"/>
  <c r="G506" i="5"/>
  <c r="H506" i="5"/>
  <c r="E507" i="5"/>
  <c r="F507" i="5"/>
  <c r="G507" i="5"/>
  <c r="H507" i="5"/>
  <c r="E508" i="5"/>
  <c r="F508" i="5"/>
  <c r="G508" i="5"/>
  <c r="H508" i="5"/>
  <c r="E509" i="5"/>
  <c r="F509" i="5"/>
  <c r="G509" i="5"/>
  <c r="H509" i="5"/>
  <c r="E510" i="5"/>
  <c r="F510" i="5"/>
  <c r="G510" i="5"/>
  <c r="H510" i="5"/>
  <c r="E511" i="5"/>
  <c r="F511" i="5"/>
  <c r="G511" i="5"/>
  <c r="H511" i="5"/>
  <c r="E512" i="5"/>
  <c r="F512" i="5"/>
  <c r="G512" i="5"/>
  <c r="H512" i="5"/>
  <c r="E513" i="5"/>
  <c r="F513" i="5"/>
  <c r="G513" i="5"/>
  <c r="H513" i="5"/>
  <c r="E514" i="5"/>
  <c r="F514" i="5"/>
  <c r="G514" i="5"/>
  <c r="H514" i="5"/>
  <c r="E515" i="5"/>
  <c r="F515" i="5"/>
  <c r="G515" i="5"/>
  <c r="H515" i="5"/>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3" i="2" s="1"/>
  <c r="A524" i="2" s="1"/>
  <c r="A525" i="2" s="1"/>
  <c r="A5" i="2"/>
  <c r="A4" i="2"/>
  <c r="A3" i="2"/>
  <c r="AD84" i="2"/>
  <c r="Y84" i="2"/>
  <c r="X84" i="2"/>
  <c r="W84" i="2"/>
  <c r="T84" i="2"/>
  <c r="R84" i="2"/>
  <c r="P84" i="2"/>
  <c r="O84" i="2" a="1"/>
  <c r="O84" i="2" s="1"/>
  <c r="AC84" i="2" s="1"/>
  <c r="L84" i="2"/>
  <c r="K84" i="2"/>
  <c r="AD83" i="2"/>
  <c r="Y83" i="2"/>
  <c r="X83" i="2"/>
  <c r="W83" i="2"/>
  <c r="T83" i="2"/>
  <c r="R83" i="2"/>
  <c r="P83" i="2"/>
  <c r="O83" i="2" a="1"/>
  <c r="O83" i="2" s="1"/>
  <c r="L83" i="2"/>
  <c r="K83" i="2"/>
  <c r="AD82" i="2"/>
  <c r="Y82" i="2"/>
  <c r="X82" i="2"/>
  <c r="W82" i="2"/>
  <c r="T82" i="2"/>
  <c r="R82" i="2"/>
  <c r="P82" i="2"/>
  <c r="O82" i="2" a="1"/>
  <c r="O82" i="2" s="1"/>
  <c r="AC82" i="2" s="1"/>
  <c r="L82" i="2"/>
  <c r="K82" i="2"/>
  <c r="AD81" i="2"/>
  <c r="Y81" i="2"/>
  <c r="X81" i="2"/>
  <c r="W81" i="2"/>
  <c r="T81" i="2"/>
  <c r="R81" i="2"/>
  <c r="P81" i="2"/>
  <c r="O81" i="2"/>
  <c r="AC81" i="2" s="1"/>
  <c r="O81" i="2" a="1"/>
  <c r="L81" i="2"/>
  <c r="K81" i="2"/>
  <c r="AD80" i="2"/>
  <c r="Y80" i="2"/>
  <c r="X80" i="2"/>
  <c r="W80" i="2"/>
  <c r="T80" i="2"/>
  <c r="R80" i="2"/>
  <c r="P80" i="2"/>
  <c r="O80" i="2" a="1"/>
  <c r="O80" i="2" s="1"/>
  <c r="AC80" i="2" s="1"/>
  <c r="L80" i="2"/>
  <c r="K80" i="2"/>
  <c r="AD79" i="2"/>
  <c r="Y79" i="2"/>
  <c r="X79" i="2"/>
  <c r="W79" i="2"/>
  <c r="T79" i="2"/>
  <c r="R79" i="2"/>
  <c r="P79" i="2"/>
  <c r="O79" i="2"/>
  <c r="AC79" i="2" s="1"/>
  <c r="O79" i="2" a="1"/>
  <c r="L79" i="2"/>
  <c r="K79" i="2"/>
  <c r="AD78" i="2"/>
  <c r="Y78" i="2"/>
  <c r="X78" i="2"/>
  <c r="W78" i="2"/>
  <c r="T78" i="2"/>
  <c r="R78" i="2"/>
  <c r="P78" i="2"/>
  <c r="O78" i="2" a="1"/>
  <c r="O78" i="2" s="1"/>
  <c r="L78" i="2"/>
  <c r="K78" i="2"/>
  <c r="AD77" i="2"/>
  <c r="Y77" i="2"/>
  <c r="X77" i="2"/>
  <c r="W77" i="2"/>
  <c r="T77" i="2"/>
  <c r="R77" i="2"/>
  <c r="P77" i="2"/>
  <c r="O77" i="2"/>
  <c r="AC77" i="2" s="1"/>
  <c r="O77" i="2" a="1"/>
  <c r="L77" i="2"/>
  <c r="K77" i="2"/>
  <c r="AD76" i="2"/>
  <c r="Y76" i="2"/>
  <c r="X76" i="2"/>
  <c r="W76" i="2"/>
  <c r="T76" i="2"/>
  <c r="R76" i="2"/>
  <c r="P76" i="2"/>
  <c r="O76" i="2" a="1"/>
  <c r="O76" i="2" s="1"/>
  <c r="L76" i="2"/>
  <c r="K76" i="2"/>
  <c r="AD75" i="2"/>
  <c r="Y75" i="2"/>
  <c r="X75" i="2"/>
  <c r="W75" i="2"/>
  <c r="T75" i="2"/>
  <c r="R75" i="2"/>
  <c r="P75" i="2"/>
  <c r="O75" i="2" a="1"/>
  <c r="O75" i="2" s="1"/>
  <c r="L75" i="2"/>
  <c r="K75" i="2"/>
  <c r="AD74" i="2"/>
  <c r="Y74" i="2"/>
  <c r="X74" i="2"/>
  <c r="W74" i="2"/>
  <c r="T74" i="2"/>
  <c r="R74" i="2"/>
  <c r="P74" i="2"/>
  <c r="O74" i="2" a="1"/>
  <c r="O74" i="2" s="1"/>
  <c r="L74" i="2"/>
  <c r="K74" i="2"/>
  <c r="AD73" i="2"/>
  <c r="Y73" i="2"/>
  <c r="X73" i="2"/>
  <c r="W73" i="2"/>
  <c r="T73" i="2"/>
  <c r="R73" i="2"/>
  <c r="P73" i="2"/>
  <c r="O73" i="2"/>
  <c r="AC73" i="2" s="1"/>
  <c r="O73" i="2" a="1"/>
  <c r="L73" i="2"/>
  <c r="K73" i="2"/>
  <c r="AD72" i="2"/>
  <c r="Y72" i="2"/>
  <c r="X72" i="2"/>
  <c r="W72" i="2"/>
  <c r="T72" i="2"/>
  <c r="R72" i="2"/>
  <c r="P72" i="2"/>
  <c r="O72" i="2" a="1"/>
  <c r="O72" i="2" s="1"/>
  <c r="L72" i="2"/>
  <c r="K72" i="2"/>
  <c r="Y71" i="2"/>
  <c r="X71" i="2"/>
  <c r="W71" i="2"/>
  <c r="T71" i="2"/>
  <c r="AC71" i="2" s="1"/>
  <c r="L71" i="2"/>
  <c r="K71" i="2"/>
  <c r="AD70" i="2"/>
  <c r="Y70" i="2"/>
  <c r="X70" i="2"/>
  <c r="W70" i="2"/>
  <c r="T70" i="2"/>
  <c r="R70" i="2"/>
  <c r="P70" i="2"/>
  <c r="O70" i="2"/>
  <c r="AC70" i="2" s="1"/>
  <c r="O70" i="2" a="1"/>
  <c r="L70" i="2"/>
  <c r="K70" i="2"/>
  <c r="AD69" i="2"/>
  <c r="Y69" i="2"/>
  <c r="X69" i="2"/>
  <c r="W69" i="2"/>
  <c r="T69" i="2"/>
  <c r="R69" i="2"/>
  <c r="P69" i="2"/>
  <c r="O69" i="2" a="1"/>
  <c r="O69" i="2" s="1"/>
  <c r="L69" i="2"/>
  <c r="K69" i="2"/>
  <c r="AD68" i="2"/>
  <c r="Y68" i="2"/>
  <c r="X68" i="2"/>
  <c r="W68" i="2"/>
  <c r="T68" i="2"/>
  <c r="R68" i="2"/>
  <c r="P68" i="2"/>
  <c r="O68" i="2"/>
  <c r="AC68" i="2" s="1"/>
  <c r="O68" i="2" a="1"/>
  <c r="L68" i="2"/>
  <c r="K68" i="2"/>
  <c r="AD67" i="2"/>
  <c r="Y67" i="2"/>
  <c r="X67" i="2"/>
  <c r="W67" i="2"/>
  <c r="T67" i="2"/>
  <c r="R67" i="2"/>
  <c r="P67" i="2"/>
  <c r="O67" i="2" a="1"/>
  <c r="O67" i="2" s="1"/>
  <c r="L67" i="2"/>
  <c r="K67" i="2"/>
  <c r="AD66" i="2"/>
  <c r="Y66" i="2"/>
  <c r="X66" i="2"/>
  <c r="W66" i="2"/>
  <c r="T66" i="2"/>
  <c r="R66" i="2"/>
  <c r="P66" i="2"/>
  <c r="O66" i="2" a="1"/>
  <c r="O66" i="2" s="1"/>
  <c r="L66" i="2"/>
  <c r="K66" i="2"/>
  <c r="AD65" i="2"/>
  <c r="Y65" i="2"/>
  <c r="X65" i="2"/>
  <c r="W65" i="2"/>
  <c r="T65" i="2"/>
  <c r="R65" i="2"/>
  <c r="P65" i="2"/>
  <c r="O65" i="2" a="1"/>
  <c r="O65" i="2" s="1"/>
  <c r="L65" i="2"/>
  <c r="K65" i="2"/>
  <c r="AD64" i="2"/>
  <c r="Y64" i="2"/>
  <c r="X64" i="2"/>
  <c r="W64" i="2"/>
  <c r="T64" i="2"/>
  <c r="R64" i="2"/>
  <c r="P64" i="2"/>
  <c r="O64" i="2"/>
  <c r="AC64" i="2" s="1"/>
  <c r="O64" i="2" a="1"/>
  <c r="L64" i="2"/>
  <c r="K64" i="2"/>
  <c r="AD63" i="2"/>
  <c r="Y63" i="2"/>
  <c r="X63" i="2"/>
  <c r="W63" i="2"/>
  <c r="T63" i="2"/>
  <c r="R63" i="2"/>
  <c r="P63" i="2"/>
  <c r="O63" i="2" a="1"/>
  <c r="O63" i="2" s="1"/>
  <c r="L63" i="2"/>
  <c r="K63" i="2"/>
  <c r="AD62" i="2"/>
  <c r="Y62" i="2"/>
  <c r="X62" i="2"/>
  <c r="W62" i="2"/>
  <c r="T62" i="2"/>
  <c r="R62" i="2"/>
  <c r="P62" i="2"/>
  <c r="O62" i="2" a="1"/>
  <c r="O62" i="2" s="1"/>
  <c r="L62" i="2"/>
  <c r="K62" i="2"/>
  <c r="AD61" i="2"/>
  <c r="Y61" i="2"/>
  <c r="X61" i="2"/>
  <c r="W61" i="2"/>
  <c r="T61" i="2"/>
  <c r="R61" i="2"/>
  <c r="P61" i="2"/>
  <c r="O61" i="2" a="1"/>
  <c r="O61" i="2" s="1"/>
  <c r="L61" i="2"/>
  <c r="K61" i="2"/>
  <c r="Y60" i="2"/>
  <c r="X60" i="2"/>
  <c r="W60" i="2"/>
  <c r="T60" i="2"/>
  <c r="AC60" i="2" s="1"/>
  <c r="L60" i="2"/>
  <c r="K60" i="2"/>
  <c r="AD59" i="2"/>
  <c r="Y59" i="2"/>
  <c r="X59" i="2"/>
  <c r="W59" i="2"/>
  <c r="T59" i="2"/>
  <c r="R59" i="2"/>
  <c r="P59" i="2"/>
  <c r="O59" i="2"/>
  <c r="AC59" i="2" s="1"/>
  <c r="O59" i="2" a="1"/>
  <c r="L59" i="2"/>
  <c r="K59" i="2"/>
  <c r="AD58" i="2"/>
  <c r="Y58" i="2"/>
  <c r="X58" i="2"/>
  <c r="W58" i="2"/>
  <c r="T58" i="2"/>
  <c r="R58" i="2"/>
  <c r="P58" i="2"/>
  <c r="O58" i="2"/>
  <c r="AC58" i="2" s="1"/>
  <c r="O58" i="2" a="1"/>
  <c r="L58" i="2"/>
  <c r="K58" i="2"/>
  <c r="AD57" i="2"/>
  <c r="Y57" i="2"/>
  <c r="X57" i="2"/>
  <c r="W57" i="2"/>
  <c r="T57" i="2"/>
  <c r="R57" i="2"/>
  <c r="P57" i="2"/>
  <c r="O57" i="2" a="1"/>
  <c r="O57" i="2" s="1"/>
  <c r="L57" i="2"/>
  <c r="K57" i="2"/>
  <c r="AD56" i="2"/>
  <c r="Y56" i="2"/>
  <c r="X56" i="2"/>
  <c r="W56" i="2"/>
  <c r="T56" i="2"/>
  <c r="R56" i="2"/>
  <c r="P56" i="2"/>
  <c r="O56" i="2" a="1"/>
  <c r="O56" i="2" s="1"/>
  <c r="L56" i="2"/>
  <c r="K56" i="2"/>
  <c r="AD55" i="2"/>
  <c r="Y55" i="2"/>
  <c r="X55" i="2"/>
  <c r="W55" i="2"/>
  <c r="T55" i="2"/>
  <c r="R55" i="2"/>
  <c r="P55" i="2"/>
  <c r="O55" i="2"/>
  <c r="AC55" i="2" s="1"/>
  <c r="O55" i="2" a="1"/>
  <c r="L55" i="2"/>
  <c r="K55" i="2"/>
  <c r="AD54" i="2"/>
  <c r="Y54" i="2"/>
  <c r="X54" i="2"/>
  <c r="W54" i="2"/>
  <c r="T54" i="2"/>
  <c r="R54" i="2"/>
  <c r="P54" i="2"/>
  <c r="O54" i="2" a="1"/>
  <c r="O54" i="2" s="1"/>
  <c r="L54" i="2"/>
  <c r="K54" i="2"/>
  <c r="AD53" i="2"/>
  <c r="Y53" i="2"/>
  <c r="X53" i="2"/>
  <c r="W53" i="2"/>
  <c r="T53" i="2"/>
  <c r="R53" i="2"/>
  <c r="P53" i="2"/>
  <c r="O53" i="2" a="1"/>
  <c r="O53" i="2" s="1"/>
  <c r="L53" i="2"/>
  <c r="K53" i="2"/>
  <c r="AD52" i="2"/>
  <c r="Y52" i="2"/>
  <c r="X52" i="2"/>
  <c r="W52" i="2"/>
  <c r="T52" i="2"/>
  <c r="R52" i="2"/>
  <c r="P52" i="2"/>
  <c r="O52" i="2" a="1"/>
  <c r="O52" i="2" s="1"/>
  <c r="L52" i="2"/>
  <c r="K52" i="2"/>
  <c r="AD51" i="2"/>
  <c r="Y51" i="2"/>
  <c r="X51" i="2"/>
  <c r="W51" i="2"/>
  <c r="T51" i="2"/>
  <c r="R51" i="2"/>
  <c r="P51" i="2"/>
  <c r="O51" i="2"/>
  <c r="AC51" i="2" s="1"/>
  <c r="O51" i="2" a="1"/>
  <c r="L51" i="2"/>
  <c r="K51" i="2"/>
  <c r="AD50" i="2"/>
  <c r="Y50" i="2"/>
  <c r="X50" i="2"/>
  <c r="W50" i="2"/>
  <c r="T50" i="2"/>
  <c r="R50" i="2"/>
  <c r="P50" i="2"/>
  <c r="O50" i="2" a="1"/>
  <c r="O50" i="2" s="1"/>
  <c r="L50" i="2"/>
  <c r="K50" i="2"/>
  <c r="AD49" i="2"/>
  <c r="Y49" i="2"/>
  <c r="X49" i="2"/>
  <c r="W49" i="2"/>
  <c r="T49" i="2"/>
  <c r="R49" i="2"/>
  <c r="P49" i="2"/>
  <c r="O49" i="2" a="1"/>
  <c r="O49" i="2" s="1"/>
  <c r="L49" i="2"/>
  <c r="K49" i="2"/>
  <c r="AD48" i="2"/>
  <c r="Y48" i="2"/>
  <c r="X48" i="2"/>
  <c r="W48" i="2"/>
  <c r="T48" i="2"/>
  <c r="R48" i="2"/>
  <c r="P48" i="2"/>
  <c r="O48" i="2" a="1"/>
  <c r="O48" i="2" s="1"/>
  <c r="L48" i="2"/>
  <c r="K48" i="2"/>
  <c r="AD47" i="2"/>
  <c r="Y47" i="2"/>
  <c r="X47" i="2"/>
  <c r="W47" i="2"/>
  <c r="T47" i="2"/>
  <c r="R47" i="2"/>
  <c r="P47" i="2"/>
  <c r="O47" i="2"/>
  <c r="AC47" i="2" s="1"/>
  <c r="O47" i="2" a="1"/>
  <c r="L47" i="2"/>
  <c r="K47" i="2"/>
  <c r="AD46" i="2"/>
  <c r="Y46" i="2"/>
  <c r="X46" i="2"/>
  <c r="W46" i="2"/>
  <c r="T46" i="2"/>
  <c r="R46" i="2"/>
  <c r="P46" i="2"/>
  <c r="O46" i="2" a="1"/>
  <c r="O46" i="2" s="1"/>
  <c r="L46" i="2"/>
  <c r="K46" i="2"/>
  <c r="AD45" i="2"/>
  <c r="Y45" i="2"/>
  <c r="X45" i="2"/>
  <c r="W45" i="2"/>
  <c r="T45" i="2"/>
  <c r="R45" i="2"/>
  <c r="P45" i="2"/>
  <c r="O45" i="2" a="1"/>
  <c r="O45" i="2" s="1"/>
  <c r="L45" i="2"/>
  <c r="K45" i="2"/>
  <c r="AD44" i="2"/>
  <c r="Y44" i="2"/>
  <c r="X44" i="2"/>
  <c r="W44" i="2"/>
  <c r="T44" i="2"/>
  <c r="R44" i="2"/>
  <c r="P44" i="2"/>
  <c r="O44" i="2" a="1"/>
  <c r="O44" i="2" s="1"/>
  <c r="L44" i="2"/>
  <c r="K44" i="2"/>
  <c r="AD43" i="2"/>
  <c r="Y43" i="2"/>
  <c r="X43" i="2"/>
  <c r="W43" i="2"/>
  <c r="T43" i="2"/>
  <c r="R43" i="2"/>
  <c r="P43" i="2"/>
  <c r="O43" i="2"/>
  <c r="AC43" i="2" s="1"/>
  <c r="O43" i="2" a="1"/>
  <c r="L43" i="2"/>
  <c r="K43" i="2"/>
  <c r="AD42" i="2"/>
  <c r="Y42" i="2"/>
  <c r="X42" i="2"/>
  <c r="W42" i="2"/>
  <c r="T42" i="2"/>
  <c r="R42" i="2"/>
  <c r="P42" i="2"/>
  <c r="O42" i="2"/>
  <c r="AC42" i="2" s="1"/>
  <c r="O42" i="2" a="1"/>
  <c r="L42" i="2"/>
  <c r="K42" i="2"/>
  <c r="AD41" i="2"/>
  <c r="Y41" i="2"/>
  <c r="X41" i="2"/>
  <c r="W41" i="2"/>
  <c r="T41" i="2"/>
  <c r="R41" i="2"/>
  <c r="P41" i="2"/>
  <c r="O41" i="2" a="1"/>
  <c r="O41" i="2" s="1"/>
  <c r="L41" i="2"/>
  <c r="K41" i="2"/>
  <c r="AD40" i="2"/>
  <c r="Y40" i="2"/>
  <c r="X40" i="2"/>
  <c r="W40" i="2"/>
  <c r="T40" i="2"/>
  <c r="R40" i="2"/>
  <c r="P40" i="2"/>
  <c r="O40" i="2" a="1"/>
  <c r="O40" i="2" s="1"/>
  <c r="L40" i="2"/>
  <c r="K40" i="2"/>
  <c r="AD39" i="2"/>
  <c r="Y39" i="2"/>
  <c r="X39" i="2"/>
  <c r="W39" i="2"/>
  <c r="T39" i="2"/>
  <c r="R39" i="2"/>
  <c r="P39" i="2"/>
  <c r="O39" i="2"/>
  <c r="AC39" i="2" s="1"/>
  <c r="O39" i="2" a="1"/>
  <c r="L39" i="2"/>
  <c r="K39" i="2"/>
  <c r="AD38" i="2"/>
  <c r="Y38" i="2"/>
  <c r="X38" i="2"/>
  <c r="W38" i="2"/>
  <c r="T38" i="2"/>
  <c r="R38" i="2"/>
  <c r="P38" i="2"/>
  <c r="O38" i="2" a="1"/>
  <c r="O38" i="2" s="1"/>
  <c r="L38" i="2"/>
  <c r="K38" i="2"/>
  <c r="AD37" i="2"/>
  <c r="Y37" i="2"/>
  <c r="X37" i="2"/>
  <c r="W37" i="2"/>
  <c r="T37" i="2"/>
  <c r="R37" i="2"/>
  <c r="P37" i="2"/>
  <c r="O37" i="2" a="1"/>
  <c r="O37" i="2" s="1"/>
  <c r="L37" i="2"/>
  <c r="K37" i="2"/>
  <c r="AD36" i="2"/>
  <c r="Y36" i="2"/>
  <c r="X36" i="2"/>
  <c r="W36" i="2"/>
  <c r="T36" i="2"/>
  <c r="R36" i="2"/>
  <c r="P36" i="2"/>
  <c r="O36" i="2" a="1"/>
  <c r="O36" i="2" s="1"/>
  <c r="L36" i="2"/>
  <c r="K36" i="2"/>
  <c r="AD35" i="2"/>
  <c r="Y35" i="2"/>
  <c r="X35" i="2"/>
  <c r="W35" i="2"/>
  <c r="T35" i="2"/>
  <c r="R35" i="2"/>
  <c r="P35" i="2"/>
  <c r="O35" i="2"/>
  <c r="AC35" i="2" s="1"/>
  <c r="O35" i="2" a="1"/>
  <c r="L35" i="2"/>
  <c r="K35" i="2"/>
  <c r="AD34" i="2"/>
  <c r="Y34" i="2"/>
  <c r="X34" i="2"/>
  <c r="W34" i="2"/>
  <c r="T34" i="2"/>
  <c r="R34" i="2"/>
  <c r="P34" i="2"/>
  <c r="O34" i="2"/>
  <c r="AC34" i="2" s="1"/>
  <c r="O34" i="2" a="1"/>
  <c r="L34" i="2"/>
  <c r="K34" i="2"/>
  <c r="AD33" i="2"/>
  <c r="Y33" i="2"/>
  <c r="X33" i="2"/>
  <c r="W33" i="2"/>
  <c r="T33" i="2"/>
  <c r="R33" i="2"/>
  <c r="P33" i="2"/>
  <c r="O33" i="2" a="1"/>
  <c r="O33" i="2" s="1"/>
  <c r="L33" i="2"/>
  <c r="K33" i="2"/>
  <c r="AD32" i="2"/>
  <c r="Y32" i="2"/>
  <c r="X32" i="2"/>
  <c r="W32" i="2"/>
  <c r="T32" i="2"/>
  <c r="R32" i="2"/>
  <c r="P32" i="2"/>
  <c r="O32" i="2" a="1"/>
  <c r="O32" i="2" s="1"/>
  <c r="L32" i="2"/>
  <c r="K32" i="2"/>
  <c r="AD31" i="2"/>
  <c r="Y31" i="2"/>
  <c r="X31" i="2"/>
  <c r="W31" i="2"/>
  <c r="T31" i="2"/>
  <c r="R31" i="2"/>
  <c r="P31" i="2"/>
  <c r="O31" i="2"/>
  <c r="AC31" i="2" s="1"/>
  <c r="O31" i="2" a="1"/>
  <c r="L31" i="2"/>
  <c r="K31" i="2"/>
  <c r="AD30" i="2"/>
  <c r="Y30" i="2"/>
  <c r="X30" i="2"/>
  <c r="W30" i="2"/>
  <c r="T30" i="2"/>
  <c r="R30" i="2"/>
  <c r="P30" i="2"/>
  <c r="O30" i="2" a="1"/>
  <c r="O30" i="2" s="1"/>
  <c r="L30" i="2"/>
  <c r="K30" i="2"/>
  <c r="AD29" i="2"/>
  <c r="Y29" i="2"/>
  <c r="X29" i="2"/>
  <c r="W29" i="2"/>
  <c r="T29" i="2"/>
  <c r="R29" i="2"/>
  <c r="P29" i="2"/>
  <c r="O29" i="2" a="1"/>
  <c r="O29" i="2" s="1"/>
  <c r="L29" i="2"/>
  <c r="K29" i="2"/>
  <c r="AD28" i="2"/>
  <c r="Y28" i="2"/>
  <c r="X28" i="2"/>
  <c r="W28" i="2"/>
  <c r="T28" i="2"/>
  <c r="R28" i="2"/>
  <c r="P28" i="2"/>
  <c r="O28" i="2" a="1"/>
  <c r="O28" i="2" s="1"/>
  <c r="L28" i="2"/>
  <c r="K28" i="2"/>
  <c r="AD27" i="2"/>
  <c r="Y27" i="2"/>
  <c r="X27" i="2"/>
  <c r="W27" i="2"/>
  <c r="T27" i="2"/>
  <c r="R27" i="2"/>
  <c r="P27" i="2"/>
  <c r="O27" i="2"/>
  <c r="AC27" i="2" s="1"/>
  <c r="O27" i="2" a="1"/>
  <c r="L27" i="2"/>
  <c r="K27" i="2"/>
  <c r="AD26" i="2"/>
  <c r="Y26" i="2"/>
  <c r="X26" i="2"/>
  <c r="W26" i="2"/>
  <c r="T26" i="2"/>
  <c r="R26" i="2"/>
  <c r="P26" i="2"/>
  <c r="O26" i="2" a="1"/>
  <c r="O26" i="2" s="1"/>
  <c r="L26" i="2"/>
  <c r="K26" i="2"/>
  <c r="AD25" i="2"/>
  <c r="Y25" i="2"/>
  <c r="X25" i="2"/>
  <c r="W25" i="2"/>
  <c r="T25" i="2"/>
  <c r="R25" i="2"/>
  <c r="P25" i="2"/>
  <c r="O25" i="2" a="1"/>
  <c r="O25" i="2" s="1"/>
  <c r="L25" i="2"/>
  <c r="K25" i="2"/>
  <c r="AD24" i="2"/>
  <c r="Y24" i="2"/>
  <c r="X24" i="2"/>
  <c r="W24" i="2"/>
  <c r="T24" i="2"/>
  <c r="R24" i="2"/>
  <c r="P24" i="2"/>
  <c r="O24" i="2" a="1"/>
  <c r="O24" i="2" s="1"/>
  <c r="L24" i="2"/>
  <c r="K24" i="2"/>
  <c r="AD23" i="2"/>
  <c r="Y23" i="2"/>
  <c r="X23" i="2"/>
  <c r="W23" i="2"/>
  <c r="T23" i="2"/>
  <c r="R23" i="2"/>
  <c r="P23" i="2"/>
  <c r="O23" i="2"/>
  <c r="AC23" i="2" s="1"/>
  <c r="O23" i="2" a="1"/>
  <c r="L23" i="2"/>
  <c r="K23" i="2"/>
  <c r="B15" i="5" a="1"/>
  <c r="B15" i="5" s="1"/>
  <c r="B14" i="5"/>
  <c r="B12" i="5"/>
  <c r="F11" i="5"/>
  <c r="G11" i="5" s="1"/>
  <c r="F10" i="5"/>
  <c r="G10" i="5" s="1"/>
  <c r="F9" i="5"/>
  <c r="G9" i="5" s="1"/>
  <c r="F8" i="5"/>
  <c r="G8" i="5" s="1"/>
  <c r="AD525" i="2"/>
  <c r="Y525" i="2"/>
  <c r="X525" i="2"/>
  <c r="W525" i="2"/>
  <c r="T525" i="2"/>
  <c r="R525" i="2"/>
  <c r="P525" i="2"/>
  <c r="O525" i="2" a="1"/>
  <c r="O525" i="2" s="1"/>
  <c r="L525" i="2"/>
  <c r="K525" i="2"/>
  <c r="AD524" i="2"/>
  <c r="Y524" i="2"/>
  <c r="X524" i="2"/>
  <c r="W524" i="2"/>
  <c r="T524" i="2"/>
  <c r="R524" i="2"/>
  <c r="P524" i="2"/>
  <c r="O524" i="2" a="1"/>
  <c r="O524" i="2" s="1"/>
  <c r="L524" i="2"/>
  <c r="K524" i="2"/>
  <c r="AD523" i="2"/>
  <c r="Y523" i="2"/>
  <c r="X523" i="2"/>
  <c r="W523" i="2"/>
  <c r="T523" i="2"/>
  <c r="R523" i="2"/>
  <c r="P523" i="2"/>
  <c r="O523" i="2" a="1"/>
  <c r="O523" i="2" s="1"/>
  <c r="L523" i="2"/>
  <c r="K523" i="2"/>
  <c r="AD522" i="2"/>
  <c r="Y522" i="2"/>
  <c r="X522" i="2"/>
  <c r="W522" i="2"/>
  <c r="T522" i="2"/>
  <c r="R522" i="2"/>
  <c r="P522" i="2"/>
  <c r="O522" i="2" a="1"/>
  <c r="O522" i="2" s="1"/>
  <c r="L522" i="2"/>
  <c r="K522" i="2"/>
  <c r="AD521" i="2"/>
  <c r="Y521" i="2"/>
  <c r="X521" i="2"/>
  <c r="W521" i="2"/>
  <c r="T521" i="2"/>
  <c r="R521" i="2"/>
  <c r="P521" i="2"/>
  <c r="O521" i="2" a="1"/>
  <c r="O521" i="2" s="1"/>
  <c r="L521" i="2"/>
  <c r="K521" i="2"/>
  <c r="AD520" i="2"/>
  <c r="Y520" i="2"/>
  <c r="X520" i="2"/>
  <c r="W520" i="2"/>
  <c r="T520" i="2"/>
  <c r="R520" i="2"/>
  <c r="P520" i="2"/>
  <c r="O520" i="2" a="1"/>
  <c r="O520" i="2" s="1"/>
  <c r="L520" i="2"/>
  <c r="K520" i="2"/>
  <c r="AD519" i="2"/>
  <c r="Y519" i="2"/>
  <c r="X519" i="2"/>
  <c r="W519" i="2"/>
  <c r="T519" i="2"/>
  <c r="R519" i="2"/>
  <c r="P519" i="2"/>
  <c r="O519" i="2" a="1"/>
  <c r="O519" i="2" s="1"/>
  <c r="L519" i="2"/>
  <c r="K519" i="2"/>
  <c r="AD518" i="2"/>
  <c r="Y518" i="2"/>
  <c r="X518" i="2"/>
  <c r="W518" i="2"/>
  <c r="T518" i="2"/>
  <c r="R518" i="2"/>
  <c r="P518" i="2"/>
  <c r="O518" i="2" a="1"/>
  <c r="O518" i="2" s="1"/>
  <c r="L518" i="2"/>
  <c r="K518" i="2"/>
  <c r="K517" i="2"/>
  <c r="K516" i="2"/>
  <c r="K515" i="2"/>
  <c r="K514" i="2"/>
  <c r="K513" i="2"/>
  <c r="K512" i="2"/>
  <c r="K511" i="2"/>
  <c r="K510" i="2"/>
  <c r="K509" i="2"/>
  <c r="K508" i="2"/>
  <c r="K507" i="2"/>
  <c r="K506" i="2"/>
  <c r="K505" i="2"/>
  <c r="K504" i="2"/>
  <c r="K503" i="2"/>
  <c r="K502" i="2"/>
  <c r="K501" i="2"/>
  <c r="K500" i="2"/>
  <c r="K499" i="2"/>
  <c r="K498" i="2"/>
  <c r="K497" i="2"/>
  <c r="K496" i="2"/>
  <c r="K495" i="2"/>
  <c r="K494" i="2"/>
  <c r="K493" i="2"/>
  <c r="K492" i="2"/>
  <c r="K491" i="2"/>
  <c r="K490" i="2"/>
  <c r="K489" i="2"/>
  <c r="K488" i="2"/>
  <c r="K487" i="2"/>
  <c r="K486" i="2"/>
  <c r="K485" i="2"/>
  <c r="K484" i="2"/>
  <c r="K483" i="2"/>
  <c r="K482" i="2"/>
  <c r="K481" i="2"/>
  <c r="K480" i="2"/>
  <c r="K479" i="2"/>
  <c r="K478" i="2"/>
  <c r="K477" i="2"/>
  <c r="K476" i="2"/>
  <c r="K475" i="2"/>
  <c r="K474" i="2"/>
  <c r="K473" i="2"/>
  <c r="K472" i="2"/>
  <c r="K471" i="2"/>
  <c r="K470" i="2"/>
  <c r="K469" i="2"/>
  <c r="K468" i="2"/>
  <c r="K467" i="2"/>
  <c r="K466" i="2"/>
  <c r="K465" i="2"/>
  <c r="K464" i="2"/>
  <c r="K463" i="2"/>
  <c r="K462" i="2"/>
  <c r="K461" i="2"/>
  <c r="K460" i="2"/>
  <c r="K459" i="2"/>
  <c r="K458" i="2"/>
  <c r="K457" i="2"/>
  <c r="K456" i="2"/>
  <c r="K455" i="2"/>
  <c r="K454" i="2"/>
  <c r="K453" i="2"/>
  <c r="K452" i="2"/>
  <c r="K451" i="2"/>
  <c r="K450" i="2"/>
  <c r="K449" i="2"/>
  <c r="K448" i="2"/>
  <c r="K447" i="2"/>
  <c r="K446" i="2"/>
  <c r="K445" i="2"/>
  <c r="K444" i="2"/>
  <c r="K443" i="2"/>
  <c r="K442" i="2"/>
  <c r="K441" i="2"/>
  <c r="K440" i="2"/>
  <c r="K439" i="2"/>
  <c r="K438" i="2"/>
  <c r="K437" i="2"/>
  <c r="K436" i="2"/>
  <c r="K435" i="2"/>
  <c r="K434" i="2"/>
  <c r="K433" i="2"/>
  <c r="K432" i="2"/>
  <c r="K431" i="2"/>
  <c r="K430" i="2"/>
  <c r="K429" i="2"/>
  <c r="K428" i="2"/>
  <c r="K427" i="2"/>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O517" i="2" a="1"/>
  <c r="O517" i="2" s="1"/>
  <c r="O516" i="2" a="1"/>
  <c r="O516" i="2" s="1"/>
  <c r="O515" i="2" a="1"/>
  <c r="O515" i="2" s="1"/>
  <c r="O514" i="2" a="1"/>
  <c r="O514" i="2" s="1"/>
  <c r="O513" i="2" a="1"/>
  <c r="O513" i="2" s="1"/>
  <c r="O512" i="2" a="1"/>
  <c r="O512" i="2" s="1"/>
  <c r="O511" i="2" a="1"/>
  <c r="O511" i="2" s="1"/>
  <c r="O510" i="2" a="1"/>
  <c r="O510" i="2" s="1"/>
  <c r="O509" i="2" a="1"/>
  <c r="O509" i="2" s="1"/>
  <c r="O508" i="2" a="1"/>
  <c r="O508" i="2" s="1"/>
  <c r="O507" i="2" a="1"/>
  <c r="O507" i="2" s="1"/>
  <c r="O506" i="2" a="1"/>
  <c r="O506" i="2" s="1"/>
  <c r="O505" i="2" a="1"/>
  <c r="O505" i="2" s="1"/>
  <c r="O504" i="2" a="1"/>
  <c r="O504" i="2" s="1"/>
  <c r="O503" i="2" a="1"/>
  <c r="O503" i="2" s="1"/>
  <c r="O502" i="2" a="1"/>
  <c r="O502" i="2" s="1"/>
  <c r="O501" i="2" a="1"/>
  <c r="O501" i="2" s="1"/>
  <c r="O500" i="2" a="1"/>
  <c r="O500" i="2" s="1"/>
  <c r="O499" i="2" a="1"/>
  <c r="O499" i="2" s="1"/>
  <c r="O498" i="2" a="1"/>
  <c r="O498" i="2" s="1"/>
  <c r="O497" i="2" a="1"/>
  <c r="O497" i="2" s="1"/>
  <c r="O496" i="2" a="1"/>
  <c r="O496" i="2" s="1"/>
  <c r="O495" i="2" a="1"/>
  <c r="O495" i="2" s="1"/>
  <c r="O494" i="2" a="1"/>
  <c r="O494" i="2" s="1"/>
  <c r="O493" i="2" a="1"/>
  <c r="O493" i="2" s="1"/>
  <c r="O492" i="2" a="1"/>
  <c r="O492" i="2" s="1"/>
  <c r="O491" i="2" a="1"/>
  <c r="O491" i="2" s="1"/>
  <c r="O490" i="2" a="1"/>
  <c r="O490" i="2" s="1"/>
  <c r="O489" i="2" a="1"/>
  <c r="O489" i="2" s="1"/>
  <c r="O488" i="2" a="1"/>
  <c r="O488" i="2" s="1"/>
  <c r="O487" i="2" a="1"/>
  <c r="O487" i="2" s="1"/>
  <c r="O486" i="2" a="1"/>
  <c r="O486" i="2" s="1"/>
  <c r="O485" i="2" a="1"/>
  <c r="O485" i="2" s="1"/>
  <c r="O484" i="2" a="1"/>
  <c r="O484" i="2" s="1"/>
  <c r="O483" i="2" a="1"/>
  <c r="O483" i="2" s="1"/>
  <c r="O482" i="2" a="1"/>
  <c r="O482" i="2" s="1"/>
  <c r="O481" i="2" a="1"/>
  <c r="O481" i="2" s="1"/>
  <c r="O480" i="2" a="1"/>
  <c r="O480" i="2" s="1"/>
  <c r="O479" i="2" a="1"/>
  <c r="O479" i="2" s="1"/>
  <c r="O478" i="2" a="1"/>
  <c r="O478" i="2" s="1"/>
  <c r="O477" i="2" a="1"/>
  <c r="O477" i="2" s="1"/>
  <c r="O476" i="2" a="1"/>
  <c r="O476" i="2" s="1"/>
  <c r="O475" i="2" a="1"/>
  <c r="O475" i="2" s="1"/>
  <c r="O474" i="2" a="1"/>
  <c r="O474" i="2" s="1"/>
  <c r="O473" i="2" a="1"/>
  <c r="O473" i="2" s="1"/>
  <c r="O472" i="2" a="1"/>
  <c r="O472" i="2" s="1"/>
  <c r="O471" i="2" a="1"/>
  <c r="O471" i="2" s="1"/>
  <c r="O470" i="2" a="1"/>
  <c r="O470" i="2" s="1"/>
  <c r="O469" i="2" a="1"/>
  <c r="O469" i="2" s="1"/>
  <c r="O468" i="2" a="1"/>
  <c r="O468" i="2" s="1"/>
  <c r="O467" i="2" a="1"/>
  <c r="O467" i="2" s="1"/>
  <c r="O466" i="2" a="1"/>
  <c r="O466" i="2" s="1"/>
  <c r="O465" i="2" a="1"/>
  <c r="O465" i="2" s="1"/>
  <c r="O464" i="2" a="1"/>
  <c r="O464" i="2" s="1"/>
  <c r="O463" i="2" a="1"/>
  <c r="O463" i="2" s="1"/>
  <c r="O462" i="2" a="1"/>
  <c r="O462" i="2" s="1"/>
  <c r="O461" i="2" a="1"/>
  <c r="O461" i="2" s="1"/>
  <c r="O460" i="2" a="1"/>
  <c r="O460" i="2" s="1"/>
  <c r="O459" i="2" a="1"/>
  <c r="O459" i="2" s="1"/>
  <c r="O458" i="2" a="1"/>
  <c r="O458" i="2" s="1"/>
  <c r="O457" i="2" a="1"/>
  <c r="O457" i="2" s="1"/>
  <c r="O456" i="2" a="1"/>
  <c r="O456" i="2" s="1"/>
  <c r="O455" i="2" a="1"/>
  <c r="O455" i="2" s="1"/>
  <c r="O454" i="2" a="1"/>
  <c r="O454" i="2" s="1"/>
  <c r="O453" i="2" a="1"/>
  <c r="O453" i="2" s="1"/>
  <c r="O452" i="2" a="1"/>
  <c r="O452" i="2" s="1"/>
  <c r="O451" i="2" a="1"/>
  <c r="O451" i="2" s="1"/>
  <c r="O450" i="2" a="1"/>
  <c r="O450" i="2" s="1"/>
  <c r="O449" i="2" a="1"/>
  <c r="O449" i="2" s="1"/>
  <c r="O448" i="2" a="1"/>
  <c r="O448" i="2" s="1"/>
  <c r="O447" i="2" a="1"/>
  <c r="O447" i="2" s="1"/>
  <c r="O446" i="2" a="1"/>
  <c r="O446" i="2" s="1"/>
  <c r="O445" i="2" a="1"/>
  <c r="O445" i="2" s="1"/>
  <c r="O444" i="2" a="1"/>
  <c r="O444" i="2" s="1"/>
  <c r="O443" i="2" a="1"/>
  <c r="O443" i="2" s="1"/>
  <c r="O442" i="2" a="1"/>
  <c r="O442" i="2" s="1"/>
  <c r="O441" i="2" a="1"/>
  <c r="O441" i="2" s="1"/>
  <c r="O440" i="2" a="1"/>
  <c r="O440" i="2" s="1"/>
  <c r="O439" i="2" a="1"/>
  <c r="O439" i="2" s="1"/>
  <c r="O438" i="2" a="1"/>
  <c r="O438" i="2" s="1"/>
  <c r="O437" i="2" a="1"/>
  <c r="O437" i="2" s="1"/>
  <c r="O436" i="2" a="1"/>
  <c r="O436" i="2" s="1"/>
  <c r="O435" i="2" a="1"/>
  <c r="O435" i="2" s="1"/>
  <c r="O434" i="2" a="1"/>
  <c r="O434" i="2" s="1"/>
  <c r="O433" i="2" a="1"/>
  <c r="O433" i="2" s="1"/>
  <c r="O432" i="2" a="1"/>
  <c r="O432" i="2" s="1"/>
  <c r="O431" i="2" a="1"/>
  <c r="O431" i="2" s="1"/>
  <c r="O430" i="2" a="1"/>
  <c r="O430" i="2" s="1"/>
  <c r="O429" i="2" a="1"/>
  <c r="O429" i="2" s="1"/>
  <c r="O428" i="2" a="1"/>
  <c r="O428" i="2" s="1"/>
  <c r="O427" i="2" a="1"/>
  <c r="O427" i="2" s="1"/>
  <c r="O426" i="2" a="1"/>
  <c r="O426" i="2" s="1"/>
  <c r="O425" i="2" a="1"/>
  <c r="O425" i="2" s="1"/>
  <c r="O424" i="2" a="1"/>
  <c r="O424" i="2" s="1"/>
  <c r="O423" i="2" a="1"/>
  <c r="O423" i="2" s="1"/>
  <c r="O422" i="2" a="1"/>
  <c r="O422" i="2" s="1"/>
  <c r="O421" i="2" a="1"/>
  <c r="O421" i="2" s="1"/>
  <c r="O420" i="2" a="1"/>
  <c r="O420" i="2" s="1"/>
  <c r="O419" i="2" a="1"/>
  <c r="O419" i="2" s="1"/>
  <c r="O418" i="2" a="1"/>
  <c r="O418" i="2" s="1"/>
  <c r="O417" i="2" a="1"/>
  <c r="O417" i="2" s="1"/>
  <c r="O416" i="2" a="1"/>
  <c r="O416" i="2" s="1"/>
  <c r="O415" i="2" a="1"/>
  <c r="O415" i="2" s="1"/>
  <c r="O414" i="2" a="1"/>
  <c r="O414" i="2" s="1"/>
  <c r="O413" i="2" a="1"/>
  <c r="O413" i="2" s="1"/>
  <c r="O412" i="2" a="1"/>
  <c r="O412" i="2" s="1"/>
  <c r="O411" i="2" a="1"/>
  <c r="O411" i="2" s="1"/>
  <c r="O410" i="2" a="1"/>
  <c r="O410" i="2" s="1"/>
  <c r="O409" i="2" a="1"/>
  <c r="O409" i="2" s="1"/>
  <c r="O408" i="2" a="1"/>
  <c r="O408" i="2" s="1"/>
  <c r="O407" i="2" a="1"/>
  <c r="O407" i="2" s="1"/>
  <c r="O406" i="2" a="1"/>
  <c r="O406" i="2" s="1"/>
  <c r="O405" i="2" a="1"/>
  <c r="O405" i="2" s="1"/>
  <c r="O404" i="2" a="1"/>
  <c r="O404" i="2" s="1"/>
  <c r="O403" i="2" a="1"/>
  <c r="O403" i="2" s="1"/>
  <c r="O402" i="2" a="1"/>
  <c r="O402" i="2" s="1"/>
  <c r="O401" i="2" a="1"/>
  <c r="O401" i="2" s="1"/>
  <c r="O400" i="2" a="1"/>
  <c r="O400" i="2" s="1"/>
  <c r="O399" i="2" a="1"/>
  <c r="O399" i="2" s="1"/>
  <c r="O398" i="2" a="1"/>
  <c r="O398" i="2" s="1"/>
  <c r="O397" i="2" a="1"/>
  <c r="O397" i="2" s="1"/>
  <c r="O396" i="2" a="1"/>
  <c r="O396" i="2" s="1"/>
  <c r="O395" i="2" a="1"/>
  <c r="O395" i="2" s="1"/>
  <c r="O394" i="2" a="1"/>
  <c r="O394" i="2" s="1"/>
  <c r="O393" i="2" a="1"/>
  <c r="O393" i="2" s="1"/>
  <c r="O392" i="2" a="1"/>
  <c r="O392" i="2" s="1"/>
  <c r="O391" i="2" a="1"/>
  <c r="O391" i="2" s="1"/>
  <c r="O390" i="2" a="1"/>
  <c r="O390" i="2" s="1"/>
  <c r="O389" i="2" a="1"/>
  <c r="O389" i="2" s="1"/>
  <c r="O388" i="2" a="1"/>
  <c r="O388" i="2" s="1"/>
  <c r="O387" i="2" a="1"/>
  <c r="O387" i="2" s="1"/>
  <c r="O386" i="2" a="1"/>
  <c r="O386" i="2" s="1"/>
  <c r="O385" i="2" a="1"/>
  <c r="O385" i="2" s="1"/>
  <c r="O384" i="2" a="1"/>
  <c r="O384" i="2" s="1"/>
  <c r="O383" i="2" a="1"/>
  <c r="O383" i="2" s="1"/>
  <c r="O382" i="2" a="1"/>
  <c r="O382" i="2" s="1"/>
  <c r="O381" i="2" a="1"/>
  <c r="O381" i="2" s="1"/>
  <c r="O380" i="2" a="1"/>
  <c r="O380" i="2" s="1"/>
  <c r="O379" i="2" a="1"/>
  <c r="O379" i="2" s="1"/>
  <c r="O378" i="2" a="1"/>
  <c r="O378" i="2" s="1"/>
  <c r="O377" i="2" a="1"/>
  <c r="O377" i="2" s="1"/>
  <c r="O376" i="2" a="1"/>
  <c r="O376" i="2" s="1"/>
  <c r="O375" i="2" a="1"/>
  <c r="O375" i="2" s="1"/>
  <c r="O374" i="2" a="1"/>
  <c r="O374" i="2" s="1"/>
  <c r="O373" i="2" a="1"/>
  <c r="O373" i="2" s="1"/>
  <c r="O372" i="2" a="1"/>
  <c r="O372" i="2" s="1"/>
  <c r="O371" i="2" a="1"/>
  <c r="O371" i="2" s="1"/>
  <c r="O370" i="2" a="1"/>
  <c r="O370" i="2" s="1"/>
  <c r="O369" i="2" a="1"/>
  <c r="O369" i="2" s="1"/>
  <c r="O368" i="2" a="1"/>
  <c r="O368" i="2" s="1"/>
  <c r="O367" i="2" a="1"/>
  <c r="O367" i="2" s="1"/>
  <c r="O366" i="2" a="1"/>
  <c r="O366" i="2" s="1"/>
  <c r="O365" i="2" a="1"/>
  <c r="O365" i="2" s="1"/>
  <c r="O364" i="2" a="1"/>
  <c r="O364" i="2" s="1"/>
  <c r="O363" i="2" a="1"/>
  <c r="O363" i="2" s="1"/>
  <c r="O362" i="2" a="1"/>
  <c r="O362" i="2" s="1"/>
  <c r="O361" i="2" a="1"/>
  <c r="O361" i="2" s="1"/>
  <c r="O360" i="2" a="1"/>
  <c r="O360" i="2" s="1"/>
  <c r="O359" i="2" a="1"/>
  <c r="O359" i="2" s="1"/>
  <c r="O358" i="2" a="1"/>
  <c r="O358" i="2" s="1"/>
  <c r="O357" i="2" a="1"/>
  <c r="O357" i="2" s="1"/>
  <c r="O356" i="2" a="1"/>
  <c r="O356" i="2" s="1"/>
  <c r="O355" i="2" a="1"/>
  <c r="O355" i="2" s="1"/>
  <c r="O354" i="2" a="1"/>
  <c r="O354" i="2" s="1"/>
  <c r="O353" i="2" a="1"/>
  <c r="O353" i="2" s="1"/>
  <c r="O352" i="2" a="1"/>
  <c r="O352" i="2" s="1"/>
  <c r="O351" i="2" a="1"/>
  <c r="O351" i="2" s="1"/>
  <c r="O350" i="2" a="1"/>
  <c r="O350" i="2" s="1"/>
  <c r="O349" i="2" a="1"/>
  <c r="O349" i="2" s="1"/>
  <c r="O348" i="2" a="1"/>
  <c r="O348" i="2" s="1"/>
  <c r="O347" i="2" a="1"/>
  <c r="O347" i="2" s="1"/>
  <c r="O346" i="2" a="1"/>
  <c r="O346" i="2" s="1"/>
  <c r="O345" i="2" a="1"/>
  <c r="O345" i="2" s="1"/>
  <c r="O344" i="2" a="1"/>
  <c r="O344" i="2" s="1"/>
  <c r="O343" i="2" a="1"/>
  <c r="O343" i="2" s="1"/>
  <c r="O342" i="2" a="1"/>
  <c r="O342" i="2" s="1"/>
  <c r="O341" i="2" a="1"/>
  <c r="O341" i="2" s="1"/>
  <c r="O340" i="2" a="1"/>
  <c r="O340" i="2" s="1"/>
  <c r="O339" i="2" a="1"/>
  <c r="O339" i="2" s="1"/>
  <c r="O338" i="2" a="1"/>
  <c r="O338" i="2" s="1"/>
  <c r="O337" i="2" a="1"/>
  <c r="O337" i="2" s="1"/>
  <c r="O336" i="2" a="1"/>
  <c r="O336" i="2" s="1"/>
  <c r="O335" i="2" a="1"/>
  <c r="O335" i="2" s="1"/>
  <c r="O334" i="2" a="1"/>
  <c r="O334" i="2" s="1"/>
  <c r="O333" i="2" a="1"/>
  <c r="O333" i="2" s="1"/>
  <c r="O332" i="2" a="1"/>
  <c r="O332" i="2" s="1"/>
  <c r="O331" i="2" a="1"/>
  <c r="O331" i="2" s="1"/>
  <c r="O330" i="2" a="1"/>
  <c r="O330" i="2" s="1"/>
  <c r="O329" i="2" a="1"/>
  <c r="O329" i="2" s="1"/>
  <c r="O328" i="2" a="1"/>
  <c r="O328" i="2" s="1"/>
  <c r="O327" i="2" a="1"/>
  <c r="O327" i="2" s="1"/>
  <c r="O326" i="2" a="1"/>
  <c r="O326" i="2" s="1"/>
  <c r="O325" i="2" a="1"/>
  <c r="O325" i="2" s="1"/>
  <c r="O324" i="2" a="1"/>
  <c r="O324" i="2" s="1"/>
  <c r="O323" i="2" a="1"/>
  <c r="O323" i="2" s="1"/>
  <c r="O322" i="2" a="1"/>
  <c r="O322" i="2" s="1"/>
  <c r="O321" i="2" a="1"/>
  <c r="O321" i="2" s="1"/>
  <c r="O320" i="2" a="1"/>
  <c r="O320" i="2" s="1"/>
  <c r="O319" i="2" a="1"/>
  <c r="O319" i="2" s="1"/>
  <c r="O318" i="2" a="1"/>
  <c r="O318" i="2" s="1"/>
  <c r="O317" i="2" a="1"/>
  <c r="O317" i="2" s="1"/>
  <c r="O316" i="2" a="1"/>
  <c r="O316" i="2" s="1"/>
  <c r="O315" i="2" a="1"/>
  <c r="O315" i="2" s="1"/>
  <c r="O314" i="2" a="1"/>
  <c r="O314" i="2" s="1"/>
  <c r="O313" i="2" a="1"/>
  <c r="O313" i="2" s="1"/>
  <c r="O312" i="2" a="1"/>
  <c r="O312" i="2" s="1"/>
  <c r="O311" i="2" a="1"/>
  <c r="O311" i="2" s="1"/>
  <c r="O310" i="2" a="1"/>
  <c r="O310" i="2" s="1"/>
  <c r="O309" i="2" a="1"/>
  <c r="O309" i="2" s="1"/>
  <c r="O308" i="2" a="1"/>
  <c r="O308" i="2" s="1"/>
  <c r="O307" i="2" a="1"/>
  <c r="O307" i="2" s="1"/>
  <c r="O306" i="2" a="1"/>
  <c r="O306" i="2" s="1"/>
  <c r="O305" i="2" a="1"/>
  <c r="O305" i="2" s="1"/>
  <c r="O304" i="2" a="1"/>
  <c r="O304" i="2" s="1"/>
  <c r="O303" i="2" a="1"/>
  <c r="O303" i="2" s="1"/>
  <c r="O302" i="2" a="1"/>
  <c r="O302" i="2" s="1"/>
  <c r="O301" i="2" a="1"/>
  <c r="O301" i="2" s="1"/>
  <c r="O300" i="2" a="1"/>
  <c r="O300" i="2" s="1"/>
  <c r="O299" i="2" a="1"/>
  <c r="O299" i="2" s="1"/>
  <c r="O298" i="2" a="1"/>
  <c r="O298" i="2" s="1"/>
  <c r="O297" i="2" a="1"/>
  <c r="O297" i="2" s="1"/>
  <c r="O296" i="2" a="1"/>
  <c r="O296" i="2" s="1"/>
  <c r="O295" i="2" a="1"/>
  <c r="O295" i="2" s="1"/>
  <c r="O294" i="2" a="1"/>
  <c r="O294" i="2" s="1"/>
  <c r="O293" i="2" a="1"/>
  <c r="O293" i="2" s="1"/>
  <c r="O292" i="2" a="1"/>
  <c r="O292" i="2" s="1"/>
  <c r="O291" i="2" a="1"/>
  <c r="O291" i="2" s="1"/>
  <c r="O290" i="2" a="1"/>
  <c r="O290" i="2" s="1"/>
  <c r="O289" i="2" a="1"/>
  <c r="O289" i="2" s="1"/>
  <c r="O288" i="2" a="1"/>
  <c r="O288" i="2" s="1"/>
  <c r="O287" i="2" a="1"/>
  <c r="O287" i="2" s="1"/>
  <c r="O286" i="2" a="1"/>
  <c r="O286" i="2" s="1"/>
  <c r="O285" i="2" a="1"/>
  <c r="O285" i="2" s="1"/>
  <c r="O284" i="2" a="1"/>
  <c r="O284" i="2" s="1"/>
  <c r="O283" i="2" a="1"/>
  <c r="O283" i="2" s="1"/>
  <c r="O282" i="2" a="1"/>
  <c r="O282" i="2" s="1"/>
  <c r="O281" i="2" a="1"/>
  <c r="O281" i="2" s="1"/>
  <c r="O280" i="2" a="1"/>
  <c r="O280" i="2" s="1"/>
  <c r="O279" i="2" a="1"/>
  <c r="O279" i="2" s="1"/>
  <c r="O278" i="2" a="1"/>
  <c r="O278" i="2" s="1"/>
  <c r="O277" i="2" a="1"/>
  <c r="O277" i="2" s="1"/>
  <c r="O276" i="2" a="1"/>
  <c r="O276" i="2" s="1"/>
  <c r="O275" i="2" a="1"/>
  <c r="O275" i="2" s="1"/>
  <c r="O274" i="2" a="1"/>
  <c r="O274" i="2" s="1"/>
  <c r="O273" i="2" a="1"/>
  <c r="O273" i="2" s="1"/>
  <c r="O272" i="2" a="1"/>
  <c r="O272" i="2" s="1"/>
  <c r="O271" i="2" a="1"/>
  <c r="O271" i="2" s="1"/>
  <c r="O270" i="2" a="1"/>
  <c r="O270" i="2" s="1"/>
  <c r="O269" i="2" a="1"/>
  <c r="O269" i="2" s="1"/>
  <c r="O268" i="2" a="1"/>
  <c r="O268" i="2" s="1"/>
  <c r="O267" i="2" a="1"/>
  <c r="O267" i="2" s="1"/>
  <c r="O266" i="2" a="1"/>
  <c r="O266" i="2" s="1"/>
  <c r="O265" i="2" a="1"/>
  <c r="O265" i="2" s="1"/>
  <c r="O264" i="2" a="1"/>
  <c r="O264" i="2" s="1"/>
  <c r="O263" i="2" a="1"/>
  <c r="O263" i="2" s="1"/>
  <c r="O262" i="2" a="1"/>
  <c r="O262" i="2" s="1"/>
  <c r="O261" i="2" a="1"/>
  <c r="O261" i="2" s="1"/>
  <c r="O260" i="2" a="1"/>
  <c r="O260" i="2" s="1"/>
  <c r="O259" i="2" a="1"/>
  <c r="O259" i="2" s="1"/>
  <c r="O258" i="2" a="1"/>
  <c r="O258" i="2" s="1"/>
  <c r="O257" i="2" a="1"/>
  <c r="O257" i="2" s="1"/>
  <c r="O256" i="2" a="1"/>
  <c r="O256" i="2" s="1"/>
  <c r="O255" i="2" a="1"/>
  <c r="O255" i="2" s="1"/>
  <c r="O254" i="2" a="1"/>
  <c r="O254" i="2" s="1"/>
  <c r="O253" i="2" a="1"/>
  <c r="O253" i="2" s="1"/>
  <c r="O252" i="2" a="1"/>
  <c r="O252" i="2" s="1"/>
  <c r="O251" i="2" a="1"/>
  <c r="O251" i="2" s="1"/>
  <c r="O250" i="2" a="1"/>
  <c r="O250" i="2" s="1"/>
  <c r="O249" i="2" a="1"/>
  <c r="O249" i="2" s="1"/>
  <c r="O248" i="2" a="1"/>
  <c r="O248" i="2" s="1"/>
  <c r="O247" i="2" a="1"/>
  <c r="O247" i="2" s="1"/>
  <c r="O246" i="2" a="1"/>
  <c r="O246" i="2" s="1"/>
  <c r="O245" i="2" a="1"/>
  <c r="O245" i="2" s="1"/>
  <c r="O244" i="2" a="1"/>
  <c r="O244" i="2" s="1"/>
  <c r="O243" i="2" a="1"/>
  <c r="O243" i="2" s="1"/>
  <c r="O242" i="2" a="1"/>
  <c r="O242" i="2" s="1"/>
  <c r="O241" i="2" a="1"/>
  <c r="O241" i="2" s="1"/>
  <c r="O240" i="2" a="1"/>
  <c r="O240" i="2" s="1"/>
  <c r="O239" i="2" a="1"/>
  <c r="O239" i="2" s="1"/>
  <c r="O238" i="2" a="1"/>
  <c r="O238" i="2" s="1"/>
  <c r="O237" i="2" a="1"/>
  <c r="O237" i="2" s="1"/>
  <c r="O236" i="2" a="1"/>
  <c r="O236" i="2" s="1"/>
  <c r="O235" i="2" a="1"/>
  <c r="O235" i="2" s="1"/>
  <c r="O234" i="2" a="1"/>
  <c r="O234" i="2" s="1"/>
  <c r="O233" i="2" a="1"/>
  <c r="O233" i="2" s="1"/>
  <c r="O232" i="2" a="1"/>
  <c r="O232" i="2" s="1"/>
  <c r="O231" i="2" a="1"/>
  <c r="O231" i="2" s="1"/>
  <c r="O230" i="2" a="1"/>
  <c r="O230" i="2" s="1"/>
  <c r="O229" i="2" a="1"/>
  <c r="O229" i="2" s="1"/>
  <c r="O228" i="2" a="1"/>
  <c r="O228" i="2" s="1"/>
  <c r="O227" i="2" a="1"/>
  <c r="O227" i="2" s="1"/>
  <c r="O226" i="2" a="1"/>
  <c r="O226" i="2" s="1"/>
  <c r="O225" i="2" a="1"/>
  <c r="O225" i="2" s="1"/>
  <c r="O224" i="2" a="1"/>
  <c r="O224" i="2" s="1"/>
  <c r="O223" i="2" a="1"/>
  <c r="O223" i="2" s="1"/>
  <c r="O222" i="2" a="1"/>
  <c r="O222" i="2" s="1"/>
  <c r="O221" i="2" a="1"/>
  <c r="O221" i="2" s="1"/>
  <c r="O220" i="2" a="1"/>
  <c r="O220" i="2" s="1"/>
  <c r="O219" i="2" a="1"/>
  <c r="O219" i="2" s="1"/>
  <c r="O218" i="2" a="1"/>
  <c r="O218" i="2" s="1"/>
  <c r="O217" i="2" a="1"/>
  <c r="O217" i="2" s="1"/>
  <c r="O216" i="2" a="1"/>
  <c r="O216" i="2" s="1"/>
  <c r="O215" i="2" a="1"/>
  <c r="O215" i="2" s="1"/>
  <c r="O214" i="2" a="1"/>
  <c r="O214" i="2" s="1"/>
  <c r="O213" i="2" a="1"/>
  <c r="O213" i="2" s="1"/>
  <c r="O212" i="2" a="1"/>
  <c r="O212" i="2" s="1"/>
  <c r="O211" i="2" a="1"/>
  <c r="O211" i="2" s="1"/>
  <c r="O210" i="2" a="1"/>
  <c r="O210" i="2" s="1"/>
  <c r="O209" i="2" a="1"/>
  <c r="O209" i="2" s="1"/>
  <c r="O208" i="2" a="1"/>
  <c r="O208" i="2" s="1"/>
  <c r="O207" i="2" a="1"/>
  <c r="O207" i="2" s="1"/>
  <c r="O206" i="2" a="1"/>
  <c r="O206" i="2" s="1"/>
  <c r="O205" i="2" a="1"/>
  <c r="O205" i="2" s="1"/>
  <c r="O204" i="2" a="1"/>
  <c r="O204" i="2" s="1"/>
  <c r="O203" i="2" a="1"/>
  <c r="O203" i="2" s="1"/>
  <c r="O202" i="2" a="1"/>
  <c r="O202" i="2" s="1"/>
  <c r="O201" i="2" a="1"/>
  <c r="O201" i="2" s="1"/>
  <c r="O200" i="2" a="1"/>
  <c r="O200" i="2" s="1"/>
  <c r="O199" i="2" a="1"/>
  <c r="O199" i="2" s="1"/>
  <c r="O198" i="2" a="1"/>
  <c r="O198" i="2" s="1"/>
  <c r="O197" i="2" a="1"/>
  <c r="O197" i="2" s="1"/>
  <c r="O196" i="2" a="1"/>
  <c r="O196" i="2" s="1"/>
  <c r="O195" i="2" a="1"/>
  <c r="O195" i="2" s="1"/>
  <c r="O194" i="2" a="1"/>
  <c r="O194" i="2" s="1"/>
  <c r="O193" i="2" a="1"/>
  <c r="O193" i="2" s="1"/>
  <c r="O192" i="2" a="1"/>
  <c r="O192" i="2" s="1"/>
  <c r="O191" i="2" a="1"/>
  <c r="O191" i="2" s="1"/>
  <c r="O190" i="2" a="1"/>
  <c r="O190" i="2" s="1"/>
  <c r="O189" i="2" a="1"/>
  <c r="O189" i="2" s="1"/>
  <c r="O188" i="2" a="1"/>
  <c r="O188" i="2" s="1"/>
  <c r="O187" i="2" a="1"/>
  <c r="O187" i="2" s="1"/>
  <c r="O186" i="2" a="1"/>
  <c r="O186" i="2" s="1"/>
  <c r="O185" i="2" a="1"/>
  <c r="O185" i="2" s="1"/>
  <c r="O184" i="2" a="1"/>
  <c r="O184" i="2" s="1"/>
  <c r="O183" i="2" a="1"/>
  <c r="O183" i="2" s="1"/>
  <c r="O182" i="2" a="1"/>
  <c r="O182" i="2" s="1"/>
  <c r="O181" i="2" a="1"/>
  <c r="O181" i="2" s="1"/>
  <c r="O180" i="2" a="1"/>
  <c r="O180" i="2" s="1"/>
  <c r="O179" i="2" a="1"/>
  <c r="O179" i="2" s="1"/>
  <c r="O178" i="2" a="1"/>
  <c r="O178" i="2" s="1"/>
  <c r="O177" i="2" a="1"/>
  <c r="O177" i="2" s="1"/>
  <c r="O176" i="2" a="1"/>
  <c r="O176" i="2" s="1"/>
  <c r="O175" i="2" a="1"/>
  <c r="O175" i="2" s="1"/>
  <c r="O174" i="2" a="1"/>
  <c r="O174" i="2" s="1"/>
  <c r="O173" i="2" a="1"/>
  <c r="O173" i="2" s="1"/>
  <c r="O172" i="2" a="1"/>
  <c r="O172" i="2" s="1"/>
  <c r="O171" i="2" a="1"/>
  <c r="O171" i="2" s="1"/>
  <c r="O170" i="2" a="1"/>
  <c r="O170" i="2" s="1"/>
  <c r="O169" i="2" a="1"/>
  <c r="O169" i="2" s="1"/>
  <c r="O168" i="2" a="1"/>
  <c r="O168" i="2" s="1"/>
  <c r="O167" i="2" a="1"/>
  <c r="O167" i="2" s="1"/>
  <c r="O166" i="2" a="1"/>
  <c r="O166" i="2" s="1"/>
  <c r="O165" i="2" a="1"/>
  <c r="O165" i="2" s="1"/>
  <c r="O164" i="2" a="1"/>
  <c r="O164" i="2" s="1"/>
  <c r="O163" i="2" a="1"/>
  <c r="O163" i="2" s="1"/>
  <c r="O162" i="2" a="1"/>
  <c r="O162" i="2" s="1"/>
  <c r="O161" i="2" a="1"/>
  <c r="O161" i="2" s="1"/>
  <c r="O160" i="2" a="1"/>
  <c r="O160" i="2" s="1"/>
  <c r="O159" i="2" a="1"/>
  <c r="O159" i="2" s="1"/>
  <c r="O158" i="2" a="1"/>
  <c r="O158" i="2" s="1"/>
  <c r="O157" i="2" a="1"/>
  <c r="O157" i="2" s="1"/>
  <c r="O156" i="2" a="1"/>
  <c r="O156" i="2" s="1"/>
  <c r="O155" i="2" a="1"/>
  <c r="O155" i="2" s="1"/>
  <c r="O154" i="2" a="1"/>
  <c r="O154" i="2" s="1"/>
  <c r="O153" i="2" a="1"/>
  <c r="O153" i="2" s="1"/>
  <c r="O152" i="2" a="1"/>
  <c r="O152" i="2" s="1"/>
  <c r="O151" i="2" a="1"/>
  <c r="O151" i="2" s="1"/>
  <c r="O150" i="2" a="1"/>
  <c r="O150" i="2" s="1"/>
  <c r="O149" i="2" a="1"/>
  <c r="O149" i="2" s="1"/>
  <c r="O148" i="2" a="1"/>
  <c r="O148" i="2" s="1"/>
  <c r="O147" i="2" a="1"/>
  <c r="O147" i="2" s="1"/>
  <c r="O146" i="2" a="1"/>
  <c r="O146" i="2" s="1"/>
  <c r="O145" i="2" a="1"/>
  <c r="O145" i="2" s="1"/>
  <c r="O144" i="2" a="1"/>
  <c r="O144" i="2" s="1"/>
  <c r="O143" i="2" a="1"/>
  <c r="O143" i="2" s="1"/>
  <c r="O142" i="2" a="1"/>
  <c r="O142" i="2" s="1"/>
  <c r="O141" i="2" a="1"/>
  <c r="O141" i="2" s="1"/>
  <c r="O140" i="2" a="1"/>
  <c r="O140" i="2" s="1"/>
  <c r="O139" i="2" a="1"/>
  <c r="O139" i="2" s="1"/>
  <c r="O138" i="2" a="1"/>
  <c r="O138" i="2" s="1"/>
  <c r="O137" i="2" a="1"/>
  <c r="O137" i="2" s="1"/>
  <c r="O136" i="2" a="1"/>
  <c r="O136" i="2" s="1"/>
  <c r="O135" i="2" a="1"/>
  <c r="O135" i="2" s="1"/>
  <c r="O134" i="2" a="1"/>
  <c r="O134" i="2" s="1"/>
  <c r="O133" i="2" a="1"/>
  <c r="O133" i="2" s="1"/>
  <c r="O132" i="2" a="1"/>
  <c r="O132" i="2" s="1"/>
  <c r="O131" i="2" a="1"/>
  <c r="O131" i="2" s="1"/>
  <c r="O130" i="2" a="1"/>
  <c r="O130" i="2" s="1"/>
  <c r="O129" i="2" a="1"/>
  <c r="O129" i="2" s="1"/>
  <c r="O128" i="2" a="1"/>
  <c r="O128" i="2" s="1"/>
  <c r="O127" i="2" a="1"/>
  <c r="O127" i="2" s="1"/>
  <c r="O126" i="2" a="1"/>
  <c r="O126" i="2" s="1"/>
  <c r="O125" i="2" a="1"/>
  <c r="O125" i="2" s="1"/>
  <c r="O124" i="2" a="1"/>
  <c r="O124" i="2" s="1"/>
  <c r="O123" i="2" a="1"/>
  <c r="O123" i="2" s="1"/>
  <c r="O122" i="2" a="1"/>
  <c r="O122" i="2" s="1"/>
  <c r="O121" i="2" a="1"/>
  <c r="O121" i="2" s="1"/>
  <c r="O120" i="2" a="1"/>
  <c r="O120" i="2" s="1"/>
  <c r="O119" i="2" a="1"/>
  <c r="O119" i="2" s="1"/>
  <c r="O118" i="2" a="1"/>
  <c r="O118" i="2" s="1"/>
  <c r="O117" i="2" a="1"/>
  <c r="O117" i="2" s="1"/>
  <c r="O116" i="2" a="1"/>
  <c r="O116" i="2" s="1"/>
  <c r="O115" i="2" a="1"/>
  <c r="O115" i="2" s="1"/>
  <c r="O114" i="2" a="1"/>
  <c r="O114" i="2" s="1"/>
  <c r="O113" i="2" a="1"/>
  <c r="O113" i="2" s="1"/>
  <c r="O112" i="2" a="1"/>
  <c r="O112" i="2" s="1"/>
  <c r="O111" i="2" a="1"/>
  <c r="O111" i="2" s="1"/>
  <c r="O110" i="2" a="1"/>
  <c r="O110" i="2" s="1"/>
  <c r="O109" i="2" a="1"/>
  <c r="O109" i="2" s="1"/>
  <c r="O108" i="2" a="1"/>
  <c r="O108" i="2" s="1"/>
  <c r="O107" i="2" a="1"/>
  <c r="O107" i="2" s="1"/>
  <c r="O106" i="2" a="1"/>
  <c r="O106" i="2" s="1"/>
  <c r="O105" i="2" a="1"/>
  <c r="O105" i="2" s="1"/>
  <c r="O104" i="2" a="1"/>
  <c r="O104" i="2" s="1"/>
  <c r="O103" i="2" a="1"/>
  <c r="O103" i="2" s="1"/>
  <c r="O102" i="2" a="1"/>
  <c r="O102" i="2" s="1"/>
  <c r="O101" i="2" a="1"/>
  <c r="O101" i="2" s="1"/>
  <c r="O100" i="2" a="1"/>
  <c r="O100" i="2" s="1"/>
  <c r="O99" i="2" a="1"/>
  <c r="O99" i="2" s="1"/>
  <c r="O98" i="2" a="1"/>
  <c r="O98" i="2" s="1"/>
  <c r="O97" i="2" a="1"/>
  <c r="O97" i="2" s="1"/>
  <c r="O96" i="2" a="1"/>
  <c r="O96" i="2" s="1"/>
  <c r="O95" i="2" a="1"/>
  <c r="O95" i="2" s="1"/>
  <c r="O94" i="2" a="1"/>
  <c r="O94" i="2" s="1"/>
  <c r="O93" i="2" a="1"/>
  <c r="O93" i="2" s="1"/>
  <c r="O92" i="2" a="1"/>
  <c r="O92" i="2" s="1"/>
  <c r="O91" i="2" a="1"/>
  <c r="O91" i="2" s="1"/>
  <c r="O90" i="2" a="1"/>
  <c r="O90" i="2" s="1"/>
  <c r="O89" i="2" a="1"/>
  <c r="O89" i="2" s="1"/>
  <c r="O88" i="2" a="1"/>
  <c r="O88" i="2" s="1"/>
  <c r="O87" i="2" a="1"/>
  <c r="O87" i="2" s="1"/>
  <c r="O86" i="2" a="1"/>
  <c r="O86" i="2" s="1"/>
  <c r="O85" i="2" a="1"/>
  <c r="O85" i="2" s="1"/>
  <c r="AD517" i="2"/>
  <c r="AD516" i="2"/>
  <c r="AD515" i="2"/>
  <c r="AD514" i="2"/>
  <c r="AD513" i="2"/>
  <c r="AD512" i="2"/>
  <c r="AD511" i="2"/>
  <c r="AD510" i="2"/>
  <c r="AD509" i="2"/>
  <c r="AD508" i="2"/>
  <c r="AD507" i="2"/>
  <c r="AD506" i="2"/>
  <c r="AD505" i="2"/>
  <c r="AD504" i="2"/>
  <c r="AD503" i="2"/>
  <c r="AD502" i="2"/>
  <c r="AD501" i="2"/>
  <c r="AD500" i="2"/>
  <c r="AD499" i="2"/>
  <c r="AD498" i="2"/>
  <c r="AD497" i="2"/>
  <c r="AD496" i="2"/>
  <c r="AD495" i="2"/>
  <c r="AD494" i="2"/>
  <c r="AD493" i="2"/>
  <c r="AD492" i="2"/>
  <c r="AD491" i="2"/>
  <c r="AD490" i="2"/>
  <c r="AD489" i="2"/>
  <c r="AD488" i="2"/>
  <c r="AD487" i="2"/>
  <c r="AD486" i="2"/>
  <c r="AD485" i="2"/>
  <c r="AD484" i="2"/>
  <c r="AD483" i="2"/>
  <c r="AD482" i="2"/>
  <c r="AD481" i="2"/>
  <c r="AD480" i="2"/>
  <c r="AD479" i="2"/>
  <c r="AD478" i="2"/>
  <c r="AD477" i="2"/>
  <c r="AD476" i="2"/>
  <c r="AD475" i="2"/>
  <c r="AD474" i="2"/>
  <c r="AD473" i="2"/>
  <c r="AD472" i="2"/>
  <c r="AD471" i="2"/>
  <c r="AD470" i="2"/>
  <c r="AD469" i="2"/>
  <c r="AD468" i="2"/>
  <c r="AD467" i="2"/>
  <c r="AD466" i="2"/>
  <c r="AD465" i="2"/>
  <c r="AD464" i="2"/>
  <c r="AD463" i="2"/>
  <c r="AD462" i="2"/>
  <c r="AD461" i="2"/>
  <c r="AD460" i="2"/>
  <c r="AD459" i="2"/>
  <c r="AD458" i="2"/>
  <c r="AD457" i="2"/>
  <c r="AD456" i="2"/>
  <c r="AD455" i="2"/>
  <c r="AD454" i="2"/>
  <c r="AD453" i="2"/>
  <c r="AD452" i="2"/>
  <c r="AD451" i="2"/>
  <c r="AD450" i="2"/>
  <c r="AD449" i="2"/>
  <c r="AD448" i="2"/>
  <c r="AD447" i="2"/>
  <c r="AD446" i="2"/>
  <c r="AD445" i="2"/>
  <c r="AD444" i="2"/>
  <c r="AD443" i="2"/>
  <c r="AD442" i="2"/>
  <c r="AD441" i="2"/>
  <c r="AD440" i="2"/>
  <c r="AD439" i="2"/>
  <c r="AD438" i="2"/>
  <c r="AD437" i="2"/>
  <c r="AD436" i="2"/>
  <c r="AD435" i="2"/>
  <c r="AD434" i="2"/>
  <c r="AD433" i="2"/>
  <c r="AD432" i="2"/>
  <c r="AD431" i="2"/>
  <c r="AD430" i="2"/>
  <c r="AD429" i="2"/>
  <c r="AD428" i="2"/>
  <c r="AD427" i="2"/>
  <c r="AD426" i="2"/>
  <c r="AD425" i="2"/>
  <c r="AD424" i="2"/>
  <c r="AD423" i="2"/>
  <c r="AD422" i="2"/>
  <c r="AD421" i="2"/>
  <c r="AD420" i="2"/>
  <c r="AD419" i="2"/>
  <c r="AD418" i="2"/>
  <c r="AD417" i="2"/>
  <c r="AD416" i="2"/>
  <c r="AD415" i="2"/>
  <c r="AD414" i="2"/>
  <c r="AD413" i="2"/>
  <c r="AD412" i="2"/>
  <c r="AD411" i="2"/>
  <c r="AD410" i="2"/>
  <c r="AD409" i="2"/>
  <c r="AD408" i="2"/>
  <c r="AD407" i="2"/>
  <c r="AD406" i="2"/>
  <c r="AD405" i="2"/>
  <c r="AD404" i="2"/>
  <c r="AD403" i="2"/>
  <c r="AD402" i="2"/>
  <c r="AD401" i="2"/>
  <c r="AD400" i="2"/>
  <c r="AD399" i="2"/>
  <c r="AD398" i="2"/>
  <c r="AD397" i="2"/>
  <c r="AD396" i="2"/>
  <c r="AD395" i="2"/>
  <c r="AD394" i="2"/>
  <c r="AD393" i="2"/>
  <c r="AD392" i="2"/>
  <c r="AD391" i="2"/>
  <c r="AD390" i="2"/>
  <c r="AD389" i="2"/>
  <c r="AD388" i="2"/>
  <c r="AD387" i="2"/>
  <c r="AD386" i="2"/>
  <c r="AD385" i="2"/>
  <c r="AD384" i="2"/>
  <c r="AD383" i="2"/>
  <c r="AD382" i="2"/>
  <c r="AD381" i="2"/>
  <c r="AD380" i="2"/>
  <c r="AD379" i="2"/>
  <c r="AD378" i="2"/>
  <c r="AD377" i="2"/>
  <c r="AD376" i="2"/>
  <c r="AD375" i="2"/>
  <c r="AD374" i="2"/>
  <c r="AD373" i="2"/>
  <c r="AD372" i="2"/>
  <c r="AD371" i="2"/>
  <c r="AD370" i="2"/>
  <c r="AD369" i="2"/>
  <c r="AD368" i="2"/>
  <c r="AD367" i="2"/>
  <c r="AD366" i="2"/>
  <c r="AD365" i="2"/>
  <c r="AD364" i="2"/>
  <c r="AD363" i="2"/>
  <c r="AD362" i="2"/>
  <c r="AD361" i="2"/>
  <c r="AD360" i="2"/>
  <c r="AD359" i="2"/>
  <c r="AD358" i="2"/>
  <c r="AD357" i="2"/>
  <c r="AD356" i="2"/>
  <c r="AD355" i="2"/>
  <c r="AD354" i="2"/>
  <c r="AD353" i="2"/>
  <c r="AD352" i="2"/>
  <c r="AD351" i="2"/>
  <c r="AD350" i="2"/>
  <c r="AD349" i="2"/>
  <c r="AD348" i="2"/>
  <c r="AD347" i="2"/>
  <c r="AD346" i="2"/>
  <c r="AD345" i="2"/>
  <c r="AD344" i="2"/>
  <c r="AD343" i="2"/>
  <c r="AD342" i="2"/>
  <c r="AD341" i="2"/>
  <c r="AD340" i="2"/>
  <c r="AD339" i="2"/>
  <c r="AD338" i="2"/>
  <c r="AD337" i="2"/>
  <c r="AD336" i="2"/>
  <c r="AD335" i="2"/>
  <c r="AD334" i="2"/>
  <c r="AD333" i="2"/>
  <c r="AD332" i="2"/>
  <c r="AD331" i="2"/>
  <c r="AD330" i="2"/>
  <c r="AD329" i="2"/>
  <c r="AD328" i="2"/>
  <c r="AD327" i="2"/>
  <c r="AD326" i="2"/>
  <c r="AD325" i="2"/>
  <c r="AD324" i="2"/>
  <c r="AD323" i="2"/>
  <c r="AD322" i="2"/>
  <c r="AD321" i="2"/>
  <c r="AD320" i="2"/>
  <c r="AD319" i="2"/>
  <c r="AD318" i="2"/>
  <c r="AD317" i="2"/>
  <c r="AD316" i="2"/>
  <c r="AD315" i="2"/>
  <c r="AD314" i="2"/>
  <c r="AD313" i="2"/>
  <c r="AD312" i="2"/>
  <c r="AD311" i="2"/>
  <c r="AD310" i="2"/>
  <c r="AD309" i="2"/>
  <c r="AD308" i="2"/>
  <c r="AD307" i="2"/>
  <c r="AD306" i="2"/>
  <c r="AD305" i="2"/>
  <c r="AD304" i="2"/>
  <c r="AD303" i="2"/>
  <c r="AD302" i="2"/>
  <c r="AD301" i="2"/>
  <c r="AD300" i="2"/>
  <c r="AD299" i="2"/>
  <c r="AD298" i="2"/>
  <c r="AD297" i="2"/>
  <c r="AD296" i="2"/>
  <c r="AD295" i="2"/>
  <c r="AD294" i="2"/>
  <c r="AD293" i="2"/>
  <c r="AD292" i="2"/>
  <c r="AD291" i="2"/>
  <c r="AD290" i="2"/>
  <c r="AD289" i="2"/>
  <c r="AD288" i="2"/>
  <c r="AD287" i="2"/>
  <c r="AD286" i="2"/>
  <c r="AD285" i="2"/>
  <c r="AD284" i="2"/>
  <c r="AD283" i="2"/>
  <c r="AD282" i="2"/>
  <c r="AD281" i="2"/>
  <c r="AD280" i="2"/>
  <c r="AD279" i="2"/>
  <c r="AD278" i="2"/>
  <c r="AD277" i="2"/>
  <c r="AD276" i="2"/>
  <c r="AD275" i="2"/>
  <c r="AD274" i="2"/>
  <c r="AD273" i="2"/>
  <c r="AD272" i="2"/>
  <c r="AD271" i="2"/>
  <c r="AD270" i="2"/>
  <c r="AD269" i="2"/>
  <c r="AD268" i="2"/>
  <c r="AD267" i="2"/>
  <c r="AD266" i="2"/>
  <c r="AD265" i="2"/>
  <c r="AD264" i="2"/>
  <c r="AD263" i="2"/>
  <c r="AD262" i="2"/>
  <c r="AD261" i="2"/>
  <c r="AD260" i="2"/>
  <c r="AD259" i="2"/>
  <c r="AD258" i="2"/>
  <c r="AD257" i="2"/>
  <c r="AD256" i="2"/>
  <c r="AD255" i="2"/>
  <c r="AD254" i="2"/>
  <c r="AD253" i="2"/>
  <c r="AD252" i="2"/>
  <c r="AD251" i="2"/>
  <c r="AD250" i="2"/>
  <c r="AD249" i="2"/>
  <c r="AD248" i="2"/>
  <c r="AD247" i="2"/>
  <c r="AD246" i="2"/>
  <c r="AD245" i="2"/>
  <c r="AD244" i="2"/>
  <c r="AD243" i="2"/>
  <c r="AD242" i="2"/>
  <c r="AD241" i="2"/>
  <c r="AD240" i="2"/>
  <c r="AD239" i="2"/>
  <c r="AD238" i="2"/>
  <c r="AD237" i="2"/>
  <c r="AD236" i="2"/>
  <c r="AD235" i="2"/>
  <c r="AD234" i="2"/>
  <c r="AD233" i="2"/>
  <c r="AD232" i="2"/>
  <c r="AD231" i="2"/>
  <c r="AD230" i="2"/>
  <c r="AD229" i="2"/>
  <c r="AD228" i="2"/>
  <c r="AD227" i="2"/>
  <c r="AD226" i="2"/>
  <c r="AD225" i="2"/>
  <c r="AD224" i="2"/>
  <c r="AD223" i="2"/>
  <c r="AD222" i="2"/>
  <c r="AD221" i="2"/>
  <c r="AD220" i="2"/>
  <c r="AD219" i="2"/>
  <c r="AD218" i="2"/>
  <c r="AD217" i="2"/>
  <c r="AD216" i="2"/>
  <c r="AD215" i="2"/>
  <c r="AD214" i="2"/>
  <c r="AD213" i="2"/>
  <c r="AD212" i="2"/>
  <c r="AD211" i="2"/>
  <c r="AD210" i="2"/>
  <c r="AD209" i="2"/>
  <c r="AD208" i="2"/>
  <c r="AD207" i="2"/>
  <c r="AD206" i="2"/>
  <c r="AD205" i="2"/>
  <c r="AD204" i="2"/>
  <c r="AD203" i="2"/>
  <c r="AD202" i="2"/>
  <c r="AD201" i="2"/>
  <c r="AD200" i="2"/>
  <c r="AD199" i="2"/>
  <c r="AD198" i="2"/>
  <c r="AD197" i="2"/>
  <c r="AD196" i="2"/>
  <c r="AD195" i="2"/>
  <c r="AD194" i="2"/>
  <c r="AD193" i="2"/>
  <c r="AD192" i="2"/>
  <c r="AD191" i="2"/>
  <c r="AD190" i="2"/>
  <c r="AD189" i="2"/>
  <c r="AD188" i="2"/>
  <c r="AD187" i="2"/>
  <c r="AD186" i="2"/>
  <c r="AD185" i="2"/>
  <c r="AD184" i="2"/>
  <c r="AD183" i="2"/>
  <c r="AD182" i="2"/>
  <c r="AD181" i="2"/>
  <c r="AD180" i="2"/>
  <c r="AD179" i="2"/>
  <c r="AD178" i="2"/>
  <c r="AD177" i="2"/>
  <c r="AD176" i="2"/>
  <c r="AD175" i="2"/>
  <c r="AD174" i="2"/>
  <c r="AD173" i="2"/>
  <c r="AD172" i="2"/>
  <c r="AD171" i="2"/>
  <c r="AD170" i="2"/>
  <c r="AD169" i="2"/>
  <c r="AD168" i="2"/>
  <c r="AD167" i="2"/>
  <c r="AD166" i="2"/>
  <c r="AD165" i="2"/>
  <c r="AD164" i="2"/>
  <c r="AD163" i="2"/>
  <c r="AD162" i="2"/>
  <c r="AD161" i="2"/>
  <c r="AD160" i="2"/>
  <c r="AD159" i="2"/>
  <c r="AD158" i="2"/>
  <c r="AD157" i="2"/>
  <c r="AD156" i="2"/>
  <c r="AD155" i="2"/>
  <c r="AD154" i="2"/>
  <c r="AD153" i="2"/>
  <c r="AD152" i="2"/>
  <c r="AD151" i="2"/>
  <c r="AD150" i="2"/>
  <c r="AD149" i="2"/>
  <c r="AD148" i="2"/>
  <c r="AD147" i="2"/>
  <c r="AD146" i="2"/>
  <c r="AD145" i="2"/>
  <c r="AD144" i="2"/>
  <c r="AD143" i="2"/>
  <c r="AD142" i="2"/>
  <c r="AD141" i="2"/>
  <c r="AD140" i="2"/>
  <c r="AD139" i="2"/>
  <c r="AD138" i="2"/>
  <c r="AD137" i="2"/>
  <c r="AD136" i="2"/>
  <c r="AD135" i="2"/>
  <c r="AD134" i="2"/>
  <c r="AD133" i="2"/>
  <c r="AD132" i="2"/>
  <c r="AD131" i="2"/>
  <c r="AD130" i="2"/>
  <c r="AD129" i="2"/>
  <c r="AD128" i="2"/>
  <c r="AD127" i="2"/>
  <c r="AD126" i="2"/>
  <c r="AD125" i="2"/>
  <c r="AD124" i="2"/>
  <c r="AD123" i="2"/>
  <c r="AD122" i="2"/>
  <c r="AD121" i="2"/>
  <c r="AD120" i="2"/>
  <c r="AD119"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Y517" i="2"/>
  <c r="X517" i="2"/>
  <c r="W517" i="2"/>
  <c r="T517" i="2"/>
  <c r="R517" i="2"/>
  <c r="P517" i="2"/>
  <c r="L517" i="2"/>
  <c r="Y516" i="2"/>
  <c r="X516" i="2"/>
  <c r="W516" i="2"/>
  <c r="T516" i="2"/>
  <c r="R516" i="2"/>
  <c r="P516" i="2"/>
  <c r="L516" i="2"/>
  <c r="Y515" i="2"/>
  <c r="X515" i="2"/>
  <c r="W515" i="2"/>
  <c r="T515" i="2"/>
  <c r="R515" i="2"/>
  <c r="P515" i="2"/>
  <c r="L515" i="2"/>
  <c r="Y514" i="2"/>
  <c r="X514" i="2"/>
  <c r="W514" i="2"/>
  <c r="T514" i="2"/>
  <c r="R514" i="2"/>
  <c r="P514" i="2"/>
  <c r="L514" i="2"/>
  <c r="Y513" i="2"/>
  <c r="X513" i="2"/>
  <c r="W513" i="2"/>
  <c r="T513" i="2"/>
  <c r="R513" i="2"/>
  <c r="P513" i="2"/>
  <c r="L513" i="2"/>
  <c r="Y512" i="2"/>
  <c r="X512" i="2"/>
  <c r="W512" i="2"/>
  <c r="T512" i="2"/>
  <c r="R512" i="2"/>
  <c r="P512" i="2"/>
  <c r="L512" i="2"/>
  <c r="Y511" i="2"/>
  <c r="X511" i="2"/>
  <c r="W511" i="2"/>
  <c r="T511" i="2"/>
  <c r="R511" i="2"/>
  <c r="P511" i="2"/>
  <c r="L511" i="2"/>
  <c r="Y510" i="2"/>
  <c r="X510" i="2"/>
  <c r="W510" i="2"/>
  <c r="T510" i="2"/>
  <c r="R510" i="2"/>
  <c r="P510" i="2"/>
  <c r="L510" i="2"/>
  <c r="Y509" i="2"/>
  <c r="X509" i="2"/>
  <c r="W509" i="2"/>
  <c r="T509" i="2"/>
  <c r="R509" i="2"/>
  <c r="P509" i="2"/>
  <c r="L509" i="2"/>
  <c r="Y508" i="2"/>
  <c r="X508" i="2"/>
  <c r="W508" i="2"/>
  <c r="T508" i="2"/>
  <c r="R508" i="2"/>
  <c r="P508" i="2"/>
  <c r="L508" i="2"/>
  <c r="Y507" i="2"/>
  <c r="X507" i="2"/>
  <c r="W507" i="2"/>
  <c r="T507" i="2"/>
  <c r="R507" i="2"/>
  <c r="P507" i="2"/>
  <c r="L507" i="2"/>
  <c r="Y506" i="2"/>
  <c r="X506" i="2"/>
  <c r="W506" i="2"/>
  <c r="T506" i="2"/>
  <c r="R506" i="2"/>
  <c r="P506" i="2"/>
  <c r="L506" i="2"/>
  <c r="Y505" i="2"/>
  <c r="X505" i="2"/>
  <c r="W505" i="2"/>
  <c r="T505" i="2"/>
  <c r="R505" i="2"/>
  <c r="P505" i="2"/>
  <c r="L505" i="2"/>
  <c r="Y504" i="2"/>
  <c r="X504" i="2"/>
  <c r="W504" i="2"/>
  <c r="T504" i="2"/>
  <c r="R504" i="2"/>
  <c r="P504" i="2"/>
  <c r="L504" i="2"/>
  <c r="Y503" i="2"/>
  <c r="X503" i="2"/>
  <c r="W503" i="2"/>
  <c r="T503" i="2"/>
  <c r="R503" i="2"/>
  <c r="P503" i="2"/>
  <c r="L503" i="2"/>
  <c r="Y502" i="2"/>
  <c r="X502" i="2"/>
  <c r="W502" i="2"/>
  <c r="T502" i="2"/>
  <c r="R502" i="2"/>
  <c r="P502" i="2"/>
  <c r="L502" i="2"/>
  <c r="Y501" i="2"/>
  <c r="X501" i="2"/>
  <c r="W501" i="2"/>
  <c r="T501" i="2"/>
  <c r="R501" i="2"/>
  <c r="P501" i="2"/>
  <c r="L501" i="2"/>
  <c r="Y500" i="2"/>
  <c r="X500" i="2"/>
  <c r="W500" i="2"/>
  <c r="T500" i="2"/>
  <c r="R500" i="2"/>
  <c r="P500" i="2"/>
  <c r="L500" i="2"/>
  <c r="Y499" i="2"/>
  <c r="X499" i="2"/>
  <c r="W499" i="2"/>
  <c r="T499" i="2"/>
  <c r="R499" i="2"/>
  <c r="P499" i="2"/>
  <c r="L499" i="2"/>
  <c r="Y498" i="2"/>
  <c r="X498" i="2"/>
  <c r="W498" i="2"/>
  <c r="T498" i="2"/>
  <c r="R498" i="2"/>
  <c r="P498" i="2"/>
  <c r="L498" i="2"/>
  <c r="Y497" i="2"/>
  <c r="X497" i="2"/>
  <c r="W497" i="2"/>
  <c r="T497" i="2"/>
  <c r="R497" i="2"/>
  <c r="P497" i="2"/>
  <c r="L497" i="2"/>
  <c r="Y496" i="2"/>
  <c r="X496" i="2"/>
  <c r="W496" i="2"/>
  <c r="T496" i="2"/>
  <c r="R496" i="2"/>
  <c r="P496" i="2"/>
  <c r="L496" i="2"/>
  <c r="Y495" i="2"/>
  <c r="X495" i="2"/>
  <c r="W495" i="2"/>
  <c r="T495" i="2"/>
  <c r="R495" i="2"/>
  <c r="P495" i="2"/>
  <c r="L495" i="2"/>
  <c r="Y494" i="2"/>
  <c r="X494" i="2"/>
  <c r="W494" i="2"/>
  <c r="T494" i="2"/>
  <c r="R494" i="2"/>
  <c r="P494" i="2"/>
  <c r="L494" i="2"/>
  <c r="Y493" i="2"/>
  <c r="X493" i="2"/>
  <c r="W493" i="2"/>
  <c r="T493" i="2"/>
  <c r="R493" i="2"/>
  <c r="P493" i="2"/>
  <c r="L493" i="2"/>
  <c r="Y492" i="2"/>
  <c r="X492" i="2"/>
  <c r="W492" i="2"/>
  <c r="T492" i="2"/>
  <c r="R492" i="2"/>
  <c r="P492" i="2"/>
  <c r="L492" i="2"/>
  <c r="Y491" i="2"/>
  <c r="X491" i="2"/>
  <c r="W491" i="2"/>
  <c r="T491" i="2"/>
  <c r="R491" i="2"/>
  <c r="P491" i="2"/>
  <c r="L491" i="2"/>
  <c r="Y490" i="2"/>
  <c r="X490" i="2"/>
  <c r="W490" i="2"/>
  <c r="T490" i="2"/>
  <c r="R490" i="2"/>
  <c r="P490" i="2"/>
  <c r="L490" i="2"/>
  <c r="Y489" i="2"/>
  <c r="X489" i="2"/>
  <c r="W489" i="2"/>
  <c r="T489" i="2"/>
  <c r="R489" i="2"/>
  <c r="P489" i="2"/>
  <c r="L489" i="2"/>
  <c r="Y488" i="2"/>
  <c r="X488" i="2"/>
  <c r="W488" i="2"/>
  <c r="T488" i="2"/>
  <c r="R488" i="2"/>
  <c r="P488" i="2"/>
  <c r="L488" i="2"/>
  <c r="Y487" i="2"/>
  <c r="X487" i="2"/>
  <c r="W487" i="2"/>
  <c r="T487" i="2"/>
  <c r="R487" i="2"/>
  <c r="P487" i="2"/>
  <c r="L487" i="2"/>
  <c r="Y486" i="2"/>
  <c r="X486" i="2"/>
  <c r="W486" i="2"/>
  <c r="T486" i="2"/>
  <c r="R486" i="2"/>
  <c r="P486" i="2"/>
  <c r="L486" i="2"/>
  <c r="Y485" i="2"/>
  <c r="X485" i="2"/>
  <c r="W485" i="2"/>
  <c r="T485" i="2"/>
  <c r="R485" i="2"/>
  <c r="P485" i="2"/>
  <c r="L485" i="2"/>
  <c r="Y484" i="2"/>
  <c r="X484" i="2"/>
  <c r="W484" i="2"/>
  <c r="T484" i="2"/>
  <c r="R484" i="2"/>
  <c r="P484" i="2"/>
  <c r="L484" i="2"/>
  <c r="Y483" i="2"/>
  <c r="X483" i="2"/>
  <c r="W483" i="2"/>
  <c r="T483" i="2"/>
  <c r="R483" i="2"/>
  <c r="P483" i="2"/>
  <c r="L483" i="2"/>
  <c r="Y482" i="2"/>
  <c r="X482" i="2"/>
  <c r="W482" i="2"/>
  <c r="T482" i="2"/>
  <c r="R482" i="2"/>
  <c r="P482" i="2"/>
  <c r="L482" i="2"/>
  <c r="Y481" i="2"/>
  <c r="X481" i="2"/>
  <c r="W481" i="2"/>
  <c r="T481" i="2"/>
  <c r="R481" i="2"/>
  <c r="P481" i="2"/>
  <c r="L481" i="2"/>
  <c r="Y480" i="2"/>
  <c r="X480" i="2"/>
  <c r="W480" i="2"/>
  <c r="T480" i="2"/>
  <c r="R480" i="2"/>
  <c r="P480" i="2"/>
  <c r="L480" i="2"/>
  <c r="Y479" i="2"/>
  <c r="X479" i="2"/>
  <c r="W479" i="2"/>
  <c r="T479" i="2"/>
  <c r="R479" i="2"/>
  <c r="P479" i="2"/>
  <c r="L479" i="2"/>
  <c r="Y478" i="2"/>
  <c r="X478" i="2"/>
  <c r="W478" i="2"/>
  <c r="T478" i="2"/>
  <c r="R478" i="2"/>
  <c r="P478" i="2"/>
  <c r="L478" i="2"/>
  <c r="Y477" i="2"/>
  <c r="X477" i="2"/>
  <c r="W477" i="2"/>
  <c r="T477" i="2"/>
  <c r="R477" i="2"/>
  <c r="P477" i="2"/>
  <c r="L477" i="2"/>
  <c r="Y476" i="2"/>
  <c r="X476" i="2"/>
  <c r="W476" i="2"/>
  <c r="T476" i="2"/>
  <c r="R476" i="2"/>
  <c r="P476" i="2"/>
  <c r="L476" i="2"/>
  <c r="Y475" i="2"/>
  <c r="X475" i="2"/>
  <c r="W475" i="2"/>
  <c r="T475" i="2"/>
  <c r="R475" i="2"/>
  <c r="P475" i="2"/>
  <c r="L475" i="2"/>
  <c r="Y474" i="2"/>
  <c r="X474" i="2"/>
  <c r="W474" i="2"/>
  <c r="T474" i="2"/>
  <c r="R474" i="2"/>
  <c r="P474" i="2"/>
  <c r="L474" i="2"/>
  <c r="Y473" i="2"/>
  <c r="X473" i="2"/>
  <c r="W473" i="2"/>
  <c r="T473" i="2"/>
  <c r="R473" i="2"/>
  <c r="P473" i="2"/>
  <c r="L473" i="2"/>
  <c r="Y472" i="2"/>
  <c r="X472" i="2"/>
  <c r="W472" i="2"/>
  <c r="T472" i="2"/>
  <c r="R472" i="2"/>
  <c r="P472" i="2"/>
  <c r="L472" i="2"/>
  <c r="Y471" i="2"/>
  <c r="X471" i="2"/>
  <c r="W471" i="2"/>
  <c r="T471" i="2"/>
  <c r="R471" i="2"/>
  <c r="P471" i="2"/>
  <c r="L471" i="2"/>
  <c r="Y470" i="2"/>
  <c r="X470" i="2"/>
  <c r="W470" i="2"/>
  <c r="T470" i="2"/>
  <c r="R470" i="2"/>
  <c r="P470" i="2"/>
  <c r="L470" i="2"/>
  <c r="Y469" i="2"/>
  <c r="X469" i="2"/>
  <c r="W469" i="2"/>
  <c r="T469" i="2"/>
  <c r="R469" i="2"/>
  <c r="P469" i="2"/>
  <c r="L469" i="2"/>
  <c r="Y468" i="2"/>
  <c r="X468" i="2"/>
  <c r="W468" i="2"/>
  <c r="T468" i="2"/>
  <c r="R468" i="2"/>
  <c r="P468" i="2"/>
  <c r="L468" i="2"/>
  <c r="Y467" i="2"/>
  <c r="X467" i="2"/>
  <c r="W467" i="2"/>
  <c r="T467" i="2"/>
  <c r="R467" i="2"/>
  <c r="P467" i="2"/>
  <c r="L467" i="2"/>
  <c r="Y466" i="2"/>
  <c r="X466" i="2"/>
  <c r="W466" i="2"/>
  <c r="T466" i="2"/>
  <c r="R466" i="2"/>
  <c r="P466" i="2"/>
  <c r="L466" i="2"/>
  <c r="Y465" i="2"/>
  <c r="X465" i="2"/>
  <c r="W465" i="2"/>
  <c r="T465" i="2"/>
  <c r="R465" i="2"/>
  <c r="P465" i="2"/>
  <c r="L465" i="2"/>
  <c r="Y464" i="2"/>
  <c r="X464" i="2"/>
  <c r="W464" i="2"/>
  <c r="T464" i="2"/>
  <c r="R464" i="2"/>
  <c r="P464" i="2"/>
  <c r="L464" i="2"/>
  <c r="Y463" i="2"/>
  <c r="X463" i="2"/>
  <c r="W463" i="2"/>
  <c r="T463" i="2"/>
  <c r="R463" i="2"/>
  <c r="P463" i="2"/>
  <c r="L463" i="2"/>
  <c r="Y462" i="2"/>
  <c r="X462" i="2"/>
  <c r="W462" i="2"/>
  <c r="T462" i="2"/>
  <c r="R462" i="2"/>
  <c r="P462" i="2"/>
  <c r="L462" i="2"/>
  <c r="Y461" i="2"/>
  <c r="X461" i="2"/>
  <c r="W461" i="2"/>
  <c r="T461" i="2"/>
  <c r="R461" i="2"/>
  <c r="P461" i="2"/>
  <c r="L461" i="2"/>
  <c r="Y460" i="2"/>
  <c r="X460" i="2"/>
  <c r="W460" i="2"/>
  <c r="T460" i="2"/>
  <c r="R460" i="2"/>
  <c r="P460" i="2"/>
  <c r="L460" i="2"/>
  <c r="Y459" i="2"/>
  <c r="X459" i="2"/>
  <c r="W459" i="2"/>
  <c r="T459" i="2"/>
  <c r="R459" i="2"/>
  <c r="P459" i="2"/>
  <c r="L459" i="2"/>
  <c r="Y458" i="2"/>
  <c r="X458" i="2"/>
  <c r="W458" i="2"/>
  <c r="T458" i="2"/>
  <c r="R458" i="2"/>
  <c r="P458" i="2"/>
  <c r="L458" i="2"/>
  <c r="Y457" i="2"/>
  <c r="X457" i="2"/>
  <c r="W457" i="2"/>
  <c r="T457" i="2"/>
  <c r="R457" i="2"/>
  <c r="P457" i="2"/>
  <c r="L457" i="2"/>
  <c r="Y456" i="2"/>
  <c r="X456" i="2"/>
  <c r="W456" i="2"/>
  <c r="T456" i="2"/>
  <c r="R456" i="2"/>
  <c r="P456" i="2"/>
  <c r="L456" i="2"/>
  <c r="Y455" i="2"/>
  <c r="X455" i="2"/>
  <c r="W455" i="2"/>
  <c r="T455" i="2"/>
  <c r="R455" i="2"/>
  <c r="P455" i="2"/>
  <c r="L455" i="2"/>
  <c r="Y454" i="2"/>
  <c r="X454" i="2"/>
  <c r="W454" i="2"/>
  <c r="T454" i="2"/>
  <c r="R454" i="2"/>
  <c r="P454" i="2"/>
  <c r="L454" i="2"/>
  <c r="Y453" i="2"/>
  <c r="X453" i="2"/>
  <c r="W453" i="2"/>
  <c r="T453" i="2"/>
  <c r="R453" i="2"/>
  <c r="P453" i="2"/>
  <c r="L453" i="2"/>
  <c r="Y452" i="2"/>
  <c r="X452" i="2"/>
  <c r="W452" i="2"/>
  <c r="T452" i="2"/>
  <c r="R452" i="2"/>
  <c r="P452" i="2"/>
  <c r="L452" i="2"/>
  <c r="Y451" i="2"/>
  <c r="X451" i="2"/>
  <c r="W451" i="2"/>
  <c r="T451" i="2"/>
  <c r="R451" i="2"/>
  <c r="P451" i="2"/>
  <c r="L451" i="2"/>
  <c r="Y450" i="2"/>
  <c r="X450" i="2"/>
  <c r="W450" i="2"/>
  <c r="T450" i="2"/>
  <c r="R450" i="2"/>
  <c r="P450" i="2"/>
  <c r="L450" i="2"/>
  <c r="Y449" i="2"/>
  <c r="X449" i="2"/>
  <c r="W449" i="2"/>
  <c r="T449" i="2"/>
  <c r="R449" i="2"/>
  <c r="P449" i="2"/>
  <c r="L449" i="2"/>
  <c r="Y448" i="2"/>
  <c r="X448" i="2"/>
  <c r="W448" i="2"/>
  <c r="T448" i="2"/>
  <c r="R448" i="2"/>
  <c r="P448" i="2"/>
  <c r="L448" i="2"/>
  <c r="Y447" i="2"/>
  <c r="X447" i="2"/>
  <c r="W447" i="2"/>
  <c r="T447" i="2"/>
  <c r="R447" i="2"/>
  <c r="P447" i="2"/>
  <c r="L447" i="2"/>
  <c r="Y446" i="2"/>
  <c r="X446" i="2"/>
  <c r="W446" i="2"/>
  <c r="T446" i="2"/>
  <c r="R446" i="2"/>
  <c r="P446" i="2"/>
  <c r="L446" i="2"/>
  <c r="Y445" i="2"/>
  <c r="X445" i="2"/>
  <c r="W445" i="2"/>
  <c r="T445" i="2"/>
  <c r="R445" i="2"/>
  <c r="P445" i="2"/>
  <c r="L445" i="2"/>
  <c r="Y444" i="2"/>
  <c r="X444" i="2"/>
  <c r="W444" i="2"/>
  <c r="T444" i="2"/>
  <c r="R444" i="2"/>
  <c r="P444" i="2"/>
  <c r="L444" i="2"/>
  <c r="Y443" i="2"/>
  <c r="X443" i="2"/>
  <c r="W443" i="2"/>
  <c r="T443" i="2"/>
  <c r="R443" i="2"/>
  <c r="P443" i="2"/>
  <c r="L443" i="2"/>
  <c r="Y442" i="2"/>
  <c r="X442" i="2"/>
  <c r="W442" i="2"/>
  <c r="T442" i="2"/>
  <c r="R442" i="2"/>
  <c r="P442" i="2"/>
  <c r="L442" i="2"/>
  <c r="Y441" i="2"/>
  <c r="X441" i="2"/>
  <c r="W441" i="2"/>
  <c r="T441" i="2"/>
  <c r="R441" i="2"/>
  <c r="P441" i="2"/>
  <c r="L441" i="2"/>
  <c r="Y440" i="2"/>
  <c r="X440" i="2"/>
  <c r="W440" i="2"/>
  <c r="T440" i="2"/>
  <c r="R440" i="2"/>
  <c r="P440" i="2"/>
  <c r="L440" i="2"/>
  <c r="Y439" i="2"/>
  <c r="X439" i="2"/>
  <c r="W439" i="2"/>
  <c r="T439" i="2"/>
  <c r="R439" i="2"/>
  <c r="P439" i="2"/>
  <c r="L439" i="2"/>
  <c r="Y438" i="2"/>
  <c r="X438" i="2"/>
  <c r="W438" i="2"/>
  <c r="T438" i="2"/>
  <c r="R438" i="2"/>
  <c r="P438" i="2"/>
  <c r="L438" i="2"/>
  <c r="Y437" i="2"/>
  <c r="X437" i="2"/>
  <c r="W437" i="2"/>
  <c r="T437" i="2"/>
  <c r="R437" i="2"/>
  <c r="P437" i="2"/>
  <c r="L437" i="2"/>
  <c r="Y436" i="2"/>
  <c r="X436" i="2"/>
  <c r="W436" i="2"/>
  <c r="T436" i="2"/>
  <c r="R436" i="2"/>
  <c r="P436" i="2"/>
  <c r="L436" i="2"/>
  <c r="Y435" i="2"/>
  <c r="X435" i="2"/>
  <c r="W435" i="2"/>
  <c r="T435" i="2"/>
  <c r="R435" i="2"/>
  <c r="P435" i="2"/>
  <c r="L435" i="2"/>
  <c r="Y434" i="2"/>
  <c r="X434" i="2"/>
  <c r="W434" i="2"/>
  <c r="T434" i="2"/>
  <c r="R434" i="2"/>
  <c r="P434" i="2"/>
  <c r="L434" i="2"/>
  <c r="Y433" i="2"/>
  <c r="X433" i="2"/>
  <c r="W433" i="2"/>
  <c r="T433" i="2"/>
  <c r="R433" i="2"/>
  <c r="P433" i="2"/>
  <c r="L433" i="2"/>
  <c r="Y432" i="2"/>
  <c r="X432" i="2"/>
  <c r="W432" i="2"/>
  <c r="T432" i="2"/>
  <c r="R432" i="2"/>
  <c r="P432" i="2"/>
  <c r="L432" i="2"/>
  <c r="Y431" i="2"/>
  <c r="X431" i="2"/>
  <c r="W431" i="2"/>
  <c r="T431" i="2"/>
  <c r="R431" i="2"/>
  <c r="P431" i="2"/>
  <c r="L431" i="2"/>
  <c r="Y430" i="2"/>
  <c r="X430" i="2"/>
  <c r="W430" i="2"/>
  <c r="T430" i="2"/>
  <c r="R430" i="2"/>
  <c r="P430" i="2"/>
  <c r="L430" i="2"/>
  <c r="Y429" i="2"/>
  <c r="X429" i="2"/>
  <c r="W429" i="2"/>
  <c r="T429" i="2"/>
  <c r="R429" i="2"/>
  <c r="P429" i="2"/>
  <c r="L429" i="2"/>
  <c r="Y428" i="2"/>
  <c r="X428" i="2"/>
  <c r="W428" i="2"/>
  <c r="T428" i="2"/>
  <c r="R428" i="2"/>
  <c r="P428" i="2"/>
  <c r="L428" i="2"/>
  <c r="Y427" i="2"/>
  <c r="X427" i="2"/>
  <c r="W427" i="2"/>
  <c r="T427" i="2"/>
  <c r="R427" i="2"/>
  <c r="P427" i="2"/>
  <c r="L427" i="2"/>
  <c r="Y426" i="2"/>
  <c r="X426" i="2"/>
  <c r="W426" i="2"/>
  <c r="T426" i="2"/>
  <c r="R426" i="2"/>
  <c r="P426" i="2"/>
  <c r="L426" i="2"/>
  <c r="Y425" i="2"/>
  <c r="X425" i="2"/>
  <c r="W425" i="2"/>
  <c r="T425" i="2"/>
  <c r="R425" i="2"/>
  <c r="P425" i="2"/>
  <c r="L425" i="2"/>
  <c r="Y424" i="2"/>
  <c r="X424" i="2"/>
  <c r="W424" i="2"/>
  <c r="T424" i="2"/>
  <c r="R424" i="2"/>
  <c r="P424" i="2"/>
  <c r="L424" i="2"/>
  <c r="Y423" i="2"/>
  <c r="X423" i="2"/>
  <c r="W423" i="2"/>
  <c r="T423" i="2"/>
  <c r="R423" i="2"/>
  <c r="P423" i="2"/>
  <c r="L423" i="2"/>
  <c r="Y422" i="2"/>
  <c r="X422" i="2"/>
  <c r="W422" i="2"/>
  <c r="T422" i="2"/>
  <c r="R422" i="2"/>
  <c r="P422" i="2"/>
  <c r="L422" i="2"/>
  <c r="Y421" i="2"/>
  <c r="X421" i="2"/>
  <c r="W421" i="2"/>
  <c r="T421" i="2"/>
  <c r="R421" i="2"/>
  <c r="P421" i="2"/>
  <c r="L421" i="2"/>
  <c r="Y420" i="2"/>
  <c r="X420" i="2"/>
  <c r="W420" i="2"/>
  <c r="T420" i="2"/>
  <c r="R420" i="2"/>
  <c r="P420" i="2"/>
  <c r="L420" i="2"/>
  <c r="Y419" i="2"/>
  <c r="X419" i="2"/>
  <c r="W419" i="2"/>
  <c r="T419" i="2"/>
  <c r="R419" i="2"/>
  <c r="P419" i="2"/>
  <c r="L419" i="2"/>
  <c r="Y418" i="2"/>
  <c r="X418" i="2"/>
  <c r="W418" i="2"/>
  <c r="T418" i="2"/>
  <c r="R418" i="2"/>
  <c r="P418" i="2"/>
  <c r="L418" i="2"/>
  <c r="Y417" i="2"/>
  <c r="X417" i="2"/>
  <c r="W417" i="2"/>
  <c r="T417" i="2"/>
  <c r="R417" i="2"/>
  <c r="P417" i="2"/>
  <c r="L417" i="2"/>
  <c r="Y416" i="2"/>
  <c r="X416" i="2"/>
  <c r="W416" i="2"/>
  <c r="T416" i="2"/>
  <c r="R416" i="2"/>
  <c r="P416" i="2"/>
  <c r="L416" i="2"/>
  <c r="Y415" i="2"/>
  <c r="X415" i="2"/>
  <c r="W415" i="2"/>
  <c r="T415" i="2"/>
  <c r="R415" i="2"/>
  <c r="P415" i="2"/>
  <c r="L415" i="2"/>
  <c r="Y414" i="2"/>
  <c r="X414" i="2"/>
  <c r="W414" i="2"/>
  <c r="T414" i="2"/>
  <c r="R414" i="2"/>
  <c r="P414" i="2"/>
  <c r="L414" i="2"/>
  <c r="Y413" i="2"/>
  <c r="X413" i="2"/>
  <c r="W413" i="2"/>
  <c r="T413" i="2"/>
  <c r="R413" i="2"/>
  <c r="P413" i="2"/>
  <c r="L413" i="2"/>
  <c r="Y412" i="2"/>
  <c r="X412" i="2"/>
  <c r="W412" i="2"/>
  <c r="T412" i="2"/>
  <c r="R412" i="2"/>
  <c r="P412" i="2"/>
  <c r="L412" i="2"/>
  <c r="Y411" i="2"/>
  <c r="X411" i="2"/>
  <c r="W411" i="2"/>
  <c r="T411" i="2"/>
  <c r="R411" i="2"/>
  <c r="P411" i="2"/>
  <c r="L411" i="2"/>
  <c r="Y410" i="2"/>
  <c r="X410" i="2"/>
  <c r="W410" i="2"/>
  <c r="T410" i="2"/>
  <c r="R410" i="2"/>
  <c r="P410" i="2"/>
  <c r="L410" i="2"/>
  <c r="Y409" i="2"/>
  <c r="X409" i="2"/>
  <c r="W409" i="2"/>
  <c r="T409" i="2"/>
  <c r="R409" i="2"/>
  <c r="P409" i="2"/>
  <c r="L409" i="2"/>
  <c r="Y408" i="2"/>
  <c r="X408" i="2"/>
  <c r="W408" i="2"/>
  <c r="T408" i="2"/>
  <c r="R408" i="2"/>
  <c r="P408" i="2"/>
  <c r="L408" i="2"/>
  <c r="Y407" i="2"/>
  <c r="X407" i="2"/>
  <c r="W407" i="2"/>
  <c r="T407" i="2"/>
  <c r="R407" i="2"/>
  <c r="P407" i="2"/>
  <c r="L407" i="2"/>
  <c r="Y406" i="2"/>
  <c r="X406" i="2"/>
  <c r="W406" i="2"/>
  <c r="T406" i="2"/>
  <c r="R406" i="2"/>
  <c r="P406" i="2"/>
  <c r="L406" i="2"/>
  <c r="Y405" i="2"/>
  <c r="X405" i="2"/>
  <c r="W405" i="2"/>
  <c r="T405" i="2"/>
  <c r="R405" i="2"/>
  <c r="P405" i="2"/>
  <c r="L405" i="2"/>
  <c r="Y404" i="2"/>
  <c r="X404" i="2"/>
  <c r="W404" i="2"/>
  <c r="T404" i="2"/>
  <c r="R404" i="2"/>
  <c r="P404" i="2"/>
  <c r="L404" i="2"/>
  <c r="Y403" i="2"/>
  <c r="X403" i="2"/>
  <c r="W403" i="2"/>
  <c r="T403" i="2"/>
  <c r="R403" i="2"/>
  <c r="P403" i="2"/>
  <c r="L403" i="2"/>
  <c r="Y402" i="2"/>
  <c r="X402" i="2"/>
  <c r="W402" i="2"/>
  <c r="T402" i="2"/>
  <c r="R402" i="2"/>
  <c r="P402" i="2"/>
  <c r="L402" i="2"/>
  <c r="Y401" i="2"/>
  <c r="X401" i="2"/>
  <c r="W401" i="2"/>
  <c r="T401" i="2"/>
  <c r="R401" i="2"/>
  <c r="P401" i="2"/>
  <c r="L401" i="2"/>
  <c r="Y400" i="2"/>
  <c r="X400" i="2"/>
  <c r="W400" i="2"/>
  <c r="T400" i="2"/>
  <c r="R400" i="2"/>
  <c r="P400" i="2"/>
  <c r="L400" i="2"/>
  <c r="Y399" i="2"/>
  <c r="X399" i="2"/>
  <c r="W399" i="2"/>
  <c r="T399" i="2"/>
  <c r="R399" i="2"/>
  <c r="P399" i="2"/>
  <c r="L399" i="2"/>
  <c r="Y398" i="2"/>
  <c r="X398" i="2"/>
  <c r="W398" i="2"/>
  <c r="T398" i="2"/>
  <c r="R398" i="2"/>
  <c r="P398" i="2"/>
  <c r="L398" i="2"/>
  <c r="Y397" i="2"/>
  <c r="X397" i="2"/>
  <c r="W397" i="2"/>
  <c r="T397" i="2"/>
  <c r="R397" i="2"/>
  <c r="P397" i="2"/>
  <c r="L397" i="2"/>
  <c r="Y396" i="2"/>
  <c r="X396" i="2"/>
  <c r="W396" i="2"/>
  <c r="T396" i="2"/>
  <c r="R396" i="2"/>
  <c r="P396" i="2"/>
  <c r="L396" i="2"/>
  <c r="Y395" i="2"/>
  <c r="X395" i="2"/>
  <c r="W395" i="2"/>
  <c r="T395" i="2"/>
  <c r="R395" i="2"/>
  <c r="P395" i="2"/>
  <c r="L395" i="2"/>
  <c r="Y394" i="2"/>
  <c r="X394" i="2"/>
  <c r="W394" i="2"/>
  <c r="T394" i="2"/>
  <c r="R394" i="2"/>
  <c r="P394" i="2"/>
  <c r="L394" i="2"/>
  <c r="Y393" i="2"/>
  <c r="X393" i="2"/>
  <c r="W393" i="2"/>
  <c r="T393" i="2"/>
  <c r="R393" i="2"/>
  <c r="P393" i="2"/>
  <c r="L393" i="2"/>
  <c r="Y392" i="2"/>
  <c r="X392" i="2"/>
  <c r="W392" i="2"/>
  <c r="T392" i="2"/>
  <c r="R392" i="2"/>
  <c r="P392" i="2"/>
  <c r="L392" i="2"/>
  <c r="Y391" i="2"/>
  <c r="X391" i="2"/>
  <c r="W391" i="2"/>
  <c r="T391" i="2"/>
  <c r="R391" i="2"/>
  <c r="P391" i="2"/>
  <c r="L391" i="2"/>
  <c r="Y390" i="2"/>
  <c r="X390" i="2"/>
  <c r="W390" i="2"/>
  <c r="T390" i="2"/>
  <c r="R390" i="2"/>
  <c r="P390" i="2"/>
  <c r="L390" i="2"/>
  <c r="Y389" i="2"/>
  <c r="X389" i="2"/>
  <c r="W389" i="2"/>
  <c r="T389" i="2"/>
  <c r="R389" i="2"/>
  <c r="P389" i="2"/>
  <c r="L389" i="2"/>
  <c r="Y388" i="2"/>
  <c r="X388" i="2"/>
  <c r="W388" i="2"/>
  <c r="T388" i="2"/>
  <c r="R388" i="2"/>
  <c r="P388" i="2"/>
  <c r="L388" i="2"/>
  <c r="Y387" i="2"/>
  <c r="X387" i="2"/>
  <c r="W387" i="2"/>
  <c r="T387" i="2"/>
  <c r="R387" i="2"/>
  <c r="P387" i="2"/>
  <c r="L387" i="2"/>
  <c r="Y386" i="2"/>
  <c r="X386" i="2"/>
  <c r="W386" i="2"/>
  <c r="T386" i="2"/>
  <c r="R386" i="2"/>
  <c r="P386" i="2"/>
  <c r="L386" i="2"/>
  <c r="Y385" i="2"/>
  <c r="X385" i="2"/>
  <c r="W385" i="2"/>
  <c r="T385" i="2"/>
  <c r="R385" i="2"/>
  <c r="P385" i="2"/>
  <c r="L385" i="2"/>
  <c r="Y384" i="2"/>
  <c r="X384" i="2"/>
  <c r="W384" i="2"/>
  <c r="T384" i="2"/>
  <c r="R384" i="2"/>
  <c r="P384" i="2"/>
  <c r="L384" i="2"/>
  <c r="Y383" i="2"/>
  <c r="X383" i="2"/>
  <c r="W383" i="2"/>
  <c r="T383" i="2"/>
  <c r="R383" i="2"/>
  <c r="P383" i="2"/>
  <c r="L383" i="2"/>
  <c r="Y382" i="2"/>
  <c r="X382" i="2"/>
  <c r="W382" i="2"/>
  <c r="T382" i="2"/>
  <c r="R382" i="2"/>
  <c r="P382" i="2"/>
  <c r="L382" i="2"/>
  <c r="Y381" i="2"/>
  <c r="X381" i="2"/>
  <c r="W381" i="2"/>
  <c r="T381" i="2"/>
  <c r="R381" i="2"/>
  <c r="P381" i="2"/>
  <c r="L381" i="2"/>
  <c r="Y380" i="2"/>
  <c r="X380" i="2"/>
  <c r="W380" i="2"/>
  <c r="T380" i="2"/>
  <c r="R380" i="2"/>
  <c r="P380" i="2"/>
  <c r="L380" i="2"/>
  <c r="Y379" i="2"/>
  <c r="X379" i="2"/>
  <c r="W379" i="2"/>
  <c r="T379" i="2"/>
  <c r="R379" i="2"/>
  <c r="P379" i="2"/>
  <c r="L379" i="2"/>
  <c r="Y378" i="2"/>
  <c r="X378" i="2"/>
  <c r="W378" i="2"/>
  <c r="T378" i="2"/>
  <c r="R378" i="2"/>
  <c r="P378" i="2"/>
  <c r="L378" i="2"/>
  <c r="Y377" i="2"/>
  <c r="X377" i="2"/>
  <c r="W377" i="2"/>
  <c r="T377" i="2"/>
  <c r="R377" i="2"/>
  <c r="P377" i="2"/>
  <c r="L377" i="2"/>
  <c r="Y376" i="2"/>
  <c r="X376" i="2"/>
  <c r="W376" i="2"/>
  <c r="T376" i="2"/>
  <c r="R376" i="2"/>
  <c r="P376" i="2"/>
  <c r="L376" i="2"/>
  <c r="Y375" i="2"/>
  <c r="X375" i="2"/>
  <c r="W375" i="2"/>
  <c r="T375" i="2"/>
  <c r="R375" i="2"/>
  <c r="P375" i="2"/>
  <c r="L375" i="2"/>
  <c r="Y374" i="2"/>
  <c r="X374" i="2"/>
  <c r="W374" i="2"/>
  <c r="T374" i="2"/>
  <c r="R374" i="2"/>
  <c r="P374" i="2"/>
  <c r="L374" i="2"/>
  <c r="Y373" i="2"/>
  <c r="X373" i="2"/>
  <c r="W373" i="2"/>
  <c r="T373" i="2"/>
  <c r="R373" i="2"/>
  <c r="P373" i="2"/>
  <c r="L373" i="2"/>
  <c r="Y372" i="2"/>
  <c r="X372" i="2"/>
  <c r="W372" i="2"/>
  <c r="T372" i="2"/>
  <c r="R372" i="2"/>
  <c r="P372" i="2"/>
  <c r="L372" i="2"/>
  <c r="Y371" i="2"/>
  <c r="X371" i="2"/>
  <c r="W371" i="2"/>
  <c r="T371" i="2"/>
  <c r="R371" i="2"/>
  <c r="P371" i="2"/>
  <c r="L371" i="2"/>
  <c r="Y370" i="2"/>
  <c r="X370" i="2"/>
  <c r="W370" i="2"/>
  <c r="T370" i="2"/>
  <c r="R370" i="2"/>
  <c r="P370" i="2"/>
  <c r="L370" i="2"/>
  <c r="Y369" i="2"/>
  <c r="X369" i="2"/>
  <c r="W369" i="2"/>
  <c r="T369" i="2"/>
  <c r="R369" i="2"/>
  <c r="P369" i="2"/>
  <c r="L369" i="2"/>
  <c r="Y368" i="2"/>
  <c r="X368" i="2"/>
  <c r="W368" i="2"/>
  <c r="T368" i="2"/>
  <c r="R368" i="2"/>
  <c r="P368" i="2"/>
  <c r="L368" i="2"/>
  <c r="Y367" i="2"/>
  <c r="X367" i="2"/>
  <c r="W367" i="2"/>
  <c r="T367" i="2"/>
  <c r="R367" i="2"/>
  <c r="P367" i="2"/>
  <c r="L367" i="2"/>
  <c r="Y366" i="2"/>
  <c r="X366" i="2"/>
  <c r="W366" i="2"/>
  <c r="T366" i="2"/>
  <c r="R366" i="2"/>
  <c r="P366" i="2"/>
  <c r="L366" i="2"/>
  <c r="Y365" i="2"/>
  <c r="X365" i="2"/>
  <c r="W365" i="2"/>
  <c r="T365" i="2"/>
  <c r="R365" i="2"/>
  <c r="P365" i="2"/>
  <c r="L365" i="2"/>
  <c r="Y364" i="2"/>
  <c r="X364" i="2"/>
  <c r="W364" i="2"/>
  <c r="T364" i="2"/>
  <c r="R364" i="2"/>
  <c r="P364" i="2"/>
  <c r="L364" i="2"/>
  <c r="Y363" i="2"/>
  <c r="X363" i="2"/>
  <c r="W363" i="2"/>
  <c r="T363" i="2"/>
  <c r="R363" i="2"/>
  <c r="P363" i="2"/>
  <c r="L363" i="2"/>
  <c r="Y362" i="2"/>
  <c r="X362" i="2"/>
  <c r="W362" i="2"/>
  <c r="T362" i="2"/>
  <c r="R362" i="2"/>
  <c r="P362" i="2"/>
  <c r="L362" i="2"/>
  <c r="Y361" i="2"/>
  <c r="X361" i="2"/>
  <c r="W361" i="2"/>
  <c r="T361" i="2"/>
  <c r="R361" i="2"/>
  <c r="P361" i="2"/>
  <c r="L361" i="2"/>
  <c r="Y360" i="2"/>
  <c r="X360" i="2"/>
  <c r="W360" i="2"/>
  <c r="T360" i="2"/>
  <c r="R360" i="2"/>
  <c r="P360" i="2"/>
  <c r="L360" i="2"/>
  <c r="Y359" i="2"/>
  <c r="X359" i="2"/>
  <c r="W359" i="2"/>
  <c r="T359" i="2"/>
  <c r="R359" i="2"/>
  <c r="P359" i="2"/>
  <c r="L359" i="2"/>
  <c r="Y358" i="2"/>
  <c r="X358" i="2"/>
  <c r="W358" i="2"/>
  <c r="T358" i="2"/>
  <c r="R358" i="2"/>
  <c r="P358" i="2"/>
  <c r="L358" i="2"/>
  <c r="Y357" i="2"/>
  <c r="X357" i="2"/>
  <c r="W357" i="2"/>
  <c r="T357" i="2"/>
  <c r="R357" i="2"/>
  <c r="P357" i="2"/>
  <c r="L357" i="2"/>
  <c r="Y356" i="2"/>
  <c r="X356" i="2"/>
  <c r="W356" i="2"/>
  <c r="T356" i="2"/>
  <c r="R356" i="2"/>
  <c r="P356" i="2"/>
  <c r="L356" i="2"/>
  <c r="Y355" i="2"/>
  <c r="X355" i="2"/>
  <c r="W355" i="2"/>
  <c r="T355" i="2"/>
  <c r="R355" i="2"/>
  <c r="P355" i="2"/>
  <c r="L355" i="2"/>
  <c r="Y354" i="2"/>
  <c r="X354" i="2"/>
  <c r="W354" i="2"/>
  <c r="T354" i="2"/>
  <c r="R354" i="2"/>
  <c r="P354" i="2"/>
  <c r="L354" i="2"/>
  <c r="Y353" i="2"/>
  <c r="X353" i="2"/>
  <c r="W353" i="2"/>
  <c r="T353" i="2"/>
  <c r="R353" i="2"/>
  <c r="P353" i="2"/>
  <c r="L353" i="2"/>
  <c r="Y352" i="2"/>
  <c r="X352" i="2"/>
  <c r="W352" i="2"/>
  <c r="T352" i="2"/>
  <c r="R352" i="2"/>
  <c r="P352" i="2"/>
  <c r="L352" i="2"/>
  <c r="Y351" i="2"/>
  <c r="X351" i="2"/>
  <c r="W351" i="2"/>
  <c r="T351" i="2"/>
  <c r="R351" i="2"/>
  <c r="P351" i="2"/>
  <c r="L351" i="2"/>
  <c r="Y350" i="2"/>
  <c r="X350" i="2"/>
  <c r="W350" i="2"/>
  <c r="T350" i="2"/>
  <c r="R350" i="2"/>
  <c r="P350" i="2"/>
  <c r="L350" i="2"/>
  <c r="Y349" i="2"/>
  <c r="X349" i="2"/>
  <c r="W349" i="2"/>
  <c r="T349" i="2"/>
  <c r="R349" i="2"/>
  <c r="P349" i="2"/>
  <c r="L349" i="2"/>
  <c r="Y348" i="2"/>
  <c r="X348" i="2"/>
  <c r="W348" i="2"/>
  <c r="T348" i="2"/>
  <c r="R348" i="2"/>
  <c r="P348" i="2"/>
  <c r="L348" i="2"/>
  <c r="Y347" i="2"/>
  <c r="X347" i="2"/>
  <c r="W347" i="2"/>
  <c r="T347" i="2"/>
  <c r="R347" i="2"/>
  <c r="P347" i="2"/>
  <c r="L347" i="2"/>
  <c r="Y346" i="2"/>
  <c r="X346" i="2"/>
  <c r="W346" i="2"/>
  <c r="T346" i="2"/>
  <c r="R346" i="2"/>
  <c r="P346" i="2"/>
  <c r="L346" i="2"/>
  <c r="Y345" i="2"/>
  <c r="X345" i="2"/>
  <c r="W345" i="2"/>
  <c r="T345" i="2"/>
  <c r="R345" i="2"/>
  <c r="P345" i="2"/>
  <c r="L345" i="2"/>
  <c r="Y344" i="2"/>
  <c r="X344" i="2"/>
  <c r="W344" i="2"/>
  <c r="T344" i="2"/>
  <c r="R344" i="2"/>
  <c r="P344" i="2"/>
  <c r="L344" i="2"/>
  <c r="Y343" i="2"/>
  <c r="X343" i="2"/>
  <c r="W343" i="2"/>
  <c r="T343" i="2"/>
  <c r="R343" i="2"/>
  <c r="P343" i="2"/>
  <c r="L343" i="2"/>
  <c r="Y342" i="2"/>
  <c r="X342" i="2"/>
  <c r="W342" i="2"/>
  <c r="T342" i="2"/>
  <c r="R342" i="2"/>
  <c r="P342" i="2"/>
  <c r="L342" i="2"/>
  <c r="Y341" i="2"/>
  <c r="X341" i="2"/>
  <c r="W341" i="2"/>
  <c r="T341" i="2"/>
  <c r="R341" i="2"/>
  <c r="P341" i="2"/>
  <c r="L341" i="2"/>
  <c r="Y340" i="2"/>
  <c r="X340" i="2"/>
  <c r="W340" i="2"/>
  <c r="T340" i="2"/>
  <c r="R340" i="2"/>
  <c r="P340" i="2"/>
  <c r="L340" i="2"/>
  <c r="Y339" i="2"/>
  <c r="X339" i="2"/>
  <c r="W339" i="2"/>
  <c r="T339" i="2"/>
  <c r="R339" i="2"/>
  <c r="P339" i="2"/>
  <c r="L339" i="2"/>
  <c r="Y338" i="2"/>
  <c r="X338" i="2"/>
  <c r="W338" i="2"/>
  <c r="T338" i="2"/>
  <c r="R338" i="2"/>
  <c r="P338" i="2"/>
  <c r="L338" i="2"/>
  <c r="Y337" i="2"/>
  <c r="X337" i="2"/>
  <c r="W337" i="2"/>
  <c r="T337" i="2"/>
  <c r="R337" i="2"/>
  <c r="P337" i="2"/>
  <c r="L337" i="2"/>
  <c r="Y336" i="2"/>
  <c r="X336" i="2"/>
  <c r="W336" i="2"/>
  <c r="T336" i="2"/>
  <c r="R336" i="2"/>
  <c r="P336" i="2"/>
  <c r="L336" i="2"/>
  <c r="Y335" i="2"/>
  <c r="X335" i="2"/>
  <c r="W335" i="2"/>
  <c r="T335" i="2"/>
  <c r="R335" i="2"/>
  <c r="P335" i="2"/>
  <c r="L335" i="2"/>
  <c r="Y334" i="2"/>
  <c r="X334" i="2"/>
  <c r="W334" i="2"/>
  <c r="T334" i="2"/>
  <c r="R334" i="2"/>
  <c r="P334" i="2"/>
  <c r="L334" i="2"/>
  <c r="Y333" i="2"/>
  <c r="X333" i="2"/>
  <c r="W333" i="2"/>
  <c r="T333" i="2"/>
  <c r="R333" i="2"/>
  <c r="P333" i="2"/>
  <c r="L333" i="2"/>
  <c r="Y332" i="2"/>
  <c r="X332" i="2"/>
  <c r="W332" i="2"/>
  <c r="T332" i="2"/>
  <c r="R332" i="2"/>
  <c r="P332" i="2"/>
  <c r="L332" i="2"/>
  <c r="Y331" i="2"/>
  <c r="X331" i="2"/>
  <c r="W331" i="2"/>
  <c r="T331" i="2"/>
  <c r="R331" i="2"/>
  <c r="P331" i="2"/>
  <c r="L331" i="2"/>
  <c r="Y330" i="2"/>
  <c r="X330" i="2"/>
  <c r="W330" i="2"/>
  <c r="T330" i="2"/>
  <c r="R330" i="2"/>
  <c r="P330" i="2"/>
  <c r="L330" i="2"/>
  <c r="Y329" i="2"/>
  <c r="X329" i="2"/>
  <c r="W329" i="2"/>
  <c r="T329" i="2"/>
  <c r="R329" i="2"/>
  <c r="P329" i="2"/>
  <c r="L329" i="2"/>
  <c r="Y328" i="2"/>
  <c r="X328" i="2"/>
  <c r="W328" i="2"/>
  <c r="T328" i="2"/>
  <c r="R328" i="2"/>
  <c r="P328" i="2"/>
  <c r="L328" i="2"/>
  <c r="Y327" i="2"/>
  <c r="X327" i="2"/>
  <c r="W327" i="2"/>
  <c r="T327" i="2"/>
  <c r="R327" i="2"/>
  <c r="P327" i="2"/>
  <c r="L327" i="2"/>
  <c r="Y326" i="2"/>
  <c r="X326" i="2"/>
  <c r="W326" i="2"/>
  <c r="T326" i="2"/>
  <c r="R326" i="2"/>
  <c r="P326" i="2"/>
  <c r="L326" i="2"/>
  <c r="Y325" i="2"/>
  <c r="X325" i="2"/>
  <c r="W325" i="2"/>
  <c r="T325" i="2"/>
  <c r="R325" i="2"/>
  <c r="P325" i="2"/>
  <c r="L325" i="2"/>
  <c r="Y324" i="2"/>
  <c r="X324" i="2"/>
  <c r="W324" i="2"/>
  <c r="T324" i="2"/>
  <c r="R324" i="2"/>
  <c r="P324" i="2"/>
  <c r="L324" i="2"/>
  <c r="Y323" i="2"/>
  <c r="X323" i="2"/>
  <c r="W323" i="2"/>
  <c r="T323" i="2"/>
  <c r="R323" i="2"/>
  <c r="P323" i="2"/>
  <c r="L323" i="2"/>
  <c r="Y322" i="2"/>
  <c r="X322" i="2"/>
  <c r="W322" i="2"/>
  <c r="T322" i="2"/>
  <c r="R322" i="2"/>
  <c r="P322" i="2"/>
  <c r="L322" i="2"/>
  <c r="Y321" i="2"/>
  <c r="X321" i="2"/>
  <c r="W321" i="2"/>
  <c r="T321" i="2"/>
  <c r="R321" i="2"/>
  <c r="P321" i="2"/>
  <c r="L321" i="2"/>
  <c r="Y320" i="2"/>
  <c r="X320" i="2"/>
  <c r="W320" i="2"/>
  <c r="T320" i="2"/>
  <c r="R320" i="2"/>
  <c r="P320" i="2"/>
  <c r="L320" i="2"/>
  <c r="Y319" i="2"/>
  <c r="X319" i="2"/>
  <c r="W319" i="2"/>
  <c r="T319" i="2"/>
  <c r="R319" i="2"/>
  <c r="P319" i="2"/>
  <c r="L319" i="2"/>
  <c r="Y318" i="2"/>
  <c r="X318" i="2"/>
  <c r="W318" i="2"/>
  <c r="T318" i="2"/>
  <c r="R318" i="2"/>
  <c r="P318" i="2"/>
  <c r="L318" i="2"/>
  <c r="Y317" i="2"/>
  <c r="X317" i="2"/>
  <c r="W317" i="2"/>
  <c r="T317" i="2"/>
  <c r="R317" i="2"/>
  <c r="P317" i="2"/>
  <c r="L317" i="2"/>
  <c r="Y316" i="2"/>
  <c r="X316" i="2"/>
  <c r="W316" i="2"/>
  <c r="T316" i="2"/>
  <c r="R316" i="2"/>
  <c r="P316" i="2"/>
  <c r="L316" i="2"/>
  <c r="Y315" i="2"/>
  <c r="X315" i="2"/>
  <c r="W315" i="2"/>
  <c r="T315" i="2"/>
  <c r="R315" i="2"/>
  <c r="P315" i="2"/>
  <c r="L315" i="2"/>
  <c r="Y314" i="2"/>
  <c r="X314" i="2"/>
  <c r="W314" i="2"/>
  <c r="T314" i="2"/>
  <c r="R314" i="2"/>
  <c r="P314" i="2"/>
  <c r="L314" i="2"/>
  <c r="Y313" i="2"/>
  <c r="X313" i="2"/>
  <c r="W313" i="2"/>
  <c r="T313" i="2"/>
  <c r="R313" i="2"/>
  <c r="P313" i="2"/>
  <c r="L313" i="2"/>
  <c r="Y312" i="2"/>
  <c r="X312" i="2"/>
  <c r="W312" i="2"/>
  <c r="T312" i="2"/>
  <c r="R312" i="2"/>
  <c r="P312" i="2"/>
  <c r="L312" i="2"/>
  <c r="Y311" i="2"/>
  <c r="X311" i="2"/>
  <c r="W311" i="2"/>
  <c r="T311" i="2"/>
  <c r="R311" i="2"/>
  <c r="P311" i="2"/>
  <c r="L311" i="2"/>
  <c r="Y310" i="2"/>
  <c r="X310" i="2"/>
  <c r="W310" i="2"/>
  <c r="T310" i="2"/>
  <c r="R310" i="2"/>
  <c r="P310" i="2"/>
  <c r="L310" i="2"/>
  <c r="Y309" i="2"/>
  <c r="X309" i="2"/>
  <c r="W309" i="2"/>
  <c r="T309" i="2"/>
  <c r="R309" i="2"/>
  <c r="P309" i="2"/>
  <c r="L309" i="2"/>
  <c r="Y308" i="2"/>
  <c r="X308" i="2"/>
  <c r="W308" i="2"/>
  <c r="T308" i="2"/>
  <c r="R308" i="2"/>
  <c r="P308" i="2"/>
  <c r="L308" i="2"/>
  <c r="Y307" i="2"/>
  <c r="X307" i="2"/>
  <c r="W307" i="2"/>
  <c r="T307" i="2"/>
  <c r="R307" i="2"/>
  <c r="P307" i="2"/>
  <c r="L307" i="2"/>
  <c r="Y306" i="2"/>
  <c r="X306" i="2"/>
  <c r="W306" i="2"/>
  <c r="T306" i="2"/>
  <c r="R306" i="2"/>
  <c r="P306" i="2"/>
  <c r="L306" i="2"/>
  <c r="Y305" i="2"/>
  <c r="X305" i="2"/>
  <c r="W305" i="2"/>
  <c r="T305" i="2"/>
  <c r="R305" i="2"/>
  <c r="P305" i="2"/>
  <c r="L305" i="2"/>
  <c r="Y304" i="2"/>
  <c r="X304" i="2"/>
  <c r="W304" i="2"/>
  <c r="T304" i="2"/>
  <c r="R304" i="2"/>
  <c r="P304" i="2"/>
  <c r="L304" i="2"/>
  <c r="Y303" i="2"/>
  <c r="X303" i="2"/>
  <c r="W303" i="2"/>
  <c r="T303" i="2"/>
  <c r="R303" i="2"/>
  <c r="P303" i="2"/>
  <c r="L303" i="2"/>
  <c r="Y302" i="2"/>
  <c r="X302" i="2"/>
  <c r="W302" i="2"/>
  <c r="T302" i="2"/>
  <c r="R302" i="2"/>
  <c r="P302" i="2"/>
  <c r="L302" i="2"/>
  <c r="Y301" i="2"/>
  <c r="X301" i="2"/>
  <c r="W301" i="2"/>
  <c r="T301" i="2"/>
  <c r="R301" i="2"/>
  <c r="P301" i="2"/>
  <c r="L301" i="2"/>
  <c r="Y300" i="2"/>
  <c r="X300" i="2"/>
  <c r="W300" i="2"/>
  <c r="T300" i="2"/>
  <c r="R300" i="2"/>
  <c r="P300" i="2"/>
  <c r="L300" i="2"/>
  <c r="Y299" i="2"/>
  <c r="X299" i="2"/>
  <c r="W299" i="2"/>
  <c r="T299" i="2"/>
  <c r="R299" i="2"/>
  <c r="P299" i="2"/>
  <c r="L299" i="2"/>
  <c r="Y298" i="2"/>
  <c r="X298" i="2"/>
  <c r="W298" i="2"/>
  <c r="T298" i="2"/>
  <c r="R298" i="2"/>
  <c r="P298" i="2"/>
  <c r="L298" i="2"/>
  <c r="Y297" i="2"/>
  <c r="X297" i="2"/>
  <c r="W297" i="2"/>
  <c r="T297" i="2"/>
  <c r="R297" i="2"/>
  <c r="P297" i="2"/>
  <c r="L297" i="2"/>
  <c r="Y296" i="2"/>
  <c r="X296" i="2"/>
  <c r="W296" i="2"/>
  <c r="T296" i="2"/>
  <c r="R296" i="2"/>
  <c r="P296" i="2"/>
  <c r="L296" i="2"/>
  <c r="Y295" i="2"/>
  <c r="X295" i="2"/>
  <c r="W295" i="2"/>
  <c r="T295" i="2"/>
  <c r="R295" i="2"/>
  <c r="P295" i="2"/>
  <c r="L295" i="2"/>
  <c r="Y294" i="2"/>
  <c r="X294" i="2"/>
  <c r="W294" i="2"/>
  <c r="T294" i="2"/>
  <c r="R294" i="2"/>
  <c r="P294" i="2"/>
  <c r="L294" i="2"/>
  <c r="Y293" i="2"/>
  <c r="X293" i="2"/>
  <c r="W293" i="2"/>
  <c r="T293" i="2"/>
  <c r="R293" i="2"/>
  <c r="P293" i="2"/>
  <c r="L293" i="2"/>
  <c r="Y292" i="2"/>
  <c r="X292" i="2"/>
  <c r="W292" i="2"/>
  <c r="T292" i="2"/>
  <c r="R292" i="2"/>
  <c r="P292" i="2"/>
  <c r="L292" i="2"/>
  <c r="Y291" i="2"/>
  <c r="X291" i="2"/>
  <c r="W291" i="2"/>
  <c r="T291" i="2"/>
  <c r="R291" i="2"/>
  <c r="P291" i="2"/>
  <c r="L291" i="2"/>
  <c r="Y290" i="2"/>
  <c r="X290" i="2"/>
  <c r="W290" i="2"/>
  <c r="T290" i="2"/>
  <c r="R290" i="2"/>
  <c r="P290" i="2"/>
  <c r="L290" i="2"/>
  <c r="Y289" i="2"/>
  <c r="X289" i="2"/>
  <c r="W289" i="2"/>
  <c r="T289" i="2"/>
  <c r="R289" i="2"/>
  <c r="P289" i="2"/>
  <c r="L289" i="2"/>
  <c r="Y288" i="2"/>
  <c r="X288" i="2"/>
  <c r="W288" i="2"/>
  <c r="T288" i="2"/>
  <c r="R288" i="2"/>
  <c r="P288" i="2"/>
  <c r="L288" i="2"/>
  <c r="Y287" i="2"/>
  <c r="X287" i="2"/>
  <c r="W287" i="2"/>
  <c r="T287" i="2"/>
  <c r="R287" i="2"/>
  <c r="P287" i="2"/>
  <c r="L287" i="2"/>
  <c r="Y286" i="2"/>
  <c r="X286" i="2"/>
  <c r="W286" i="2"/>
  <c r="T286" i="2"/>
  <c r="R286" i="2"/>
  <c r="P286" i="2"/>
  <c r="L286" i="2"/>
  <c r="Y285" i="2"/>
  <c r="X285" i="2"/>
  <c r="W285" i="2"/>
  <c r="T285" i="2"/>
  <c r="R285" i="2"/>
  <c r="P285" i="2"/>
  <c r="L285" i="2"/>
  <c r="Y284" i="2"/>
  <c r="X284" i="2"/>
  <c r="W284" i="2"/>
  <c r="T284" i="2"/>
  <c r="R284" i="2"/>
  <c r="P284" i="2"/>
  <c r="L284" i="2"/>
  <c r="Y283" i="2"/>
  <c r="X283" i="2"/>
  <c r="W283" i="2"/>
  <c r="T283" i="2"/>
  <c r="R283" i="2"/>
  <c r="P283" i="2"/>
  <c r="L283" i="2"/>
  <c r="Y282" i="2"/>
  <c r="X282" i="2"/>
  <c r="W282" i="2"/>
  <c r="T282" i="2"/>
  <c r="R282" i="2"/>
  <c r="P282" i="2"/>
  <c r="L282" i="2"/>
  <c r="Y281" i="2"/>
  <c r="X281" i="2"/>
  <c r="W281" i="2"/>
  <c r="T281" i="2"/>
  <c r="R281" i="2"/>
  <c r="P281" i="2"/>
  <c r="L281" i="2"/>
  <c r="Y280" i="2"/>
  <c r="X280" i="2"/>
  <c r="W280" i="2"/>
  <c r="T280" i="2"/>
  <c r="R280" i="2"/>
  <c r="P280" i="2"/>
  <c r="L280" i="2"/>
  <c r="Y279" i="2"/>
  <c r="X279" i="2"/>
  <c r="W279" i="2"/>
  <c r="T279" i="2"/>
  <c r="R279" i="2"/>
  <c r="P279" i="2"/>
  <c r="L279" i="2"/>
  <c r="Y278" i="2"/>
  <c r="X278" i="2"/>
  <c r="W278" i="2"/>
  <c r="T278" i="2"/>
  <c r="R278" i="2"/>
  <c r="P278" i="2"/>
  <c r="L278" i="2"/>
  <c r="Y277" i="2"/>
  <c r="X277" i="2"/>
  <c r="W277" i="2"/>
  <c r="T277" i="2"/>
  <c r="R277" i="2"/>
  <c r="P277" i="2"/>
  <c r="L277" i="2"/>
  <c r="Y276" i="2"/>
  <c r="X276" i="2"/>
  <c r="W276" i="2"/>
  <c r="T276" i="2"/>
  <c r="R276" i="2"/>
  <c r="P276" i="2"/>
  <c r="L276" i="2"/>
  <c r="Y275" i="2"/>
  <c r="X275" i="2"/>
  <c r="W275" i="2"/>
  <c r="T275" i="2"/>
  <c r="R275" i="2"/>
  <c r="P275" i="2"/>
  <c r="L275" i="2"/>
  <c r="Y274" i="2"/>
  <c r="X274" i="2"/>
  <c r="W274" i="2"/>
  <c r="T274" i="2"/>
  <c r="R274" i="2"/>
  <c r="P274" i="2"/>
  <c r="L274" i="2"/>
  <c r="Y273" i="2"/>
  <c r="X273" i="2"/>
  <c r="W273" i="2"/>
  <c r="T273" i="2"/>
  <c r="R273" i="2"/>
  <c r="P273" i="2"/>
  <c r="L273" i="2"/>
  <c r="Y272" i="2"/>
  <c r="X272" i="2"/>
  <c r="W272" i="2"/>
  <c r="T272" i="2"/>
  <c r="R272" i="2"/>
  <c r="P272" i="2"/>
  <c r="L272" i="2"/>
  <c r="Y271" i="2"/>
  <c r="X271" i="2"/>
  <c r="W271" i="2"/>
  <c r="T271" i="2"/>
  <c r="R271" i="2"/>
  <c r="P271" i="2"/>
  <c r="L271" i="2"/>
  <c r="Y270" i="2"/>
  <c r="X270" i="2"/>
  <c r="W270" i="2"/>
  <c r="T270" i="2"/>
  <c r="R270" i="2"/>
  <c r="P270" i="2"/>
  <c r="L270" i="2"/>
  <c r="Y269" i="2"/>
  <c r="X269" i="2"/>
  <c r="W269" i="2"/>
  <c r="T269" i="2"/>
  <c r="R269" i="2"/>
  <c r="P269" i="2"/>
  <c r="L269" i="2"/>
  <c r="Y268" i="2"/>
  <c r="X268" i="2"/>
  <c r="W268" i="2"/>
  <c r="T268" i="2"/>
  <c r="R268" i="2"/>
  <c r="P268" i="2"/>
  <c r="L268" i="2"/>
  <c r="Y267" i="2"/>
  <c r="X267" i="2"/>
  <c r="W267" i="2"/>
  <c r="T267" i="2"/>
  <c r="R267" i="2"/>
  <c r="P267" i="2"/>
  <c r="L267" i="2"/>
  <c r="Y266" i="2"/>
  <c r="X266" i="2"/>
  <c r="W266" i="2"/>
  <c r="T266" i="2"/>
  <c r="R266" i="2"/>
  <c r="P266" i="2"/>
  <c r="L266" i="2"/>
  <c r="Y265" i="2"/>
  <c r="X265" i="2"/>
  <c r="W265" i="2"/>
  <c r="T265" i="2"/>
  <c r="R265" i="2"/>
  <c r="P265" i="2"/>
  <c r="L265" i="2"/>
  <c r="Y264" i="2"/>
  <c r="X264" i="2"/>
  <c r="W264" i="2"/>
  <c r="T264" i="2"/>
  <c r="R264" i="2"/>
  <c r="P264" i="2"/>
  <c r="L264" i="2"/>
  <c r="Y263" i="2"/>
  <c r="X263" i="2"/>
  <c r="W263" i="2"/>
  <c r="T263" i="2"/>
  <c r="R263" i="2"/>
  <c r="P263" i="2"/>
  <c r="L263" i="2"/>
  <c r="Y262" i="2"/>
  <c r="X262" i="2"/>
  <c r="W262" i="2"/>
  <c r="T262" i="2"/>
  <c r="R262" i="2"/>
  <c r="P262" i="2"/>
  <c r="L262" i="2"/>
  <c r="Y261" i="2"/>
  <c r="X261" i="2"/>
  <c r="W261" i="2"/>
  <c r="T261" i="2"/>
  <c r="R261" i="2"/>
  <c r="P261" i="2"/>
  <c r="L261" i="2"/>
  <c r="Y260" i="2"/>
  <c r="X260" i="2"/>
  <c r="W260" i="2"/>
  <c r="T260" i="2"/>
  <c r="R260" i="2"/>
  <c r="P260" i="2"/>
  <c r="L260" i="2"/>
  <c r="Y259" i="2"/>
  <c r="X259" i="2"/>
  <c r="W259" i="2"/>
  <c r="T259" i="2"/>
  <c r="R259" i="2"/>
  <c r="P259" i="2"/>
  <c r="L259" i="2"/>
  <c r="Y258" i="2"/>
  <c r="X258" i="2"/>
  <c r="W258" i="2"/>
  <c r="T258" i="2"/>
  <c r="R258" i="2"/>
  <c r="P258" i="2"/>
  <c r="L258" i="2"/>
  <c r="Y257" i="2"/>
  <c r="X257" i="2"/>
  <c r="W257" i="2"/>
  <c r="T257" i="2"/>
  <c r="R257" i="2"/>
  <c r="P257" i="2"/>
  <c r="L257" i="2"/>
  <c r="Y256" i="2"/>
  <c r="X256" i="2"/>
  <c r="W256" i="2"/>
  <c r="T256" i="2"/>
  <c r="R256" i="2"/>
  <c r="P256" i="2"/>
  <c r="L256" i="2"/>
  <c r="Y255" i="2"/>
  <c r="X255" i="2"/>
  <c r="W255" i="2"/>
  <c r="T255" i="2"/>
  <c r="R255" i="2"/>
  <c r="P255" i="2"/>
  <c r="L255" i="2"/>
  <c r="Y254" i="2"/>
  <c r="X254" i="2"/>
  <c r="W254" i="2"/>
  <c r="T254" i="2"/>
  <c r="R254" i="2"/>
  <c r="P254" i="2"/>
  <c r="L254" i="2"/>
  <c r="Y253" i="2"/>
  <c r="X253" i="2"/>
  <c r="W253" i="2"/>
  <c r="T253" i="2"/>
  <c r="R253" i="2"/>
  <c r="P253" i="2"/>
  <c r="L253" i="2"/>
  <c r="Y252" i="2"/>
  <c r="X252" i="2"/>
  <c r="W252" i="2"/>
  <c r="T252" i="2"/>
  <c r="R252" i="2"/>
  <c r="P252" i="2"/>
  <c r="L252" i="2"/>
  <c r="Y251" i="2"/>
  <c r="X251" i="2"/>
  <c r="W251" i="2"/>
  <c r="T251" i="2"/>
  <c r="R251" i="2"/>
  <c r="P251" i="2"/>
  <c r="L251" i="2"/>
  <c r="Y250" i="2"/>
  <c r="X250" i="2"/>
  <c r="W250" i="2"/>
  <c r="T250" i="2"/>
  <c r="R250" i="2"/>
  <c r="P250" i="2"/>
  <c r="L250" i="2"/>
  <c r="Y249" i="2"/>
  <c r="X249" i="2"/>
  <c r="W249" i="2"/>
  <c r="T249" i="2"/>
  <c r="R249" i="2"/>
  <c r="P249" i="2"/>
  <c r="L249" i="2"/>
  <c r="Y248" i="2"/>
  <c r="X248" i="2"/>
  <c r="W248" i="2"/>
  <c r="T248" i="2"/>
  <c r="R248" i="2"/>
  <c r="P248" i="2"/>
  <c r="L248" i="2"/>
  <c r="Y247" i="2"/>
  <c r="X247" i="2"/>
  <c r="W247" i="2"/>
  <c r="T247" i="2"/>
  <c r="R247" i="2"/>
  <c r="P247" i="2"/>
  <c r="L247" i="2"/>
  <c r="Y246" i="2"/>
  <c r="X246" i="2"/>
  <c r="W246" i="2"/>
  <c r="T246" i="2"/>
  <c r="R246" i="2"/>
  <c r="P246" i="2"/>
  <c r="L246" i="2"/>
  <c r="Y245" i="2"/>
  <c r="X245" i="2"/>
  <c r="W245" i="2"/>
  <c r="T245" i="2"/>
  <c r="R245" i="2"/>
  <c r="P245" i="2"/>
  <c r="L245" i="2"/>
  <c r="Y244" i="2"/>
  <c r="X244" i="2"/>
  <c r="W244" i="2"/>
  <c r="T244" i="2"/>
  <c r="R244" i="2"/>
  <c r="P244" i="2"/>
  <c r="L244" i="2"/>
  <c r="Y243" i="2"/>
  <c r="X243" i="2"/>
  <c r="W243" i="2"/>
  <c r="T243" i="2"/>
  <c r="R243" i="2"/>
  <c r="P243" i="2"/>
  <c r="L243" i="2"/>
  <c r="Y242" i="2"/>
  <c r="X242" i="2"/>
  <c r="W242" i="2"/>
  <c r="T242" i="2"/>
  <c r="R242" i="2"/>
  <c r="P242" i="2"/>
  <c r="L242" i="2"/>
  <c r="Y241" i="2"/>
  <c r="X241" i="2"/>
  <c r="W241" i="2"/>
  <c r="T241" i="2"/>
  <c r="R241" i="2"/>
  <c r="P241" i="2"/>
  <c r="L241" i="2"/>
  <c r="Y240" i="2"/>
  <c r="X240" i="2"/>
  <c r="W240" i="2"/>
  <c r="T240" i="2"/>
  <c r="R240" i="2"/>
  <c r="P240" i="2"/>
  <c r="L240" i="2"/>
  <c r="Y239" i="2"/>
  <c r="X239" i="2"/>
  <c r="W239" i="2"/>
  <c r="T239" i="2"/>
  <c r="R239" i="2"/>
  <c r="P239" i="2"/>
  <c r="L239" i="2"/>
  <c r="Y238" i="2"/>
  <c r="X238" i="2"/>
  <c r="W238" i="2"/>
  <c r="T238" i="2"/>
  <c r="R238" i="2"/>
  <c r="P238" i="2"/>
  <c r="L238" i="2"/>
  <c r="Y237" i="2"/>
  <c r="X237" i="2"/>
  <c r="W237" i="2"/>
  <c r="T237" i="2"/>
  <c r="R237" i="2"/>
  <c r="P237" i="2"/>
  <c r="L237" i="2"/>
  <c r="Y236" i="2"/>
  <c r="X236" i="2"/>
  <c r="W236" i="2"/>
  <c r="T236" i="2"/>
  <c r="R236" i="2"/>
  <c r="P236" i="2"/>
  <c r="L236" i="2"/>
  <c r="Y235" i="2"/>
  <c r="X235" i="2"/>
  <c r="W235" i="2"/>
  <c r="T235" i="2"/>
  <c r="R235" i="2"/>
  <c r="P235" i="2"/>
  <c r="L235" i="2"/>
  <c r="Y234" i="2"/>
  <c r="X234" i="2"/>
  <c r="W234" i="2"/>
  <c r="T234" i="2"/>
  <c r="R234" i="2"/>
  <c r="P234" i="2"/>
  <c r="L234" i="2"/>
  <c r="Y233" i="2"/>
  <c r="X233" i="2"/>
  <c r="W233" i="2"/>
  <c r="T233" i="2"/>
  <c r="R233" i="2"/>
  <c r="P233" i="2"/>
  <c r="L233" i="2"/>
  <c r="Y232" i="2"/>
  <c r="X232" i="2"/>
  <c r="W232" i="2"/>
  <c r="T232" i="2"/>
  <c r="R232" i="2"/>
  <c r="P232" i="2"/>
  <c r="L232" i="2"/>
  <c r="Y231" i="2"/>
  <c r="X231" i="2"/>
  <c r="W231" i="2"/>
  <c r="T231" i="2"/>
  <c r="R231" i="2"/>
  <c r="P231" i="2"/>
  <c r="L231" i="2"/>
  <c r="Y230" i="2"/>
  <c r="X230" i="2"/>
  <c r="W230" i="2"/>
  <c r="T230" i="2"/>
  <c r="R230" i="2"/>
  <c r="P230" i="2"/>
  <c r="L230" i="2"/>
  <c r="Y229" i="2"/>
  <c r="X229" i="2"/>
  <c r="W229" i="2"/>
  <c r="T229" i="2"/>
  <c r="R229" i="2"/>
  <c r="P229" i="2"/>
  <c r="L229" i="2"/>
  <c r="Y228" i="2"/>
  <c r="X228" i="2"/>
  <c r="W228" i="2"/>
  <c r="T228" i="2"/>
  <c r="R228" i="2"/>
  <c r="P228" i="2"/>
  <c r="L228" i="2"/>
  <c r="Y227" i="2"/>
  <c r="X227" i="2"/>
  <c r="W227" i="2"/>
  <c r="T227" i="2"/>
  <c r="R227" i="2"/>
  <c r="P227" i="2"/>
  <c r="L227" i="2"/>
  <c r="Y226" i="2"/>
  <c r="X226" i="2"/>
  <c r="W226" i="2"/>
  <c r="T226" i="2"/>
  <c r="R226" i="2"/>
  <c r="P226" i="2"/>
  <c r="L226" i="2"/>
  <c r="Y225" i="2"/>
  <c r="X225" i="2"/>
  <c r="W225" i="2"/>
  <c r="T225" i="2"/>
  <c r="R225" i="2"/>
  <c r="P225" i="2"/>
  <c r="L225" i="2"/>
  <c r="Y224" i="2"/>
  <c r="X224" i="2"/>
  <c r="W224" i="2"/>
  <c r="T224" i="2"/>
  <c r="R224" i="2"/>
  <c r="P224" i="2"/>
  <c r="L224" i="2"/>
  <c r="Y223" i="2"/>
  <c r="X223" i="2"/>
  <c r="W223" i="2"/>
  <c r="T223" i="2"/>
  <c r="R223" i="2"/>
  <c r="P223" i="2"/>
  <c r="L223" i="2"/>
  <c r="Y222" i="2"/>
  <c r="X222" i="2"/>
  <c r="W222" i="2"/>
  <c r="T222" i="2"/>
  <c r="R222" i="2"/>
  <c r="P222" i="2"/>
  <c r="L222" i="2"/>
  <c r="Y221" i="2"/>
  <c r="X221" i="2"/>
  <c r="W221" i="2"/>
  <c r="T221" i="2"/>
  <c r="R221" i="2"/>
  <c r="P221" i="2"/>
  <c r="L221" i="2"/>
  <c r="Y220" i="2"/>
  <c r="X220" i="2"/>
  <c r="W220" i="2"/>
  <c r="T220" i="2"/>
  <c r="R220" i="2"/>
  <c r="P220" i="2"/>
  <c r="L220" i="2"/>
  <c r="Y219" i="2"/>
  <c r="X219" i="2"/>
  <c r="W219" i="2"/>
  <c r="T219" i="2"/>
  <c r="R219" i="2"/>
  <c r="P219" i="2"/>
  <c r="L219" i="2"/>
  <c r="Y218" i="2"/>
  <c r="X218" i="2"/>
  <c r="W218" i="2"/>
  <c r="T218" i="2"/>
  <c r="R218" i="2"/>
  <c r="P218" i="2"/>
  <c r="L218" i="2"/>
  <c r="Y217" i="2"/>
  <c r="X217" i="2"/>
  <c r="W217" i="2"/>
  <c r="T217" i="2"/>
  <c r="R217" i="2"/>
  <c r="P217" i="2"/>
  <c r="L217" i="2"/>
  <c r="Y216" i="2"/>
  <c r="X216" i="2"/>
  <c r="W216" i="2"/>
  <c r="T216" i="2"/>
  <c r="R216" i="2"/>
  <c r="P216" i="2"/>
  <c r="L216" i="2"/>
  <c r="Y215" i="2"/>
  <c r="X215" i="2"/>
  <c r="W215" i="2"/>
  <c r="T215" i="2"/>
  <c r="R215" i="2"/>
  <c r="P215" i="2"/>
  <c r="L215" i="2"/>
  <c r="Y214" i="2"/>
  <c r="X214" i="2"/>
  <c r="W214" i="2"/>
  <c r="T214" i="2"/>
  <c r="R214" i="2"/>
  <c r="P214" i="2"/>
  <c r="L214" i="2"/>
  <c r="Y213" i="2"/>
  <c r="X213" i="2"/>
  <c r="W213" i="2"/>
  <c r="T213" i="2"/>
  <c r="R213" i="2"/>
  <c r="P213" i="2"/>
  <c r="L213" i="2"/>
  <c r="Y212" i="2"/>
  <c r="X212" i="2"/>
  <c r="W212" i="2"/>
  <c r="T212" i="2"/>
  <c r="R212" i="2"/>
  <c r="P212" i="2"/>
  <c r="L212" i="2"/>
  <c r="Y211" i="2"/>
  <c r="X211" i="2"/>
  <c r="W211" i="2"/>
  <c r="T211" i="2"/>
  <c r="R211" i="2"/>
  <c r="P211" i="2"/>
  <c r="L211" i="2"/>
  <c r="Y210" i="2"/>
  <c r="X210" i="2"/>
  <c r="W210" i="2"/>
  <c r="T210" i="2"/>
  <c r="R210" i="2"/>
  <c r="P210" i="2"/>
  <c r="L210" i="2"/>
  <c r="Y209" i="2"/>
  <c r="X209" i="2"/>
  <c r="W209" i="2"/>
  <c r="T209" i="2"/>
  <c r="R209" i="2"/>
  <c r="P209" i="2"/>
  <c r="L209" i="2"/>
  <c r="Y208" i="2"/>
  <c r="X208" i="2"/>
  <c r="W208" i="2"/>
  <c r="T208" i="2"/>
  <c r="R208" i="2"/>
  <c r="P208" i="2"/>
  <c r="L208" i="2"/>
  <c r="Y207" i="2"/>
  <c r="X207" i="2"/>
  <c r="W207" i="2"/>
  <c r="T207" i="2"/>
  <c r="R207" i="2"/>
  <c r="P207" i="2"/>
  <c r="L207" i="2"/>
  <c r="Y206" i="2"/>
  <c r="X206" i="2"/>
  <c r="W206" i="2"/>
  <c r="T206" i="2"/>
  <c r="R206" i="2"/>
  <c r="P206" i="2"/>
  <c r="L206" i="2"/>
  <c r="Y205" i="2"/>
  <c r="X205" i="2"/>
  <c r="W205" i="2"/>
  <c r="T205" i="2"/>
  <c r="R205" i="2"/>
  <c r="P205" i="2"/>
  <c r="L205" i="2"/>
  <c r="Y204" i="2"/>
  <c r="X204" i="2"/>
  <c r="W204" i="2"/>
  <c r="T204" i="2"/>
  <c r="R204" i="2"/>
  <c r="P204" i="2"/>
  <c r="L204" i="2"/>
  <c r="Y203" i="2"/>
  <c r="X203" i="2"/>
  <c r="W203" i="2"/>
  <c r="T203" i="2"/>
  <c r="R203" i="2"/>
  <c r="P203" i="2"/>
  <c r="L203" i="2"/>
  <c r="Y202" i="2"/>
  <c r="X202" i="2"/>
  <c r="W202" i="2"/>
  <c r="T202" i="2"/>
  <c r="R202" i="2"/>
  <c r="P202" i="2"/>
  <c r="L202" i="2"/>
  <c r="Y201" i="2"/>
  <c r="X201" i="2"/>
  <c r="W201" i="2"/>
  <c r="T201" i="2"/>
  <c r="R201" i="2"/>
  <c r="P201" i="2"/>
  <c r="L201" i="2"/>
  <c r="Y200" i="2"/>
  <c r="X200" i="2"/>
  <c r="W200" i="2"/>
  <c r="T200" i="2"/>
  <c r="R200" i="2"/>
  <c r="P200" i="2"/>
  <c r="L200" i="2"/>
  <c r="Y199" i="2"/>
  <c r="X199" i="2"/>
  <c r="W199" i="2"/>
  <c r="T199" i="2"/>
  <c r="R199" i="2"/>
  <c r="P199" i="2"/>
  <c r="L199" i="2"/>
  <c r="Y198" i="2"/>
  <c r="X198" i="2"/>
  <c r="W198" i="2"/>
  <c r="T198" i="2"/>
  <c r="R198" i="2"/>
  <c r="P198" i="2"/>
  <c r="L198" i="2"/>
  <c r="Y197" i="2"/>
  <c r="X197" i="2"/>
  <c r="W197" i="2"/>
  <c r="T197" i="2"/>
  <c r="R197" i="2"/>
  <c r="P197" i="2"/>
  <c r="L197" i="2"/>
  <c r="Y196" i="2"/>
  <c r="X196" i="2"/>
  <c r="W196" i="2"/>
  <c r="T196" i="2"/>
  <c r="R196" i="2"/>
  <c r="P196" i="2"/>
  <c r="L196" i="2"/>
  <c r="Y195" i="2"/>
  <c r="X195" i="2"/>
  <c r="W195" i="2"/>
  <c r="T195" i="2"/>
  <c r="R195" i="2"/>
  <c r="P195" i="2"/>
  <c r="L195" i="2"/>
  <c r="Y194" i="2"/>
  <c r="X194" i="2"/>
  <c r="W194" i="2"/>
  <c r="T194" i="2"/>
  <c r="R194" i="2"/>
  <c r="P194" i="2"/>
  <c r="L194" i="2"/>
  <c r="Y193" i="2"/>
  <c r="X193" i="2"/>
  <c r="W193" i="2"/>
  <c r="T193" i="2"/>
  <c r="R193" i="2"/>
  <c r="P193" i="2"/>
  <c r="L193" i="2"/>
  <c r="Y192" i="2"/>
  <c r="X192" i="2"/>
  <c r="W192" i="2"/>
  <c r="T192" i="2"/>
  <c r="R192" i="2"/>
  <c r="P192" i="2"/>
  <c r="L192" i="2"/>
  <c r="Y191" i="2"/>
  <c r="X191" i="2"/>
  <c r="W191" i="2"/>
  <c r="T191" i="2"/>
  <c r="R191" i="2"/>
  <c r="P191" i="2"/>
  <c r="L191" i="2"/>
  <c r="Y190" i="2"/>
  <c r="X190" i="2"/>
  <c r="W190" i="2"/>
  <c r="T190" i="2"/>
  <c r="R190" i="2"/>
  <c r="P190" i="2"/>
  <c r="L190" i="2"/>
  <c r="Y189" i="2"/>
  <c r="X189" i="2"/>
  <c r="W189" i="2"/>
  <c r="T189" i="2"/>
  <c r="R189" i="2"/>
  <c r="P189" i="2"/>
  <c r="L189" i="2"/>
  <c r="Y188" i="2"/>
  <c r="X188" i="2"/>
  <c r="W188" i="2"/>
  <c r="T188" i="2"/>
  <c r="R188" i="2"/>
  <c r="P188" i="2"/>
  <c r="L188" i="2"/>
  <c r="Y187" i="2"/>
  <c r="X187" i="2"/>
  <c r="W187" i="2"/>
  <c r="T187" i="2"/>
  <c r="R187" i="2"/>
  <c r="P187" i="2"/>
  <c r="L187" i="2"/>
  <c r="Y186" i="2"/>
  <c r="X186" i="2"/>
  <c r="W186" i="2"/>
  <c r="T186" i="2"/>
  <c r="R186" i="2"/>
  <c r="P186" i="2"/>
  <c r="L186" i="2"/>
  <c r="Y185" i="2"/>
  <c r="X185" i="2"/>
  <c r="W185" i="2"/>
  <c r="T185" i="2"/>
  <c r="R185" i="2"/>
  <c r="P185" i="2"/>
  <c r="L185" i="2"/>
  <c r="Y184" i="2"/>
  <c r="X184" i="2"/>
  <c r="W184" i="2"/>
  <c r="T184" i="2"/>
  <c r="R184" i="2"/>
  <c r="P184" i="2"/>
  <c r="L184" i="2"/>
  <c r="Y183" i="2"/>
  <c r="X183" i="2"/>
  <c r="W183" i="2"/>
  <c r="T183" i="2"/>
  <c r="R183" i="2"/>
  <c r="P183" i="2"/>
  <c r="L183" i="2"/>
  <c r="Y182" i="2"/>
  <c r="X182" i="2"/>
  <c r="W182" i="2"/>
  <c r="T182" i="2"/>
  <c r="R182" i="2"/>
  <c r="P182" i="2"/>
  <c r="L182" i="2"/>
  <c r="Y181" i="2"/>
  <c r="X181" i="2"/>
  <c r="W181" i="2"/>
  <c r="T181" i="2"/>
  <c r="R181" i="2"/>
  <c r="P181" i="2"/>
  <c r="L181" i="2"/>
  <c r="Y180" i="2"/>
  <c r="X180" i="2"/>
  <c r="W180" i="2"/>
  <c r="T180" i="2"/>
  <c r="R180" i="2"/>
  <c r="P180" i="2"/>
  <c r="L180" i="2"/>
  <c r="Y179" i="2"/>
  <c r="X179" i="2"/>
  <c r="W179" i="2"/>
  <c r="T179" i="2"/>
  <c r="R179" i="2"/>
  <c r="P179" i="2"/>
  <c r="L179" i="2"/>
  <c r="Y178" i="2"/>
  <c r="X178" i="2"/>
  <c r="W178" i="2"/>
  <c r="T178" i="2"/>
  <c r="R178" i="2"/>
  <c r="P178" i="2"/>
  <c r="L178" i="2"/>
  <c r="Y177" i="2"/>
  <c r="X177" i="2"/>
  <c r="W177" i="2"/>
  <c r="T177" i="2"/>
  <c r="R177" i="2"/>
  <c r="P177" i="2"/>
  <c r="L177" i="2"/>
  <c r="Y176" i="2"/>
  <c r="X176" i="2"/>
  <c r="W176" i="2"/>
  <c r="T176" i="2"/>
  <c r="R176" i="2"/>
  <c r="P176" i="2"/>
  <c r="L176" i="2"/>
  <c r="Y175" i="2"/>
  <c r="X175" i="2"/>
  <c r="W175" i="2"/>
  <c r="T175" i="2"/>
  <c r="R175" i="2"/>
  <c r="P175" i="2"/>
  <c r="L175" i="2"/>
  <c r="Y174" i="2"/>
  <c r="X174" i="2"/>
  <c r="W174" i="2"/>
  <c r="T174" i="2"/>
  <c r="R174" i="2"/>
  <c r="P174" i="2"/>
  <c r="L174" i="2"/>
  <c r="Y173" i="2"/>
  <c r="X173" i="2"/>
  <c r="W173" i="2"/>
  <c r="T173" i="2"/>
  <c r="R173" i="2"/>
  <c r="P173" i="2"/>
  <c r="L173" i="2"/>
  <c r="Y172" i="2"/>
  <c r="X172" i="2"/>
  <c r="W172" i="2"/>
  <c r="T172" i="2"/>
  <c r="R172" i="2"/>
  <c r="P172" i="2"/>
  <c r="L172" i="2"/>
  <c r="Y171" i="2"/>
  <c r="X171" i="2"/>
  <c r="W171" i="2"/>
  <c r="T171" i="2"/>
  <c r="R171" i="2"/>
  <c r="P171" i="2"/>
  <c r="L171" i="2"/>
  <c r="Y170" i="2"/>
  <c r="X170" i="2"/>
  <c r="W170" i="2"/>
  <c r="T170" i="2"/>
  <c r="R170" i="2"/>
  <c r="P170" i="2"/>
  <c r="L170" i="2"/>
  <c r="Y169" i="2"/>
  <c r="X169" i="2"/>
  <c r="W169" i="2"/>
  <c r="T169" i="2"/>
  <c r="R169" i="2"/>
  <c r="P169" i="2"/>
  <c r="L169" i="2"/>
  <c r="Y168" i="2"/>
  <c r="X168" i="2"/>
  <c r="W168" i="2"/>
  <c r="T168" i="2"/>
  <c r="R168" i="2"/>
  <c r="P168" i="2"/>
  <c r="L168" i="2"/>
  <c r="Y167" i="2"/>
  <c r="X167" i="2"/>
  <c r="W167" i="2"/>
  <c r="T167" i="2"/>
  <c r="R167" i="2"/>
  <c r="P167" i="2"/>
  <c r="L167" i="2"/>
  <c r="Y166" i="2"/>
  <c r="X166" i="2"/>
  <c r="W166" i="2"/>
  <c r="T166" i="2"/>
  <c r="R166" i="2"/>
  <c r="P166" i="2"/>
  <c r="L166" i="2"/>
  <c r="Y165" i="2"/>
  <c r="X165" i="2"/>
  <c r="W165" i="2"/>
  <c r="T165" i="2"/>
  <c r="R165" i="2"/>
  <c r="P165" i="2"/>
  <c r="L165" i="2"/>
  <c r="Y164" i="2"/>
  <c r="X164" i="2"/>
  <c r="W164" i="2"/>
  <c r="T164" i="2"/>
  <c r="R164" i="2"/>
  <c r="P164" i="2"/>
  <c r="L164" i="2"/>
  <c r="Y163" i="2"/>
  <c r="X163" i="2"/>
  <c r="W163" i="2"/>
  <c r="T163" i="2"/>
  <c r="R163" i="2"/>
  <c r="P163" i="2"/>
  <c r="L163" i="2"/>
  <c r="Y162" i="2"/>
  <c r="X162" i="2"/>
  <c r="W162" i="2"/>
  <c r="T162" i="2"/>
  <c r="R162" i="2"/>
  <c r="P162" i="2"/>
  <c r="L162" i="2"/>
  <c r="Y161" i="2"/>
  <c r="X161" i="2"/>
  <c r="W161" i="2"/>
  <c r="T161" i="2"/>
  <c r="R161" i="2"/>
  <c r="P161" i="2"/>
  <c r="L161" i="2"/>
  <c r="Y160" i="2"/>
  <c r="X160" i="2"/>
  <c r="W160" i="2"/>
  <c r="T160" i="2"/>
  <c r="R160" i="2"/>
  <c r="P160" i="2"/>
  <c r="L160" i="2"/>
  <c r="Y159" i="2"/>
  <c r="X159" i="2"/>
  <c r="W159" i="2"/>
  <c r="T159" i="2"/>
  <c r="R159" i="2"/>
  <c r="P159" i="2"/>
  <c r="L159" i="2"/>
  <c r="Y158" i="2"/>
  <c r="X158" i="2"/>
  <c r="W158" i="2"/>
  <c r="T158" i="2"/>
  <c r="R158" i="2"/>
  <c r="P158" i="2"/>
  <c r="L158" i="2"/>
  <c r="Y157" i="2"/>
  <c r="X157" i="2"/>
  <c r="W157" i="2"/>
  <c r="T157" i="2"/>
  <c r="R157" i="2"/>
  <c r="P157" i="2"/>
  <c r="L157" i="2"/>
  <c r="Y156" i="2"/>
  <c r="X156" i="2"/>
  <c r="W156" i="2"/>
  <c r="T156" i="2"/>
  <c r="R156" i="2"/>
  <c r="P156" i="2"/>
  <c r="L156" i="2"/>
  <c r="Y155" i="2"/>
  <c r="X155" i="2"/>
  <c r="W155" i="2"/>
  <c r="T155" i="2"/>
  <c r="R155" i="2"/>
  <c r="P155" i="2"/>
  <c r="L155" i="2"/>
  <c r="Y154" i="2"/>
  <c r="X154" i="2"/>
  <c r="W154" i="2"/>
  <c r="T154" i="2"/>
  <c r="R154" i="2"/>
  <c r="P154" i="2"/>
  <c r="L154" i="2"/>
  <c r="Y153" i="2"/>
  <c r="X153" i="2"/>
  <c r="W153" i="2"/>
  <c r="T153" i="2"/>
  <c r="R153" i="2"/>
  <c r="P153" i="2"/>
  <c r="L153" i="2"/>
  <c r="Y152" i="2"/>
  <c r="X152" i="2"/>
  <c r="W152" i="2"/>
  <c r="T152" i="2"/>
  <c r="R152" i="2"/>
  <c r="P152" i="2"/>
  <c r="L152" i="2"/>
  <c r="Y151" i="2"/>
  <c r="X151" i="2"/>
  <c r="W151" i="2"/>
  <c r="T151" i="2"/>
  <c r="R151" i="2"/>
  <c r="P151" i="2"/>
  <c r="L151" i="2"/>
  <c r="Y150" i="2"/>
  <c r="X150" i="2"/>
  <c r="W150" i="2"/>
  <c r="T150" i="2"/>
  <c r="R150" i="2"/>
  <c r="P150" i="2"/>
  <c r="L150" i="2"/>
  <c r="Y149" i="2"/>
  <c r="X149" i="2"/>
  <c r="W149" i="2"/>
  <c r="T149" i="2"/>
  <c r="R149" i="2"/>
  <c r="P149" i="2"/>
  <c r="L149" i="2"/>
  <c r="Y148" i="2"/>
  <c r="X148" i="2"/>
  <c r="W148" i="2"/>
  <c r="T148" i="2"/>
  <c r="R148" i="2"/>
  <c r="P148" i="2"/>
  <c r="L148" i="2"/>
  <c r="Y147" i="2"/>
  <c r="X147" i="2"/>
  <c r="W147" i="2"/>
  <c r="T147" i="2"/>
  <c r="R147" i="2"/>
  <c r="P147" i="2"/>
  <c r="L147" i="2"/>
  <c r="Y146" i="2"/>
  <c r="X146" i="2"/>
  <c r="W146" i="2"/>
  <c r="T146" i="2"/>
  <c r="R146" i="2"/>
  <c r="P146" i="2"/>
  <c r="L146" i="2"/>
  <c r="Y145" i="2"/>
  <c r="X145" i="2"/>
  <c r="W145" i="2"/>
  <c r="T145" i="2"/>
  <c r="R145" i="2"/>
  <c r="P145" i="2"/>
  <c r="L145" i="2"/>
  <c r="Y144" i="2"/>
  <c r="X144" i="2"/>
  <c r="W144" i="2"/>
  <c r="T144" i="2"/>
  <c r="R144" i="2"/>
  <c r="P144" i="2"/>
  <c r="L144" i="2"/>
  <c r="Y143" i="2"/>
  <c r="X143" i="2"/>
  <c r="W143" i="2"/>
  <c r="T143" i="2"/>
  <c r="R143" i="2"/>
  <c r="P143" i="2"/>
  <c r="L143" i="2"/>
  <c r="Y142" i="2"/>
  <c r="X142" i="2"/>
  <c r="W142" i="2"/>
  <c r="T142" i="2"/>
  <c r="R142" i="2"/>
  <c r="P142" i="2"/>
  <c r="L142" i="2"/>
  <c r="Y141" i="2"/>
  <c r="X141" i="2"/>
  <c r="W141" i="2"/>
  <c r="T141" i="2"/>
  <c r="R141" i="2"/>
  <c r="P141" i="2"/>
  <c r="L141" i="2"/>
  <c r="Y140" i="2"/>
  <c r="X140" i="2"/>
  <c r="W140" i="2"/>
  <c r="T140" i="2"/>
  <c r="R140" i="2"/>
  <c r="P140" i="2"/>
  <c r="L140" i="2"/>
  <c r="Y139" i="2"/>
  <c r="X139" i="2"/>
  <c r="W139" i="2"/>
  <c r="T139" i="2"/>
  <c r="R139" i="2"/>
  <c r="P139" i="2"/>
  <c r="L139" i="2"/>
  <c r="Y138" i="2"/>
  <c r="X138" i="2"/>
  <c r="W138" i="2"/>
  <c r="T138" i="2"/>
  <c r="R138" i="2"/>
  <c r="P138" i="2"/>
  <c r="L138" i="2"/>
  <c r="Y137" i="2"/>
  <c r="X137" i="2"/>
  <c r="W137" i="2"/>
  <c r="T137" i="2"/>
  <c r="R137" i="2"/>
  <c r="P137" i="2"/>
  <c r="L137" i="2"/>
  <c r="Y136" i="2"/>
  <c r="X136" i="2"/>
  <c r="W136" i="2"/>
  <c r="T136" i="2"/>
  <c r="R136" i="2"/>
  <c r="P136" i="2"/>
  <c r="L136" i="2"/>
  <c r="Y135" i="2"/>
  <c r="X135" i="2"/>
  <c r="W135" i="2"/>
  <c r="T135" i="2"/>
  <c r="R135" i="2"/>
  <c r="P135" i="2"/>
  <c r="L135" i="2"/>
  <c r="Y134" i="2"/>
  <c r="X134" i="2"/>
  <c r="W134" i="2"/>
  <c r="T134" i="2"/>
  <c r="R134" i="2"/>
  <c r="P134" i="2"/>
  <c r="L134" i="2"/>
  <c r="Y133" i="2"/>
  <c r="X133" i="2"/>
  <c r="W133" i="2"/>
  <c r="T133" i="2"/>
  <c r="R133" i="2"/>
  <c r="P133" i="2"/>
  <c r="L133" i="2"/>
  <c r="Y132" i="2"/>
  <c r="X132" i="2"/>
  <c r="W132" i="2"/>
  <c r="T132" i="2"/>
  <c r="R132" i="2"/>
  <c r="P132" i="2"/>
  <c r="L132" i="2"/>
  <c r="Y131" i="2"/>
  <c r="X131" i="2"/>
  <c r="W131" i="2"/>
  <c r="T131" i="2"/>
  <c r="R131" i="2"/>
  <c r="P131" i="2"/>
  <c r="L131" i="2"/>
  <c r="Y130" i="2"/>
  <c r="X130" i="2"/>
  <c r="W130" i="2"/>
  <c r="T130" i="2"/>
  <c r="R130" i="2"/>
  <c r="P130" i="2"/>
  <c r="L130" i="2"/>
  <c r="Y129" i="2"/>
  <c r="X129" i="2"/>
  <c r="W129" i="2"/>
  <c r="T129" i="2"/>
  <c r="R129" i="2"/>
  <c r="P129" i="2"/>
  <c r="L129" i="2"/>
  <c r="Y128" i="2"/>
  <c r="X128" i="2"/>
  <c r="W128" i="2"/>
  <c r="T128" i="2"/>
  <c r="R128" i="2"/>
  <c r="P128" i="2"/>
  <c r="L128" i="2"/>
  <c r="Y127" i="2"/>
  <c r="X127" i="2"/>
  <c r="W127" i="2"/>
  <c r="T127" i="2"/>
  <c r="R127" i="2"/>
  <c r="P127" i="2"/>
  <c r="L127" i="2"/>
  <c r="Y126" i="2"/>
  <c r="X126" i="2"/>
  <c r="W126" i="2"/>
  <c r="T126" i="2"/>
  <c r="R126" i="2"/>
  <c r="P126" i="2"/>
  <c r="L126" i="2"/>
  <c r="Y125" i="2"/>
  <c r="X125" i="2"/>
  <c r="W125" i="2"/>
  <c r="T125" i="2"/>
  <c r="R125" i="2"/>
  <c r="P125" i="2"/>
  <c r="L125" i="2"/>
  <c r="Y124" i="2"/>
  <c r="X124" i="2"/>
  <c r="W124" i="2"/>
  <c r="T124" i="2"/>
  <c r="R124" i="2"/>
  <c r="P124" i="2"/>
  <c r="L124" i="2"/>
  <c r="Y123" i="2"/>
  <c r="X123" i="2"/>
  <c r="W123" i="2"/>
  <c r="T123" i="2"/>
  <c r="R123" i="2"/>
  <c r="P123" i="2"/>
  <c r="L123" i="2"/>
  <c r="Y122" i="2"/>
  <c r="X122" i="2"/>
  <c r="W122" i="2"/>
  <c r="T122" i="2"/>
  <c r="R122" i="2"/>
  <c r="P122" i="2"/>
  <c r="L122" i="2"/>
  <c r="Y121" i="2"/>
  <c r="X121" i="2"/>
  <c r="W121" i="2"/>
  <c r="T121" i="2"/>
  <c r="R121" i="2"/>
  <c r="P121" i="2"/>
  <c r="L121" i="2"/>
  <c r="Y120" i="2"/>
  <c r="X120" i="2"/>
  <c r="W120" i="2"/>
  <c r="T120" i="2"/>
  <c r="R120" i="2"/>
  <c r="P120" i="2"/>
  <c r="L120" i="2"/>
  <c r="Y119" i="2"/>
  <c r="X119" i="2"/>
  <c r="W119" i="2"/>
  <c r="T119" i="2"/>
  <c r="R119" i="2"/>
  <c r="P119" i="2"/>
  <c r="L119" i="2"/>
  <c r="Y118" i="2"/>
  <c r="X118" i="2"/>
  <c r="W118" i="2"/>
  <c r="T118" i="2"/>
  <c r="R118" i="2"/>
  <c r="P118" i="2"/>
  <c r="L118" i="2"/>
  <c r="Y117" i="2"/>
  <c r="X117" i="2"/>
  <c r="W117" i="2"/>
  <c r="T117" i="2"/>
  <c r="R117" i="2"/>
  <c r="P117" i="2"/>
  <c r="L117" i="2"/>
  <c r="Y116" i="2"/>
  <c r="X116" i="2"/>
  <c r="W116" i="2"/>
  <c r="T116" i="2"/>
  <c r="R116" i="2"/>
  <c r="P116" i="2"/>
  <c r="L116" i="2"/>
  <c r="Y115" i="2"/>
  <c r="X115" i="2"/>
  <c r="W115" i="2"/>
  <c r="T115" i="2"/>
  <c r="R115" i="2"/>
  <c r="P115" i="2"/>
  <c r="L115" i="2"/>
  <c r="Y114" i="2"/>
  <c r="X114" i="2"/>
  <c r="W114" i="2"/>
  <c r="T114" i="2"/>
  <c r="R114" i="2"/>
  <c r="P114" i="2"/>
  <c r="L114" i="2"/>
  <c r="Y113" i="2"/>
  <c r="X113" i="2"/>
  <c r="W113" i="2"/>
  <c r="T113" i="2"/>
  <c r="R113" i="2"/>
  <c r="P113" i="2"/>
  <c r="L113" i="2"/>
  <c r="Y112" i="2"/>
  <c r="X112" i="2"/>
  <c r="W112" i="2"/>
  <c r="T112" i="2"/>
  <c r="R112" i="2"/>
  <c r="P112" i="2"/>
  <c r="L112" i="2"/>
  <c r="Y111" i="2"/>
  <c r="X111" i="2"/>
  <c r="W111" i="2"/>
  <c r="T111" i="2"/>
  <c r="R111" i="2"/>
  <c r="P111" i="2"/>
  <c r="L111" i="2"/>
  <c r="Y110" i="2"/>
  <c r="X110" i="2"/>
  <c r="W110" i="2"/>
  <c r="T110" i="2"/>
  <c r="R110" i="2"/>
  <c r="P110" i="2"/>
  <c r="L110" i="2"/>
  <c r="Y109" i="2"/>
  <c r="X109" i="2"/>
  <c r="W109" i="2"/>
  <c r="T109" i="2"/>
  <c r="R109" i="2"/>
  <c r="P109" i="2"/>
  <c r="L109" i="2"/>
  <c r="Y108" i="2"/>
  <c r="X108" i="2"/>
  <c r="W108" i="2"/>
  <c r="T108" i="2"/>
  <c r="R108" i="2"/>
  <c r="P108" i="2"/>
  <c r="L108" i="2"/>
  <c r="Y107" i="2"/>
  <c r="X107" i="2"/>
  <c r="W107" i="2"/>
  <c r="T107" i="2"/>
  <c r="R107" i="2"/>
  <c r="P107" i="2"/>
  <c r="L107" i="2"/>
  <c r="Y106" i="2"/>
  <c r="X106" i="2"/>
  <c r="W106" i="2"/>
  <c r="T106" i="2"/>
  <c r="R106" i="2"/>
  <c r="P106" i="2"/>
  <c r="L106" i="2"/>
  <c r="Y105" i="2"/>
  <c r="X105" i="2"/>
  <c r="W105" i="2"/>
  <c r="T105" i="2"/>
  <c r="R105" i="2"/>
  <c r="P105" i="2"/>
  <c r="L105" i="2"/>
  <c r="Y104" i="2"/>
  <c r="X104" i="2"/>
  <c r="W104" i="2"/>
  <c r="T104" i="2"/>
  <c r="R104" i="2"/>
  <c r="P104" i="2"/>
  <c r="L104" i="2"/>
  <c r="Y103" i="2"/>
  <c r="X103" i="2"/>
  <c r="W103" i="2"/>
  <c r="T103" i="2"/>
  <c r="R103" i="2"/>
  <c r="P103" i="2"/>
  <c r="L103" i="2"/>
  <c r="Y102" i="2"/>
  <c r="X102" i="2"/>
  <c r="W102" i="2"/>
  <c r="T102" i="2"/>
  <c r="R102" i="2"/>
  <c r="P102" i="2"/>
  <c r="L102" i="2"/>
  <c r="Y101" i="2"/>
  <c r="X101" i="2"/>
  <c r="W101" i="2"/>
  <c r="T101" i="2"/>
  <c r="R101" i="2"/>
  <c r="P101" i="2"/>
  <c r="L101" i="2"/>
  <c r="Y100" i="2"/>
  <c r="X100" i="2"/>
  <c r="W100" i="2"/>
  <c r="T100" i="2"/>
  <c r="R100" i="2"/>
  <c r="P100" i="2"/>
  <c r="L100" i="2"/>
  <c r="Y99" i="2"/>
  <c r="X99" i="2"/>
  <c r="W99" i="2"/>
  <c r="T99" i="2"/>
  <c r="R99" i="2"/>
  <c r="P99" i="2"/>
  <c r="L99" i="2"/>
  <c r="Y98" i="2"/>
  <c r="X98" i="2"/>
  <c r="W98" i="2"/>
  <c r="T98" i="2"/>
  <c r="R98" i="2"/>
  <c r="P98" i="2"/>
  <c r="L98" i="2"/>
  <c r="Y97" i="2"/>
  <c r="X97" i="2"/>
  <c r="W97" i="2"/>
  <c r="T97" i="2"/>
  <c r="R97" i="2"/>
  <c r="P97" i="2"/>
  <c r="L97" i="2"/>
  <c r="Y96" i="2"/>
  <c r="X96" i="2"/>
  <c r="W96" i="2"/>
  <c r="T96" i="2"/>
  <c r="R96" i="2"/>
  <c r="P96" i="2"/>
  <c r="L96" i="2"/>
  <c r="Y95" i="2"/>
  <c r="X95" i="2"/>
  <c r="W95" i="2"/>
  <c r="T95" i="2"/>
  <c r="R95" i="2"/>
  <c r="P95" i="2"/>
  <c r="L95" i="2"/>
  <c r="Y94" i="2"/>
  <c r="X94" i="2"/>
  <c r="W94" i="2"/>
  <c r="T94" i="2"/>
  <c r="R94" i="2"/>
  <c r="P94" i="2"/>
  <c r="L94" i="2"/>
  <c r="Y93" i="2"/>
  <c r="X93" i="2"/>
  <c r="W93" i="2"/>
  <c r="T93" i="2"/>
  <c r="R93" i="2"/>
  <c r="P93" i="2"/>
  <c r="L93" i="2"/>
  <c r="Y92" i="2"/>
  <c r="X92" i="2"/>
  <c r="W92" i="2"/>
  <c r="T92" i="2"/>
  <c r="R92" i="2"/>
  <c r="P92" i="2"/>
  <c r="L92" i="2"/>
  <c r="Y91" i="2"/>
  <c r="X91" i="2"/>
  <c r="W91" i="2"/>
  <c r="T91" i="2"/>
  <c r="R91" i="2"/>
  <c r="P91" i="2"/>
  <c r="L91" i="2"/>
  <c r="Y90" i="2"/>
  <c r="X90" i="2"/>
  <c r="W90" i="2"/>
  <c r="T90" i="2"/>
  <c r="R90" i="2"/>
  <c r="P90" i="2"/>
  <c r="L90" i="2"/>
  <c r="Y89" i="2"/>
  <c r="X89" i="2"/>
  <c r="W89" i="2"/>
  <c r="T89" i="2"/>
  <c r="R89" i="2"/>
  <c r="P89" i="2"/>
  <c r="L89" i="2"/>
  <c r="Y88" i="2"/>
  <c r="X88" i="2"/>
  <c r="W88" i="2"/>
  <c r="T88" i="2"/>
  <c r="R88" i="2"/>
  <c r="P88" i="2"/>
  <c r="L88" i="2"/>
  <c r="Y87" i="2"/>
  <c r="X87" i="2"/>
  <c r="W87" i="2"/>
  <c r="T87" i="2"/>
  <c r="R87" i="2"/>
  <c r="P87" i="2"/>
  <c r="L87" i="2"/>
  <c r="Y86" i="2"/>
  <c r="X86" i="2"/>
  <c r="W86" i="2"/>
  <c r="T86" i="2"/>
  <c r="R86" i="2"/>
  <c r="P86" i="2"/>
  <c r="L86" i="2"/>
  <c r="Y85" i="2"/>
  <c r="X85" i="2"/>
  <c r="W85" i="2"/>
  <c r="T85" i="2"/>
  <c r="R85" i="2"/>
  <c r="P85" i="2"/>
  <c r="L85" i="2"/>
  <c r="AC2" i="2"/>
  <c r="AC3" i="2"/>
  <c r="AC4" i="2"/>
  <c r="AC5" i="2"/>
  <c r="AC6" i="2"/>
  <c r="AC7" i="2"/>
  <c r="AC8" i="2"/>
  <c r="AC9" i="2"/>
  <c r="AC10" i="2"/>
  <c r="AC11" i="2"/>
  <c r="AC12" i="2"/>
  <c r="AC13" i="2"/>
  <c r="AC14" i="2"/>
  <c r="AC15" i="2"/>
  <c r="AC16" i="2"/>
  <c r="AC17" i="2"/>
  <c r="AC18" i="2"/>
  <c r="AC19" i="2"/>
  <c r="AC20" i="2"/>
  <c r="AC21" i="2"/>
  <c r="AC22" i="2"/>
  <c r="F13" i="5" l="1"/>
  <c r="G13" i="5" s="1"/>
  <c r="F15" i="5"/>
  <c r="F12" i="5"/>
  <c r="G12" i="5" s="1"/>
  <c r="AC61" i="2"/>
  <c r="AC66" i="2"/>
  <c r="AC72" i="2"/>
  <c r="AC24" i="2"/>
  <c r="AC29" i="2"/>
  <c r="AC36" i="2"/>
  <c r="AC41" i="2"/>
  <c r="AC48" i="2"/>
  <c r="AC53" i="2"/>
  <c r="AC46" i="2"/>
  <c r="AC69" i="2"/>
  <c r="AC75" i="2"/>
  <c r="AC32" i="2"/>
  <c r="AC56" i="2"/>
  <c r="AC62" i="2"/>
  <c r="AC67" i="2"/>
  <c r="AC25" i="2"/>
  <c r="AC30" i="2"/>
  <c r="AC37" i="2"/>
  <c r="AC44" i="2"/>
  <c r="AC49" i="2"/>
  <c r="AC54" i="2"/>
  <c r="AC78" i="2"/>
  <c r="AC65" i="2"/>
  <c r="AC76" i="2"/>
  <c r="AC83" i="2"/>
  <c r="AC28" i="2"/>
  <c r="AC33" i="2"/>
  <c r="AC40" i="2"/>
  <c r="AC52" i="2"/>
  <c r="AC57" i="2"/>
  <c r="AC63" i="2"/>
  <c r="AC26" i="2"/>
  <c r="AC38" i="2"/>
  <c r="AC45" i="2"/>
  <c r="AC50" i="2"/>
  <c r="AC74" i="2"/>
  <c r="F7" i="5"/>
  <c r="G7" i="5" s="1"/>
  <c r="AC519" i="2"/>
  <c r="AC521" i="2"/>
  <c r="AC525" i="2"/>
  <c r="AC522" i="2"/>
  <c r="AC523" i="2"/>
  <c r="AC520" i="2"/>
  <c r="AC524" i="2"/>
  <c r="AC518" i="2"/>
  <c r="AC417" i="2"/>
  <c r="AC425" i="2"/>
  <c r="AC433" i="2"/>
  <c r="AC441" i="2"/>
  <c r="AC449" i="2"/>
  <c r="AC457" i="2"/>
  <c r="AC465" i="2"/>
  <c r="AC504" i="2"/>
  <c r="AC511" i="2"/>
  <c r="AC142" i="2"/>
  <c r="AC150" i="2"/>
  <c r="AC404" i="2"/>
  <c r="AC330" i="2"/>
  <c r="AC135" i="2"/>
  <c r="AC306" i="2"/>
  <c r="AC92" i="2"/>
  <c r="AC100" i="2"/>
  <c r="AC116" i="2"/>
  <c r="AC140" i="2"/>
  <c r="AC196" i="2"/>
  <c r="AC264" i="2"/>
  <c r="AC321" i="2"/>
  <c r="AC332" i="2"/>
  <c r="AC424" i="2"/>
  <c r="AC487" i="2"/>
  <c r="AC408" i="2"/>
  <c r="AC456" i="2"/>
  <c r="AC416" i="2"/>
  <c r="AC445" i="2"/>
  <c r="AC436" i="2"/>
  <c r="AC444" i="2"/>
  <c r="AC460" i="2"/>
  <c r="AC464" i="2"/>
  <c r="AC468" i="2"/>
  <c r="AC475" i="2"/>
  <c r="AC499" i="2"/>
  <c r="AC506" i="2"/>
  <c r="AC510" i="2"/>
  <c r="AC396" i="2"/>
  <c r="AC337" i="2"/>
  <c r="AC345" i="2"/>
  <c r="AC353" i="2"/>
  <c r="AC361" i="2"/>
  <c r="AC369" i="2"/>
  <c r="AC393" i="2"/>
  <c r="AC392" i="2"/>
  <c r="AC388" i="2"/>
  <c r="AC389" i="2"/>
  <c r="AC328" i="2"/>
  <c r="AC285" i="2"/>
  <c r="AC284" i="2"/>
  <c r="AC316" i="2"/>
  <c r="AC207" i="2"/>
  <c r="AC194" i="2"/>
  <c r="AC202" i="2"/>
  <c r="AC258" i="2"/>
  <c r="AC266" i="2"/>
  <c r="AC226" i="2"/>
  <c r="AC265" i="2"/>
  <c r="AC157" i="2"/>
  <c r="AC164" i="2"/>
  <c r="AC170" i="2"/>
  <c r="AC176" i="2"/>
  <c r="AC138" i="2"/>
  <c r="AC136" i="2"/>
  <c r="AC130" i="2"/>
  <c r="AC124" i="2"/>
  <c r="AC126" i="2"/>
  <c r="AC112" i="2"/>
  <c r="AC103" i="2"/>
  <c r="AC503" i="2"/>
  <c r="AC507" i="2"/>
  <c r="AC500" i="2"/>
  <c r="AC514" i="2"/>
  <c r="AC515" i="2"/>
  <c r="AC498" i="2"/>
  <c r="AC505" i="2"/>
  <c r="AC513" i="2"/>
  <c r="AC480" i="2"/>
  <c r="AC488" i="2"/>
  <c r="AC496" i="2"/>
  <c r="AC492" i="2"/>
  <c r="AC479" i="2"/>
  <c r="AC483" i="2"/>
  <c r="AC484" i="2"/>
  <c r="AC491" i="2"/>
  <c r="AC495" i="2"/>
  <c r="AC482" i="2"/>
  <c r="AC490" i="2"/>
  <c r="AC476" i="2"/>
  <c r="AC472" i="2"/>
  <c r="AC471" i="2"/>
  <c r="AC474" i="2"/>
  <c r="AC461" i="2"/>
  <c r="AC467" i="2"/>
  <c r="AC448" i="2"/>
  <c r="AC452" i="2"/>
  <c r="AC453" i="2"/>
  <c r="AC440" i="2"/>
  <c r="AC432" i="2"/>
  <c r="AC437" i="2"/>
  <c r="AC429" i="2"/>
  <c r="AC420" i="2"/>
  <c r="AC421" i="2"/>
  <c r="AC428" i="2"/>
  <c r="AC409" i="2"/>
  <c r="AC413" i="2"/>
  <c r="AC405" i="2"/>
  <c r="AC412" i="2"/>
  <c r="AC401" i="2"/>
  <c r="AC400" i="2"/>
  <c r="AC397" i="2"/>
  <c r="AC377" i="2"/>
  <c r="AC385" i="2"/>
  <c r="AC376" i="2"/>
  <c r="AC381" i="2"/>
  <c r="AC384" i="2"/>
  <c r="AC372" i="2"/>
  <c r="AC373" i="2"/>
  <c r="AC380" i="2"/>
  <c r="AC344" i="2"/>
  <c r="AC360" i="2"/>
  <c r="AC334" i="2"/>
  <c r="AC352" i="2"/>
  <c r="AC333" i="2"/>
  <c r="AC349" i="2"/>
  <c r="AC365" i="2"/>
  <c r="AC336" i="2"/>
  <c r="AC368" i="2"/>
  <c r="AC340" i="2"/>
  <c r="AC341" i="2"/>
  <c r="AC356" i="2"/>
  <c r="AC357" i="2"/>
  <c r="AC364" i="2"/>
  <c r="AC348" i="2"/>
  <c r="AC325" i="2"/>
  <c r="AC326" i="2"/>
  <c r="AC320" i="2"/>
  <c r="AC318" i="2"/>
  <c r="AC317" i="2"/>
  <c r="AC314" i="2"/>
  <c r="AC322" i="2"/>
  <c r="AC289" i="2"/>
  <c r="AC292" i="2"/>
  <c r="AC296" i="2"/>
  <c r="AC300" i="2"/>
  <c r="AC301" i="2"/>
  <c r="AC308" i="2"/>
  <c r="AC288" i="2"/>
  <c r="AC312" i="2"/>
  <c r="AC309" i="2"/>
  <c r="AC298" i="2"/>
  <c r="AC286" i="2"/>
  <c r="AC294" i="2"/>
  <c r="AC302" i="2"/>
  <c r="AC310" i="2"/>
  <c r="AC282" i="2"/>
  <c r="AC280" i="2"/>
  <c r="AC276" i="2"/>
  <c r="AC274" i="2"/>
  <c r="AC272" i="2"/>
  <c r="AC278" i="2"/>
  <c r="AC270" i="2"/>
  <c r="AC262" i="2"/>
  <c r="AC260" i="2"/>
  <c r="AC257" i="2"/>
  <c r="AC250" i="2"/>
  <c r="AC254" i="2"/>
  <c r="AC252" i="2"/>
  <c r="AC242" i="2"/>
  <c r="AC247" i="2"/>
  <c r="AC238" i="2"/>
  <c r="AC244" i="2"/>
  <c r="AC248" i="2"/>
  <c r="AC240" i="2"/>
  <c r="AC212" i="2"/>
  <c r="AC220" i="2"/>
  <c r="AC228" i="2"/>
  <c r="AC233" i="2"/>
  <c r="AC210" i="2"/>
  <c r="AC218" i="2"/>
  <c r="AC234" i="2"/>
  <c r="AC206" i="2"/>
  <c r="AC186" i="2"/>
  <c r="AC190" i="2"/>
  <c r="AC180" i="2"/>
  <c r="AC178" i="2"/>
  <c r="AC175" i="2"/>
  <c r="AC172" i="2"/>
  <c r="AC168" i="2"/>
  <c r="AC162" i="2"/>
  <c r="AC160" i="2"/>
  <c r="AC152" i="2"/>
  <c r="AC156" i="2"/>
  <c r="AC154" i="2"/>
  <c r="AC144" i="2"/>
  <c r="AC148" i="2"/>
  <c r="AC146" i="2"/>
  <c r="AC141" i="2"/>
  <c r="AC132" i="2"/>
  <c r="AC128" i="2"/>
  <c r="AC125" i="2"/>
  <c r="AC122" i="2"/>
  <c r="AC118" i="2"/>
  <c r="AC120" i="2"/>
  <c r="AC108" i="2"/>
  <c r="AC110" i="2"/>
  <c r="AC106" i="2"/>
  <c r="AC102" i="2"/>
  <c r="AC96" i="2"/>
  <c r="AC93" i="2"/>
  <c r="AC90" i="2"/>
  <c r="AC88" i="2"/>
  <c r="AC86" i="2"/>
  <c r="AC87" i="2"/>
  <c r="AC94" i="2"/>
  <c r="AC358" i="2"/>
  <c r="AC366" i="2"/>
  <c r="AC374" i="2"/>
  <c r="AC382" i="2"/>
  <c r="AC390" i="2"/>
  <c r="AC398" i="2"/>
  <c r="AC406" i="2"/>
  <c r="AC414" i="2"/>
  <c r="AC438" i="2"/>
  <c r="AC109" i="2"/>
  <c r="AC98" i="2"/>
  <c r="AC151" i="2"/>
  <c r="AC91" i="2"/>
  <c r="AC179" i="2"/>
  <c r="AC215" i="2"/>
  <c r="AC281" i="2"/>
  <c r="AC231" i="2"/>
  <c r="AC403" i="2"/>
  <c r="AC290" i="2"/>
  <c r="AC363" i="2"/>
  <c r="AC371" i="2"/>
  <c r="AC379" i="2"/>
  <c r="AC387" i="2"/>
  <c r="AC297" i="2"/>
  <c r="AC305" i="2"/>
  <c r="AC114" i="2"/>
  <c r="AC346" i="2"/>
  <c r="AC354" i="2"/>
  <c r="AC362" i="2"/>
  <c r="AC370" i="2"/>
  <c r="AC378" i="2"/>
  <c r="AC386" i="2"/>
  <c r="AC394" i="2"/>
  <c r="AC402" i="2"/>
  <c r="AC410" i="2"/>
  <c r="AC418" i="2"/>
  <c r="AC426" i="2"/>
  <c r="AC434" i="2"/>
  <c r="AC442" i="2"/>
  <c r="AC450" i="2"/>
  <c r="AC458" i="2"/>
  <c r="AC466" i="2"/>
  <c r="AC473" i="2"/>
  <c r="AC481" i="2"/>
  <c r="AC489" i="2"/>
  <c r="AC497" i="2"/>
  <c r="AC512" i="2"/>
  <c r="AC216" i="2"/>
  <c r="AC222" i="2"/>
  <c r="AC239" i="2"/>
  <c r="AC145" i="2"/>
  <c r="AC256" i="2"/>
  <c r="AC85" i="2"/>
  <c r="AC107" i="2"/>
  <c r="AC347" i="2"/>
  <c r="AC419" i="2"/>
  <c r="AC451" i="2"/>
  <c r="AC204" i="2"/>
  <c r="AC209" i="2"/>
  <c r="AC217" i="2"/>
  <c r="AC225" i="2"/>
  <c r="AC139" i="2"/>
  <c r="AC183" i="2"/>
  <c r="AC198" i="2"/>
  <c r="AC249" i="2"/>
  <c r="AC277" i="2"/>
  <c r="AC158" i="2"/>
  <c r="AC443" i="2"/>
  <c r="AC104" i="2"/>
  <c r="AC191" i="2"/>
  <c r="AC199" i="2"/>
  <c r="AC227" i="2"/>
  <c r="AC271" i="2"/>
  <c r="AC338" i="2"/>
  <c r="AC173" i="2"/>
  <c r="AC339" i="2"/>
  <c r="AC355" i="2"/>
  <c r="AC395" i="2"/>
  <c r="AC411" i="2"/>
  <c r="AC427" i="2"/>
  <c r="AC435" i="2"/>
  <c r="AC459" i="2"/>
  <c r="AC343" i="2"/>
  <c r="AC351" i="2"/>
  <c r="AC359" i="2"/>
  <c r="AC367" i="2"/>
  <c r="AC375" i="2"/>
  <c r="AC383" i="2"/>
  <c r="AC391" i="2"/>
  <c r="AC399" i="2"/>
  <c r="AC407" i="2"/>
  <c r="AC415" i="2"/>
  <c r="AC423" i="2"/>
  <c r="AC431" i="2"/>
  <c r="AC439" i="2"/>
  <c r="AC447" i="2"/>
  <c r="AC455" i="2"/>
  <c r="AC463" i="2"/>
  <c r="AC470" i="2"/>
  <c r="AC478" i="2"/>
  <c r="AC486" i="2"/>
  <c r="AC494" i="2"/>
  <c r="AC502" i="2"/>
  <c r="AC509" i="2"/>
  <c r="AC517" i="2"/>
  <c r="AC201" i="2"/>
  <c r="AC224" i="2"/>
  <c r="AC304" i="2"/>
  <c r="AC111" i="2"/>
  <c r="AC119" i="2"/>
  <c r="AC192" i="2"/>
  <c r="AC331" i="2"/>
  <c r="AC134" i="2"/>
  <c r="AC174" i="2"/>
  <c r="AC230" i="2"/>
  <c r="AC246" i="2"/>
  <c r="AC342" i="2"/>
  <c r="AC350" i="2"/>
  <c r="AC422" i="2"/>
  <c r="AC430" i="2"/>
  <c r="AC446" i="2"/>
  <c r="AC454" i="2"/>
  <c r="AC462" i="2"/>
  <c r="AC469" i="2"/>
  <c r="AC477" i="2"/>
  <c r="AC485" i="2"/>
  <c r="AC493" i="2"/>
  <c r="AC501" i="2"/>
  <c r="AC508" i="2"/>
  <c r="AC516" i="2"/>
  <c r="AC166" i="2"/>
  <c r="AC105" i="2"/>
  <c r="AC185" i="2"/>
  <c r="AC193" i="2"/>
  <c r="AC324" i="2"/>
  <c r="AC113" i="2"/>
  <c r="AC147" i="2"/>
  <c r="AC181" i="2"/>
  <c r="AC187" i="2"/>
  <c r="AC211" i="2"/>
  <c r="AC229" i="2"/>
  <c r="AC235" i="2"/>
  <c r="AC241" i="2"/>
  <c r="AC279" i="2"/>
  <c r="AC299" i="2"/>
  <c r="AC319" i="2"/>
  <c r="AC101" i="2"/>
  <c r="AC121" i="2"/>
  <c r="AC127" i="2"/>
  <c r="AC161" i="2"/>
  <c r="AC169" i="2"/>
  <c r="AC182" i="2"/>
  <c r="AC188" i="2"/>
  <c r="AC200" i="2"/>
  <c r="AC236" i="2"/>
  <c r="AC255" i="2"/>
  <c r="AC261" i="2"/>
  <c r="AC267" i="2"/>
  <c r="AC273" i="2"/>
  <c r="AC313" i="2"/>
  <c r="AC115" i="2"/>
  <c r="AC149" i="2"/>
  <c r="AC155" i="2"/>
  <c r="AC189" i="2"/>
  <c r="AC213" i="2"/>
  <c r="AC237" i="2"/>
  <c r="AC243" i="2"/>
  <c r="AC268" i="2"/>
  <c r="AC287" i="2"/>
  <c r="AC293" i="2"/>
  <c r="AC307" i="2"/>
  <c r="AC327" i="2"/>
  <c r="AC89" i="2"/>
  <c r="AC95" i="2"/>
  <c r="AC129" i="2"/>
  <c r="AC163" i="2"/>
  <c r="AC195" i="2"/>
  <c r="AC214" i="2"/>
  <c r="AC219" i="2"/>
  <c r="AC269" i="2"/>
  <c r="AC275" i="2"/>
  <c r="AC315" i="2"/>
  <c r="AC335" i="2"/>
  <c r="AC117" i="2"/>
  <c r="AC123" i="2"/>
  <c r="AC137" i="2"/>
  <c r="AC143" i="2"/>
  <c r="AC171" i="2"/>
  <c r="AC177" i="2"/>
  <c r="AC184" i="2"/>
  <c r="AC208" i="2"/>
  <c r="AC232" i="2"/>
  <c r="AC245" i="2"/>
  <c r="AC263" i="2"/>
  <c r="AC295" i="2"/>
  <c r="AC329" i="2"/>
  <c r="AC97" i="2"/>
  <c r="AC131" i="2"/>
  <c r="AC165" i="2"/>
  <c r="AC197" i="2"/>
  <c r="AC203" i="2"/>
  <c r="AC221" i="2"/>
  <c r="AC251" i="2"/>
  <c r="AC283" i="2"/>
  <c r="AC303" i="2"/>
  <c r="AC323" i="2"/>
  <c r="AC99" i="2"/>
  <c r="AC133" i="2"/>
  <c r="AC153" i="2"/>
  <c r="AC159" i="2"/>
  <c r="AC167" i="2"/>
  <c r="AC205" i="2"/>
  <c r="AC223" i="2"/>
  <c r="AC253" i="2"/>
  <c r="AC259" i="2"/>
  <c r="AC291" i="2"/>
  <c r="AC311" i="2"/>
  <c r="F14" i="5" l="1"/>
  <c r="G14"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Mansour AL-Bareeki</author>
  </authors>
  <commentList>
    <comment ref="I1" authorId="0" shapeId="0" xr:uid="{F56B982D-B84F-4320-A385-E410111E82AB}">
      <text>
        <r>
          <rPr>
            <b/>
            <sz val="9"/>
            <color indexed="81"/>
            <rFont val="Tahoma"/>
            <family val="2"/>
          </rPr>
          <t>Mansour AL-Bareeki:</t>
        </r>
        <r>
          <rPr>
            <sz val="9"/>
            <color indexed="81"/>
            <rFont val="Tahoma"/>
            <family val="2"/>
          </rPr>
          <t xml:space="preserve">
Use the official business-arm name: DIWAN Engineering &amp; Technology Company. Product page titles should remain connected to the DIWAN master brand through the global site header and navigation.</t>
        </r>
      </text>
    </comment>
    <comment ref="K1" authorId="0" shapeId="0" xr:uid="{3A1DA494-DDC7-49C5-A873-CFDD40D2A9EC}">
      <text>
        <r>
          <rPr>
            <b/>
            <sz val="9"/>
            <color indexed="81"/>
            <rFont val="Tahoma"/>
            <family val="2"/>
          </rPr>
          <t>Draft product copy aligned to DIWAN Engineering &amp; Technology Company. Verify product-specific technical details, applications, service scope, and manufacturer authorization before publishing.</t>
        </r>
      </text>
    </comment>
    <comment ref="L1" authorId="0" shapeId="0" xr:uid="{8B8EB26F-2341-49FA-B5B9-278794D891B8}">
      <text>
        <r>
          <rPr>
            <b/>
            <sz val="9"/>
            <color indexed="81"/>
            <rFont val="Tahoma"/>
            <family val="2"/>
          </rPr>
          <t>Draft product SEO copy. Confirm target keywords, page intent, and final technical details before publication.</t>
        </r>
      </text>
    </comment>
    <comment ref="N1" authorId="0" shapeId="0" xr:uid="{8463053C-6DF3-4DBD-B6CC-77ABFCFAF17F}">
      <text>
        <r>
          <rPr>
            <b/>
            <sz val="9"/>
            <color indexed="81"/>
            <rFont val="Tahoma"/>
            <family val="2"/>
          </rPr>
          <t>All product website fields require technical approval before launch.</t>
        </r>
      </text>
    </comment>
    <comment ref="S2" authorId="0" shapeId="0" xr:uid="{C280B93E-770B-4EA7-A515-6451A1E5CFCE}">
      <text>
        <r>
          <rPr>
            <b/>
            <sz val="9"/>
            <color indexed="81"/>
            <rFont val="Tahoma"/>
            <family val="2"/>
          </rPr>
          <t>Mansour AL-Bareeki:</t>
        </r>
        <r>
          <rPr>
            <sz val="9"/>
            <color indexed="81"/>
            <rFont val="Tahoma"/>
            <family val="2"/>
          </rPr>
          <t xml:space="preserve">
Official manufacturer-hosted product image verified 2026-08-23.</t>
        </r>
      </text>
    </comment>
    <comment ref="S3" authorId="0" shapeId="0" xr:uid="{F47EF1AD-E0DF-4353-9D17-D989997A478E}">
      <text>
        <r>
          <rPr>
            <b/>
            <sz val="9"/>
            <color indexed="81"/>
            <rFont val="Tahoma"/>
            <family val="2"/>
          </rPr>
          <t>Mansour AL-Bareeki:</t>
        </r>
        <r>
          <rPr>
            <sz val="9"/>
            <color indexed="81"/>
            <rFont val="Tahoma"/>
            <family val="2"/>
          </rPr>
          <t xml:space="preserve">
Official manufacturer-hosted product image verified 2026-08-23.</t>
        </r>
      </text>
    </comment>
    <comment ref="S4" authorId="0" shapeId="0" xr:uid="{B32CDB52-531C-49E9-9E9C-CCFD5F32542E}">
      <text>
        <r>
          <rPr>
            <b/>
            <sz val="9"/>
            <color indexed="81"/>
            <rFont val="Tahoma"/>
            <family val="2"/>
          </rPr>
          <t>Mansour AL-Bareeki:</t>
        </r>
        <r>
          <rPr>
            <sz val="9"/>
            <color indexed="81"/>
            <rFont val="Tahoma"/>
            <family val="2"/>
          </rPr>
          <t xml:space="preserve">
Official manufacturer-hosted product image verified 2026-08-23.</t>
        </r>
      </text>
    </comment>
    <comment ref="S5" authorId="0" shapeId="0" xr:uid="{FFE85A3B-4070-413A-A087-D778AB59271E}">
      <text>
        <r>
          <rPr>
            <b/>
            <sz val="9"/>
            <color indexed="81"/>
            <rFont val="Tahoma"/>
            <family val="2"/>
          </rPr>
          <t>Mansour AL-Bareeki:</t>
        </r>
        <r>
          <rPr>
            <sz val="9"/>
            <color indexed="81"/>
            <rFont val="Tahoma"/>
            <family val="2"/>
          </rPr>
          <t xml:space="preserve">
Official manufacturer-hosted product image verified 2026-08-23.</t>
        </r>
      </text>
    </comment>
    <comment ref="S6" authorId="0" shapeId="0" xr:uid="{104B08BD-670F-47BB-8E17-AA5AC96DF178}">
      <text>
        <r>
          <rPr>
            <b/>
            <sz val="9"/>
            <color indexed="81"/>
            <rFont val="Tahoma"/>
            <family val="2"/>
          </rPr>
          <t>Mansour AL-Bareeki:</t>
        </r>
        <r>
          <rPr>
            <sz val="9"/>
            <color indexed="81"/>
            <rFont val="Tahoma"/>
            <family val="2"/>
          </rPr>
          <t xml:space="preserve">
Official manufacturer-hosted product image verified 2026-08-23.</t>
        </r>
      </text>
    </comment>
    <comment ref="S7" authorId="0" shapeId="0" xr:uid="{4EAE0D4A-B556-4977-B30F-06FED9600AFB}">
      <text>
        <r>
          <rPr>
            <b/>
            <sz val="9"/>
            <color indexed="81"/>
            <rFont val="Tahoma"/>
            <family val="2"/>
          </rPr>
          <t>Mansour AL-Bareeki:</t>
        </r>
        <r>
          <rPr>
            <sz val="9"/>
            <color indexed="81"/>
            <rFont val="Tahoma"/>
            <family val="2"/>
          </rPr>
          <t xml:space="preserve">
Official manufacturer-hosted product image verified 2026-08-23.</t>
        </r>
      </text>
    </comment>
    <comment ref="S8" authorId="0" shapeId="0" xr:uid="{0C08F299-D810-4E3D-A08F-8F50E32424A5}">
      <text>
        <r>
          <rPr>
            <b/>
            <sz val="9"/>
            <color indexed="81"/>
            <rFont val="Tahoma"/>
            <family val="2"/>
          </rPr>
          <t>Mansour AL-Bareeki:</t>
        </r>
        <r>
          <rPr>
            <sz val="9"/>
            <color indexed="81"/>
            <rFont val="Tahoma"/>
            <family val="2"/>
          </rPr>
          <t xml:space="preserve">
Official manufacturer-hosted product image verified 2026-08-23.</t>
        </r>
      </text>
    </comment>
    <comment ref="S9" authorId="0" shapeId="0" xr:uid="{217461C8-1F33-4F84-B207-084AFC7078EA}">
      <text>
        <r>
          <rPr>
            <b/>
            <sz val="9"/>
            <color indexed="81"/>
            <rFont val="Tahoma"/>
            <family val="2"/>
          </rPr>
          <t>Mansour AL-Bareeki:</t>
        </r>
        <r>
          <rPr>
            <sz val="9"/>
            <color indexed="81"/>
            <rFont val="Tahoma"/>
            <family val="2"/>
          </rPr>
          <t xml:space="preserve">
Official manufacturer-hosted product image verified 2026-08-23.</t>
        </r>
      </text>
    </comment>
    <comment ref="S10" authorId="0" shapeId="0" xr:uid="{95D86231-EA05-4177-8C9A-EC3CC79B5D22}">
      <text>
        <r>
          <rPr>
            <b/>
            <sz val="9"/>
            <color indexed="81"/>
            <rFont val="Tahoma"/>
            <family val="2"/>
          </rPr>
          <t>Mansour AL-Bareeki:</t>
        </r>
        <r>
          <rPr>
            <sz val="9"/>
            <color indexed="81"/>
            <rFont val="Tahoma"/>
            <family val="2"/>
          </rPr>
          <t xml:space="preserve">
Official manufacturer-hosted product image verified 2026-08-23.</t>
        </r>
      </text>
    </comment>
    <comment ref="S11" authorId="0" shapeId="0" xr:uid="{9046EB94-3894-4C3C-8EB7-CE0209814FE1}">
      <text>
        <r>
          <rPr>
            <b/>
            <sz val="9"/>
            <color indexed="81"/>
            <rFont val="Tahoma"/>
            <family val="2"/>
          </rPr>
          <t>Mansour AL-Bareeki:</t>
        </r>
        <r>
          <rPr>
            <sz val="9"/>
            <color indexed="81"/>
            <rFont val="Tahoma"/>
            <family val="2"/>
          </rPr>
          <t xml:space="preserve">
Official manufacturer-hosted product image verified 2026-08-23.</t>
        </r>
      </text>
    </comment>
    <comment ref="S12" authorId="0" shapeId="0" xr:uid="{5B5FB21B-BF1D-49B4-B15E-80813729E842}">
      <text>
        <r>
          <rPr>
            <b/>
            <sz val="9"/>
            <color indexed="81"/>
            <rFont val="Tahoma"/>
            <family val="2"/>
          </rPr>
          <t>Mansour AL-Bareeki:</t>
        </r>
        <r>
          <rPr>
            <sz val="9"/>
            <color indexed="81"/>
            <rFont val="Tahoma"/>
            <family val="2"/>
          </rPr>
          <t xml:space="preserve">
Official manufacturer-hosted product image verified 2026-08-23.</t>
        </r>
      </text>
    </comment>
    <comment ref="S13" authorId="0" shapeId="0" xr:uid="{93DE3802-B4E5-4675-84C5-28BEDFDD535F}">
      <text>
        <r>
          <rPr>
            <b/>
            <sz val="9"/>
            <color indexed="81"/>
            <rFont val="Tahoma"/>
            <family val="2"/>
          </rPr>
          <t>Mansour AL-Bareeki:</t>
        </r>
        <r>
          <rPr>
            <sz val="9"/>
            <color indexed="81"/>
            <rFont val="Tahoma"/>
            <family val="2"/>
          </rPr>
          <t xml:space="preserve">
Official manufacturer-hosted product image verified 2026-08-23.</t>
        </r>
      </text>
    </comment>
    <comment ref="S14" authorId="0" shapeId="0" xr:uid="{703635FF-44E9-42E9-ACD5-A892ECB3EA6A}">
      <text>
        <r>
          <rPr>
            <b/>
            <sz val="9"/>
            <color indexed="81"/>
            <rFont val="Tahoma"/>
            <family val="2"/>
          </rPr>
          <t>Mansour AL-Bareeki:</t>
        </r>
        <r>
          <rPr>
            <sz val="9"/>
            <color indexed="81"/>
            <rFont val="Tahoma"/>
            <family val="2"/>
          </rPr>
          <t xml:space="preserve">
Official manufacturer-hosted product image verified 2026-08-23.</t>
        </r>
      </text>
    </comment>
    <comment ref="S15" authorId="0" shapeId="0" xr:uid="{2F64CC6F-A451-4F31-B9BE-B0856C128946}">
      <text>
        <r>
          <rPr>
            <b/>
            <sz val="9"/>
            <color indexed="81"/>
            <rFont val="Tahoma"/>
            <family val="2"/>
          </rPr>
          <t>Mansour AL-Bareeki:</t>
        </r>
        <r>
          <rPr>
            <sz val="9"/>
            <color indexed="81"/>
            <rFont val="Tahoma"/>
            <family val="2"/>
          </rPr>
          <t xml:space="preserve">
Official manufacturer-hosted product image verified 2026-08-23.</t>
        </r>
      </text>
    </comment>
    <comment ref="S16" authorId="0" shapeId="0" xr:uid="{F4B9A0AB-28A1-4F4B-94D0-421D3C08B8D9}">
      <text>
        <r>
          <rPr>
            <b/>
            <sz val="9"/>
            <color indexed="81"/>
            <rFont val="Tahoma"/>
            <family val="2"/>
          </rPr>
          <t>Mansour AL-Bareeki:</t>
        </r>
        <r>
          <rPr>
            <sz val="9"/>
            <color indexed="81"/>
            <rFont val="Tahoma"/>
            <family val="2"/>
          </rPr>
          <t xml:space="preserve">
Official manufacturer-hosted product image verified 2026-08-23.</t>
        </r>
      </text>
    </comment>
    <comment ref="S17" authorId="0" shapeId="0" xr:uid="{1A65CF0D-AB36-4AAF-8B4F-E76AB8CAC228}">
      <text>
        <r>
          <rPr>
            <b/>
            <sz val="9"/>
            <color indexed="81"/>
            <rFont val="Tahoma"/>
            <family val="2"/>
          </rPr>
          <t>Mansour AL-Bareeki:</t>
        </r>
        <r>
          <rPr>
            <sz val="9"/>
            <color indexed="81"/>
            <rFont val="Tahoma"/>
            <family val="2"/>
          </rPr>
          <t xml:space="preserve">
Official manufacturer-hosted product image verified 2026-08-23.</t>
        </r>
      </text>
    </comment>
    <comment ref="S18" authorId="0" shapeId="0" xr:uid="{E62842EB-2428-439A-BF14-B4157F1C0F0A}">
      <text>
        <r>
          <rPr>
            <b/>
            <sz val="9"/>
            <color indexed="81"/>
            <rFont val="Tahoma"/>
            <family val="2"/>
          </rPr>
          <t>Mansour AL-Bareeki:</t>
        </r>
        <r>
          <rPr>
            <sz val="9"/>
            <color indexed="81"/>
            <rFont val="Tahoma"/>
            <family val="2"/>
          </rPr>
          <t xml:space="preserve">
Official manufacturer-hosted product image verified 2026-08-23.</t>
        </r>
      </text>
    </comment>
    <comment ref="S19" authorId="0" shapeId="0" xr:uid="{CED99493-9426-4BF5-BDAB-628D14C74B72}">
      <text>
        <r>
          <rPr>
            <b/>
            <sz val="9"/>
            <color indexed="81"/>
            <rFont val="Tahoma"/>
            <family val="2"/>
          </rPr>
          <t>Mansour AL-Bareeki:</t>
        </r>
        <r>
          <rPr>
            <sz val="9"/>
            <color indexed="81"/>
            <rFont val="Tahoma"/>
            <family val="2"/>
          </rPr>
          <t xml:space="preserve">
Official manufacturer-hosted product image verified 2026-08-23.</t>
        </r>
      </text>
    </comment>
    <comment ref="S20" authorId="0" shapeId="0" xr:uid="{3074C056-31E0-4991-B879-AD6045CDCC89}">
      <text>
        <r>
          <rPr>
            <b/>
            <sz val="9"/>
            <color indexed="81"/>
            <rFont val="Tahoma"/>
            <family val="2"/>
          </rPr>
          <t>Mansour AL-Bareeki:</t>
        </r>
        <r>
          <rPr>
            <sz val="9"/>
            <color indexed="81"/>
            <rFont val="Tahoma"/>
            <family val="2"/>
          </rPr>
          <t xml:space="preserve">
Official manufacturer-hosted product image verified 2026-08-23.</t>
        </r>
      </text>
    </comment>
    <comment ref="S60" authorId="0" shapeId="0" xr:uid="{4F825E90-35D9-4752-AF29-3A6DADA2ADDB}">
      <text>
        <r>
          <rPr>
            <b/>
            <sz val="9"/>
            <color indexed="81"/>
            <rFont val="Tahoma"/>
            <family val="2"/>
          </rPr>
          <t>Mansour AL-Bareeki:</t>
        </r>
        <r>
          <rPr>
            <sz val="9"/>
            <color indexed="81"/>
            <rFont val="Tahoma"/>
            <family val="2"/>
          </rPr>
          <t xml:space="preserve">
Official manufacturer product image verified 2026-08-23.</t>
        </r>
      </text>
    </comment>
    <comment ref="S61" authorId="0" shapeId="0" xr:uid="{CCC47B7D-E409-47F8-A2FD-4873FD4CDFBB}">
      <text>
        <r>
          <rPr>
            <b/>
            <sz val="9"/>
            <color indexed="81"/>
            <rFont val="Tahoma"/>
            <family val="2"/>
          </rPr>
          <t>Mansour AL-Bareeki:</t>
        </r>
        <r>
          <rPr>
            <sz val="9"/>
            <color indexed="81"/>
            <rFont val="Tahoma"/>
            <family val="2"/>
          </rPr>
          <t xml:space="preserve">
Official manufacturer product image verified 2026-08-23.</t>
        </r>
      </text>
    </comment>
    <comment ref="S62" authorId="0" shapeId="0" xr:uid="{A1C4D6B1-056E-4EF4-B34F-704978510E76}">
      <text>
        <r>
          <rPr>
            <b/>
            <sz val="9"/>
            <color indexed="81"/>
            <rFont val="Tahoma"/>
            <family val="2"/>
          </rPr>
          <t>Mansour AL-Bareeki:</t>
        </r>
        <r>
          <rPr>
            <sz val="9"/>
            <color indexed="81"/>
            <rFont val="Tahoma"/>
            <family val="2"/>
          </rPr>
          <t xml:space="preserve">
Official manufacturer product image verified 2026-08-23.</t>
        </r>
      </text>
    </comment>
    <comment ref="S63" authorId="0" shapeId="0" xr:uid="{AF6DD061-D4E1-491B-97B0-0120F2A34D38}">
      <text>
        <r>
          <rPr>
            <b/>
            <sz val="9"/>
            <color indexed="81"/>
            <rFont val="Tahoma"/>
            <family val="2"/>
          </rPr>
          <t>Mansour AL-Bareeki:</t>
        </r>
        <r>
          <rPr>
            <sz val="9"/>
            <color indexed="81"/>
            <rFont val="Tahoma"/>
            <family val="2"/>
          </rPr>
          <t xml:space="preserve">
Official manufacturer product image verified 2026-08-23.</t>
        </r>
      </text>
    </comment>
    <comment ref="S64" authorId="0" shapeId="0" xr:uid="{F0E29FF4-513F-4BA3-A1D3-6FB165A14C37}">
      <text>
        <r>
          <rPr>
            <b/>
            <sz val="9"/>
            <color indexed="81"/>
            <rFont val="Tahoma"/>
            <family val="2"/>
          </rPr>
          <t>Mansour AL-Bareeki:</t>
        </r>
        <r>
          <rPr>
            <sz val="9"/>
            <color indexed="81"/>
            <rFont val="Tahoma"/>
            <family val="2"/>
          </rPr>
          <t xml:space="preserve">
Official manufacturer product image verified 2026-08-23.</t>
        </r>
      </text>
    </comment>
    <comment ref="S71" authorId="0" shapeId="0" xr:uid="{2C2B8F72-FA5A-4AAC-8F15-B6EF16DAC6F4}">
      <text>
        <r>
          <rPr>
            <b/>
            <sz val="9"/>
            <color indexed="81"/>
            <rFont val="Tahoma"/>
            <family val="2"/>
          </rPr>
          <t>Mansour AL-Bareeki:</t>
        </r>
        <r>
          <rPr>
            <sz val="9"/>
            <color indexed="81"/>
            <rFont val="Tahoma"/>
            <family val="2"/>
          </rPr>
          <t xml:space="preserve">
Official manufacturer product image verified 2026-08-23.</t>
        </r>
      </text>
    </comment>
    <comment ref="S75" authorId="0" shapeId="0" xr:uid="{BBCB5AD9-7D4F-4D0A-8919-DA2C3698AE19}">
      <text>
        <r>
          <rPr>
            <b/>
            <sz val="9"/>
            <color indexed="81"/>
            <rFont val="Tahoma"/>
            <family val="2"/>
          </rPr>
          <t>Mansour AL-Bareeki:</t>
        </r>
        <r>
          <rPr>
            <sz val="9"/>
            <color indexed="81"/>
            <rFont val="Tahoma"/>
            <family val="2"/>
          </rPr>
          <t xml:space="preserve">
Official manufacturer product image verified 2026-08-23.</t>
        </r>
      </text>
    </comment>
    <comment ref="AF85" authorId="0" shapeId="0" xr:uid="{D2A30596-5C9A-424A-A7E7-1F78611F77F0}">
      <text>
        <r>
          <rPr>
            <b/>
            <sz val="9"/>
            <color indexed="81"/>
            <rFont val="Tahoma"/>
            <family val="2"/>
          </rPr>
          <t>Mansour AL-Bareeki:</t>
        </r>
        <r>
          <rPr>
            <sz val="9"/>
            <color indexed="81"/>
            <rFont val="Tahoma"/>
            <family val="2"/>
          </rPr>
          <t xml:space="preserve">
Official Hiden Analytical video for QGA 2.0, verified 2026-08-23.</t>
        </r>
      </text>
    </comment>
    <comment ref="AF86" authorId="0" shapeId="0" xr:uid="{52E47CD4-85FD-4A16-A2F5-26F86841F10A}">
      <text>
        <r>
          <rPr>
            <b/>
            <sz val="9"/>
            <color indexed="81"/>
            <rFont val="Tahoma"/>
            <family val="2"/>
          </rPr>
          <t>Mansour AL-Bareeki:</t>
        </r>
        <r>
          <rPr>
            <sz val="9"/>
            <color indexed="81"/>
            <rFont val="Tahoma"/>
            <family val="2"/>
          </rPr>
          <t xml:space="preserve">
Official Hiden Analytical gas-analysis overview embedded on the exact HPR-20 R&amp;D product page; product-family video, verified 2026-08-23.</t>
        </r>
      </text>
    </comment>
    <comment ref="AF87" authorId="0" shapeId="0" xr:uid="{15301239-CF5A-4F4D-8152-09492DCBEDD9}">
      <text>
        <r>
          <rPr>
            <b/>
            <sz val="9"/>
            <color indexed="81"/>
            <rFont val="Tahoma"/>
            <family val="2"/>
          </rPr>
          <t>Mansour AL-Bareeki:</t>
        </r>
        <r>
          <rPr>
            <sz val="9"/>
            <color indexed="81"/>
            <rFont val="Tahoma"/>
            <family val="2"/>
          </rPr>
          <t xml:space="preserve">
Official Hiden Analytical gas-analysis overview embedded on the exact HPR-20 TMS product page; product-family video, verified 2026-08-23.</t>
        </r>
      </text>
    </comment>
    <comment ref="AF88" authorId="0" shapeId="0" xr:uid="{E13B528E-1C1C-4509-A4FD-936C5773DA4B}">
      <text>
        <r>
          <rPr>
            <b/>
            <sz val="9"/>
            <color indexed="81"/>
            <rFont val="Tahoma"/>
            <family val="2"/>
          </rPr>
          <t>Mansour AL-Bareeki:</t>
        </r>
        <r>
          <rPr>
            <sz val="9"/>
            <color indexed="81"/>
            <rFont val="Tahoma"/>
            <family val="2"/>
          </rPr>
          <t xml:space="preserve">
Official Hiden Analytical gas-analysis overview embedded on the exact HPR-20 EGA product page; product-family video, verified 2026-08-23.</t>
        </r>
      </text>
    </comment>
    <comment ref="AF89" authorId="0" shapeId="0" xr:uid="{84FA4719-27FD-4539-8DA1-B89CCB4D67D8}">
      <text>
        <r>
          <rPr>
            <b/>
            <sz val="9"/>
            <color indexed="81"/>
            <rFont val="Tahoma"/>
            <family val="2"/>
          </rPr>
          <t>Mansour AL-Bareeki:</t>
        </r>
        <r>
          <rPr>
            <sz val="9"/>
            <color indexed="81"/>
            <rFont val="Tahoma"/>
            <family val="2"/>
          </rPr>
          <t xml:space="preserve">
Official Hiden Analytical CATLAB product video embedded on the exact CATLAB-PCS page, verified 2026-08-23.</t>
        </r>
      </text>
    </comment>
    <comment ref="AF92" authorId="0" shapeId="0" xr:uid="{8514CA8A-586D-43FC-B974-7852526C542A}">
      <text>
        <r>
          <rPr>
            <b/>
            <sz val="9"/>
            <color indexed="81"/>
            <rFont val="Tahoma"/>
            <family val="2"/>
          </rPr>
          <t>Mansour AL-Bareeki:</t>
        </r>
        <r>
          <rPr>
            <sz val="9"/>
            <color indexed="81"/>
            <rFont val="Tahoma"/>
            <family val="2"/>
          </rPr>
          <t xml:space="preserve">
Official Hiden Analytical dissolved-species analysis video embedded on the exact HPR-40 MIMS page, verified 2026-08-23.</t>
        </r>
      </text>
    </comment>
    <comment ref="AF93" authorId="0" shapeId="0" xr:uid="{4E18ACA8-370A-444E-A897-258A6D870741}">
      <text>
        <r>
          <rPr>
            <b/>
            <sz val="9"/>
            <color indexed="81"/>
            <rFont val="Tahoma"/>
            <family val="2"/>
          </rPr>
          <t>Mansour AL-Bareeki:</t>
        </r>
        <r>
          <rPr>
            <sz val="9"/>
            <color indexed="81"/>
            <rFont val="Tahoma"/>
            <family val="2"/>
          </rPr>
          <t xml:space="preserve">
Official Hiden Analytical video for the pQA Portable Quadrupole Analyser, verified 2026-08-23.</t>
        </r>
      </text>
    </comment>
    <comment ref="AF94" authorId="0" shapeId="0" xr:uid="{5A68A62F-0D71-44F8-8F41-61FD96EAE95C}">
      <text>
        <r>
          <rPr>
            <b/>
            <sz val="9"/>
            <color indexed="81"/>
            <rFont val="Tahoma"/>
            <family val="2"/>
          </rPr>
          <t>Mansour AL-Bareeki:</t>
        </r>
        <r>
          <rPr>
            <sz val="9"/>
            <color indexed="81"/>
            <rFont val="Tahoma"/>
            <family val="2"/>
          </rPr>
          <t xml:space="preserve">
Official Hiden Analytical gas-analysis overview embedded on the exact QIC BioStream product page; product-family video, verified 2026-08-23.</t>
        </r>
      </text>
    </comment>
    <comment ref="AF95" authorId="0" shapeId="0" xr:uid="{75D54758-D50E-4152-92DA-D67C3BD2EF6D}">
      <text>
        <r>
          <rPr>
            <b/>
            <sz val="9"/>
            <color indexed="81"/>
            <rFont val="Tahoma"/>
            <family val="2"/>
          </rPr>
          <t>Mansour AL-Bareeki:</t>
        </r>
        <r>
          <rPr>
            <sz val="9"/>
            <color indexed="81"/>
            <rFont val="Tahoma"/>
            <family val="2"/>
          </rPr>
          <t xml:space="preserve">
Official Hiden Analytical DEMS video embedded on the exact HPR-40 DEMS product page, verified 2026-08-23.</t>
        </r>
      </text>
    </comment>
    <comment ref="AF96" authorId="0" shapeId="0" xr:uid="{36A08AB7-F00C-439A-B37C-5D9C9EB3A837}">
      <text>
        <r>
          <rPr>
            <b/>
            <sz val="9"/>
            <color indexed="81"/>
            <rFont val="Tahoma"/>
            <family val="2"/>
          </rPr>
          <t>Mansour AL-Bareeki:</t>
        </r>
        <r>
          <rPr>
            <sz val="9"/>
            <color indexed="81"/>
            <rFont val="Tahoma"/>
            <family val="2"/>
          </rPr>
          <t xml:space="preserve">
Official Hiden Analytical electrochemistry applications video embedded on the exact HPR-20 OEMS page, verified 2026-08-23.</t>
        </r>
      </text>
    </comment>
    <comment ref="AF97" authorId="0" shapeId="0" xr:uid="{7E29889D-E522-4E41-A784-8109C085F53D}">
      <text>
        <r>
          <rPr>
            <b/>
            <sz val="9"/>
            <color indexed="81"/>
            <rFont val="Tahoma"/>
            <family val="2"/>
          </rPr>
          <t>Mansour AL-Bareeki:</t>
        </r>
        <r>
          <rPr>
            <sz val="9"/>
            <color indexed="81"/>
            <rFont val="Tahoma"/>
            <family val="2"/>
          </rPr>
          <t xml:space="preserve">
Official Hiden Analytical SIMS/SNMS surface-analysis video embedded on the FIB-SIMS application page; product-family video, verified 2026-08-23.</t>
        </r>
      </text>
    </comment>
    <comment ref="AF98" authorId="0" shapeId="0" xr:uid="{2200AC0C-350D-49E5-990D-74061A1BDA48}">
      <text>
        <r>
          <rPr>
            <b/>
            <sz val="9"/>
            <color indexed="81"/>
            <rFont val="Tahoma"/>
            <family val="2"/>
          </rPr>
          <t>Mansour AL-Bareeki:</t>
        </r>
        <r>
          <rPr>
            <sz val="9"/>
            <color indexed="81"/>
            <rFont val="Tahoma"/>
            <family val="2"/>
          </rPr>
          <t xml:space="preserve">
Official Hiden Analytical video for the automated LAS leak analysis system, verified 2026-08-23.</t>
        </r>
      </text>
    </comment>
    <comment ref="AF107" authorId="0" shapeId="0" xr:uid="{94876D5C-A54D-45F7-BCC3-68E322D06AA0}">
      <text>
        <r>
          <rPr>
            <b/>
            <sz val="9"/>
            <color indexed="81"/>
            <rFont val="Tahoma"/>
            <family val="2"/>
          </rPr>
          <t>Mansour AL-Bareeki:</t>
        </r>
        <r>
          <rPr>
            <sz val="9"/>
            <color indexed="81"/>
            <rFont val="Tahoma"/>
            <family val="2"/>
          </rPr>
          <t xml:space="preserve">
Official Hiden Analytical SIMS video embedded on the exact SIMS Workstation page, verified 2026-08-23.</t>
        </r>
      </text>
    </comment>
    <comment ref="AF108" authorId="0" shapeId="0" xr:uid="{93491935-50C2-438D-8614-85CA740CE358}">
      <text>
        <r>
          <rPr>
            <b/>
            <sz val="9"/>
            <color indexed="81"/>
            <rFont val="Tahoma"/>
            <family val="2"/>
          </rPr>
          <t>Mansour AL-Bareeki:</t>
        </r>
        <r>
          <rPr>
            <sz val="9"/>
            <color indexed="81"/>
            <rFont val="Tahoma"/>
            <family val="2"/>
          </rPr>
          <t xml:space="preserve">
Official Hiden Analytical SIMS/SNMS surface-analysis video embedded on the exact AutoSIMS page; product-family video, verified 2026-08-23.</t>
        </r>
      </text>
    </comment>
    <comment ref="AF109" authorId="0" shapeId="0" xr:uid="{B0D1B883-AE9E-49BC-A5D9-FF7A07EE439B}">
      <text>
        <r>
          <rPr>
            <b/>
            <sz val="9"/>
            <color indexed="81"/>
            <rFont val="Tahoma"/>
            <family val="2"/>
          </rPr>
          <t>Mansour AL-Bareeki:</t>
        </r>
        <r>
          <rPr>
            <sz val="9"/>
            <color indexed="81"/>
            <rFont val="Tahoma"/>
            <family val="2"/>
          </rPr>
          <t xml:space="preserve">
Official Hiden Analytical SIMS/SNMS surface-analysis video embedded on the exact Compact SIMS page; product-family video, verified 2026-08-23.</t>
        </r>
      </text>
    </comment>
    <comment ref="S135" authorId="0" shapeId="0" xr:uid="{78E1E42E-EC73-4BB3-B208-DC569DEEEC78}">
      <text>
        <r>
          <rPr>
            <b/>
            <sz val="9"/>
            <color indexed="81"/>
            <rFont val="Tahoma"/>
            <family val="2"/>
          </rPr>
          <t>Mansour AL-Bareeki:</t>
        </r>
        <r>
          <rPr>
            <sz val="9"/>
            <color indexed="81"/>
            <rFont val="Tahoma"/>
            <family val="2"/>
          </rPr>
          <t xml:space="preserve">
Official manufacturer product image verified 2026-08-23.</t>
        </r>
      </text>
    </comment>
    <comment ref="AF135" authorId="0" shapeId="0" xr:uid="{76711059-0412-44F0-9AFC-67D68F41C8C7}">
      <text>
        <r>
          <rPr>
            <b/>
            <sz val="9"/>
            <color indexed="81"/>
            <rFont val="Tahoma"/>
            <family val="2"/>
          </rPr>
          <t>Mansour AL-Bareeki:</t>
        </r>
        <r>
          <rPr>
            <sz val="9"/>
            <color indexed="81"/>
            <rFont val="Tahoma"/>
            <family val="2"/>
          </rPr>
          <t xml:space="preserve">
Official Addcomposites robotic filament winding system demo, verified 2026-08-23.</t>
        </r>
      </text>
    </comment>
    <comment ref="S136" authorId="0" shapeId="0" xr:uid="{5F3C118E-8167-4EAC-9309-A30D72E8C198}">
      <text>
        <r>
          <rPr>
            <b/>
            <sz val="9"/>
            <color indexed="81"/>
            <rFont val="Tahoma"/>
            <family val="2"/>
          </rPr>
          <t>Mansour AL-Bareeki:</t>
        </r>
        <r>
          <rPr>
            <sz val="9"/>
            <color indexed="81"/>
            <rFont val="Tahoma"/>
            <family val="2"/>
          </rPr>
          <t xml:space="preserve">
Official manufacturer product image verified 2026-08-23.</t>
        </r>
      </text>
    </comment>
    <comment ref="AF136" authorId="0" shapeId="0" xr:uid="{BD2777C5-F6FB-434A-B5B7-11A224965224}">
      <text>
        <r>
          <rPr>
            <b/>
            <sz val="9"/>
            <color indexed="81"/>
            <rFont val="Tahoma"/>
            <family val="2"/>
          </rPr>
          <t>Mansour AL-Bareeki:</t>
        </r>
        <r>
          <rPr>
            <sz val="9"/>
            <color indexed="81"/>
            <rFont val="Tahoma"/>
            <family val="2"/>
          </rPr>
          <t xml:space="preserve">
Official Addcomposites AFP-XS video embedded on the manufacturer's AFP-XS article, verified 2026-08-23.</t>
        </r>
      </text>
    </comment>
    <comment ref="S137" authorId="0" shapeId="0" xr:uid="{0ECD7F05-9765-47F2-83E4-048BDB5CD961}">
      <text>
        <r>
          <rPr>
            <b/>
            <sz val="9"/>
            <color indexed="81"/>
            <rFont val="Tahoma"/>
            <family val="2"/>
          </rPr>
          <t>Mansour AL-Bareeki:</t>
        </r>
        <r>
          <rPr>
            <sz val="9"/>
            <color indexed="81"/>
            <rFont val="Tahoma"/>
            <family val="2"/>
          </rPr>
          <t xml:space="preserve">
Official manufacturer product image verified 2026-08-23.</t>
        </r>
      </text>
    </comment>
    <comment ref="S138" authorId="0" shapeId="0" xr:uid="{B3A290AB-679E-4E61-8B2E-9B679CE3F45D}">
      <text>
        <r>
          <rPr>
            <b/>
            <sz val="9"/>
            <color indexed="81"/>
            <rFont val="Tahoma"/>
            <family val="2"/>
          </rPr>
          <t>Mansour AL-Bareeki:</t>
        </r>
        <r>
          <rPr>
            <sz val="9"/>
            <color indexed="81"/>
            <rFont val="Tahoma"/>
            <family val="2"/>
          </rPr>
          <t xml:space="preserve">
Official manufacturer product image verified 2026-08-23.</t>
        </r>
      </text>
    </comment>
    <comment ref="S139" authorId="0" shapeId="0" xr:uid="{3D2F0D66-45B8-4CBC-9DAC-7DF112C16FFA}">
      <text>
        <r>
          <rPr>
            <b/>
            <sz val="9"/>
            <color indexed="81"/>
            <rFont val="Tahoma"/>
            <family val="2"/>
          </rPr>
          <t>Mansour AL-Bareeki:</t>
        </r>
        <r>
          <rPr>
            <sz val="9"/>
            <color indexed="81"/>
            <rFont val="Tahoma"/>
            <family val="2"/>
          </rPr>
          <t xml:space="preserve">
Official manufacturer product image verified 2026-08-23.</t>
        </r>
      </text>
    </comment>
    <comment ref="AF139" authorId="0" shapeId="0" xr:uid="{0F8194BA-85EA-41B1-A38F-41937229735D}">
      <text>
        <r>
          <rPr>
            <b/>
            <sz val="9"/>
            <color indexed="81"/>
            <rFont val="Tahoma"/>
            <family val="2"/>
          </rPr>
          <t>Mansour AL-Bareeki:</t>
        </r>
        <r>
          <rPr>
            <sz val="9"/>
            <color indexed="81"/>
            <rFont val="Tahoma"/>
            <family val="2"/>
          </rPr>
          <t xml:space="preserve">
Official Addcomposites AddPath installation guide linked by the manufacturer, verified 2026-08-23.</t>
        </r>
      </text>
    </comment>
    <comment ref="S140" authorId="0" shapeId="0" xr:uid="{C6A013A0-6FA9-4D5D-B5EB-0664E4724865}">
      <text>
        <r>
          <rPr>
            <b/>
            <sz val="9"/>
            <color indexed="81"/>
            <rFont val="Tahoma"/>
            <family val="2"/>
          </rPr>
          <t>Mansour AL-Bareeki:</t>
        </r>
        <r>
          <rPr>
            <sz val="9"/>
            <color indexed="81"/>
            <rFont val="Tahoma"/>
            <family val="2"/>
          </rPr>
          <t xml:space="preserve">
Official manufacturer product image verified 2026-08-23.</t>
        </r>
      </text>
    </comment>
    <comment ref="S141" authorId="0" shapeId="0" xr:uid="{C2E3CBC0-DDF0-430A-B64A-11CBFB72D9E4}">
      <text>
        <r>
          <rPr>
            <b/>
            <sz val="9"/>
            <color indexed="81"/>
            <rFont val="Tahoma"/>
            <family val="2"/>
          </rPr>
          <t>Mansour AL-Bareeki:</t>
        </r>
        <r>
          <rPr>
            <sz val="9"/>
            <color indexed="81"/>
            <rFont val="Tahoma"/>
            <family val="2"/>
          </rPr>
          <t xml:space="preserve">
Official manufacturer product image verified 2026-08-23.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Mansour AL-Bareeki</author>
  </authors>
  <commentList>
    <comment ref="A4" authorId="0" shapeId="0" xr:uid="{931B8BF2-8A65-4F30-8856-76CD46FB76CC}">
      <text>
        <r>
          <rPr>
            <b/>
            <sz val="9"/>
            <color indexed="81"/>
            <rFont val="Tahoma"/>
            <family val="2"/>
          </rPr>
          <t>P0 = required before launch; P1 = recommended for a strong launch; P2 = optional enhancement. DIWAN group identity and naming are authoritative.</t>
        </r>
      </text>
    </comment>
    <comment ref="G4" authorId="0" shapeId="0" xr:uid="{39CB5224-D80A-4362-9348-0AFA3FD35615}">
      <text>
        <r>
          <rPr>
            <b/>
            <sz val="9"/>
            <color indexed="81"/>
            <rFont val="Tahoma"/>
            <family val="2"/>
          </rPr>
          <t>Mansour AL-Bareeki:</t>
        </r>
        <r>
          <rPr>
            <sz val="9"/>
            <color indexed="81"/>
            <rFont val="Tahoma"/>
            <family val="2"/>
          </rPr>
          <t xml:space="preserve">
Use: Available, To Prepare, In Progress, Approved, or Not Required.</t>
        </r>
      </text>
    </comment>
    <comment ref="H4" authorId="0" shapeId="0" xr:uid="{31CE0796-ED57-4DB6-98C8-B9C239AEE7B4}">
      <text>
        <r>
          <rPr>
            <b/>
            <sz val="9"/>
            <color indexed="81"/>
            <rFont val="Tahoma"/>
            <family val="2"/>
          </rPr>
          <t>Mansour AL-Bareeki:</t>
        </r>
        <r>
          <rPr>
            <sz val="9"/>
            <color indexed="81"/>
            <rFont val="Tahoma"/>
            <family val="2"/>
          </rPr>
          <t xml:space="preserve">
Shows the existing workbook source or where the team should store the information.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<sst xmlns="http://schemas.openxmlformats.org/spreadsheetml/2006/main" count="13423" uniqueCount="3172">
  <si>
    <t>Country</t>
  </si>
  <si>
    <t>ThermCon Scientific</t>
  </si>
  <si>
    <t>Germany</t>
  </si>
  <si>
    <t>Young In Chromass</t>
  </si>
  <si>
    <t>South Korea</t>
  </si>
  <si>
    <t>Hiden Analytical</t>
  </si>
  <si>
    <t>United Kingdom</t>
  </si>
  <si>
    <t>Rational Lab Solutions (RLS)</t>
  </si>
  <si>
    <t>India</t>
  </si>
  <si>
    <t>Addcomposites</t>
  </si>
  <si>
    <t>Finland</t>
  </si>
  <si>
    <t>Lano-tech</t>
  </si>
  <si>
    <t>China</t>
  </si>
  <si>
    <t>All-Rays Satellite Technology</t>
  </si>
  <si>
    <t>Top Industrie</t>
  </si>
  <si>
    <t>France</t>
  </si>
  <si>
    <t>Specac Inc.</t>
  </si>
  <si>
    <t>ModuleSci</t>
  </si>
  <si>
    <t>https://www.thermconscientific.com/</t>
  </si>
  <si>
    <t>https://www.hidenanalytical.com/products/</t>
  </si>
  <si>
    <t>https://www.addcomposites.com/all-products</t>
  </si>
  <si>
    <t>Source SI No.</t>
  </si>
  <si>
    <t>Partner Company</t>
  </si>
  <si>
    <t>ChroZen HPLC</t>
  </si>
  <si>
    <t>ChroZen UHPLC</t>
  </si>
  <si>
    <t>ChroZen GC</t>
  </si>
  <si>
    <t>Filters</t>
  </si>
  <si>
    <t>Valves</t>
  </si>
  <si>
    <t>HST Group</t>
  </si>
  <si>
    <t>Product Category</t>
  </si>
  <si>
    <t>Product / Model</t>
  </si>
  <si>
    <t>Thermal Analysis</t>
  </si>
  <si>
    <t>STA 1000 / 1600 Simultaneous Thermal Analyzer (TGA + DSC)</t>
  </si>
  <si>
    <t>TGA 1000 / 1600 Thermogravimetric Analyzer</t>
  </si>
  <si>
    <t>TC3500S Carbon Black Content Tester</t>
  </si>
  <si>
    <t>DTA 1000 / 1600 Differential Thermal Analyzer</t>
  </si>
  <si>
    <t>DSC 600 High-Precision Differential Scanning Calorimeter</t>
  </si>
  <si>
    <t>DSC-600A Differential Scanning Calorimeter</t>
  </si>
  <si>
    <t>Thermal Conductivity</t>
  </si>
  <si>
    <t>HFM50/300 Thermal Conductivity Tester</t>
  </si>
  <si>
    <t>LFA 1600 Laser Flash Thermal Conductivity &amp; Diffusivity Tester</t>
  </si>
  <si>
    <t>Tuber 200 Pipe Insulation Thermal Conductivity Tester</t>
  </si>
  <si>
    <t>SB-850 Seebeck and Electrical Resistivity Test Device</t>
  </si>
  <si>
    <t>THS 200 Thermal Conductivity Tester</t>
  </si>
  <si>
    <t>TPS 500 Thermal Conductivity Tester (Transient Plane Heat Source)</t>
  </si>
  <si>
    <t>HFM 300/600 Series Heat Flow Meter</t>
  </si>
  <si>
    <t>HFM1600 High Temperature Thermal Conductivity Tester</t>
  </si>
  <si>
    <t>Dilatometry</t>
  </si>
  <si>
    <t>DIL Series Linear Thermal Expansion Coefficient Tester</t>
  </si>
  <si>
    <t>DIL Optical Sintering Point Tester (Optical Dilatometer)</t>
  </si>
  <si>
    <t>DIL-Q Quenching Deformation Dilatometer</t>
  </si>
  <si>
    <t>DIL-D Series Thermal Expansion Dilatometer</t>
  </si>
  <si>
    <t>DIL-C Series Cryogenic Thermal Expansion Dilatometer</t>
  </si>
  <si>
    <t>Material Testing</t>
  </si>
  <si>
    <t>CRUMPLEFLEX Fabric Flexing Tester</t>
  </si>
  <si>
    <t>UL94 Horizontal/Vertical Flame Chamber</t>
  </si>
  <si>
    <t>AURA II LPG Vaporizer</t>
  </si>
  <si>
    <t>ZEPHYR II Automated Gas Dilutor</t>
  </si>
  <si>
    <t>ChroZen GC-VUV</t>
  </si>
  <si>
    <t>aquapuri 511</t>
  </si>
  <si>
    <t>aquapuri 521</t>
  </si>
  <si>
    <t>3x00A Series Liquid Autosampler</t>
  </si>
  <si>
    <t>Gas Analyzer</t>
  </si>
  <si>
    <t>Hand Sanitizer Analyzer</t>
  </si>
  <si>
    <t>ChroZen ASTM D4815 Player</t>
  </si>
  <si>
    <t>ChroZen ASTM D5580 Player</t>
  </si>
  <si>
    <t>ChroZen USP 467 Player (Residual Solvent Analyzer)</t>
  </si>
  <si>
    <t>ChroZen ASTM D1945 Player</t>
  </si>
  <si>
    <t>ChroZen PAL RSI/RTC Multiple Injection Autosampler</t>
  </si>
  <si>
    <t>ChroZen PAL LSI System</t>
  </si>
  <si>
    <t>ACE 1100 IMR-MS</t>
  </si>
  <si>
    <t>aquapuri Essence</t>
  </si>
  <si>
    <t>ChroZen PAL RSI/RTC SPME Arrow</t>
  </si>
  <si>
    <t>aquapuri Essence+</t>
  </si>
  <si>
    <t>ChroZen IC Modules</t>
  </si>
  <si>
    <t>Mass Spectra Designer Drugs 2023</t>
  </si>
  <si>
    <t>Mass Spectral Library of Drugs, Poisons, Pesticides, Pollutants and Metabolites, 5th Edition</t>
  </si>
  <si>
    <t>aquapuri 541</t>
  </si>
  <si>
    <t>ChroZen IC Consumables (Columns &amp; Suppressors)</t>
  </si>
  <si>
    <t>aquapuri 551</t>
  </si>
  <si>
    <t>Biodiesel Analyzer</t>
  </si>
  <si>
    <t>Phthalate Analyzer</t>
  </si>
  <si>
    <t>Fatty Acid Analyzer</t>
  </si>
  <si>
    <t>VOC Analyzer</t>
  </si>
  <si>
    <t>Sulfur Analyzer</t>
  </si>
  <si>
    <t>Residual Solvent Analyzer</t>
  </si>
  <si>
    <t>Residual Pesticide Analyzer</t>
  </si>
  <si>
    <t>YL28xT All-In-One Autosampler</t>
  </si>
  <si>
    <t>YL2x00H Headspace Autosampler</t>
  </si>
  <si>
    <t>Versa Headspace Autosampler</t>
  </si>
  <si>
    <t>HT3 Static and Dynamic Headspace Autosampler</t>
  </si>
  <si>
    <t>ChroZen PAL RSI/RTC SPME Fiber</t>
  </si>
  <si>
    <t>Pyroprobe 6000 Series Pyrolyzer</t>
  </si>
  <si>
    <t>Lumin Purge &amp; Trap Concentrator</t>
  </si>
  <si>
    <t>AQUATek LVA Waters-Only Autosampler</t>
  </si>
  <si>
    <t>Atomx XYZ Automated VOC Sample Prep System</t>
  </si>
  <si>
    <t>YL-Clarity Chromatography Data System</t>
  </si>
  <si>
    <t>ChroZen GPC System</t>
  </si>
  <si>
    <t>ChroZen HPLC Semi-Prep</t>
  </si>
  <si>
    <t>Amino Acid Analyzer</t>
  </si>
  <si>
    <t>Carbamate Analyzer</t>
  </si>
  <si>
    <t>Catecholamine Analyzer</t>
  </si>
  <si>
    <t>Polyphenol Analyzer</t>
  </si>
  <si>
    <t>Sugar Analyzer</t>
  </si>
  <si>
    <t>Preservative Analyzer</t>
  </si>
  <si>
    <t>Vitamin Analyzer</t>
  </si>
  <si>
    <t>Gas Analysis</t>
  </si>
  <si>
    <t>QGA 2.0</t>
  </si>
  <si>
    <t>HPR-20 R&amp;D</t>
  </si>
  <si>
    <t>HPR-20 TMS</t>
  </si>
  <si>
    <t>HPR-20 EGA</t>
  </si>
  <si>
    <t>Catalysis &amp; Thermal Analysis</t>
  </si>
  <si>
    <t>CATLAB-PCS</t>
  </si>
  <si>
    <t>TDSLab Series</t>
  </si>
  <si>
    <t>SpaciMS</t>
  </si>
  <si>
    <t>Dissolved Gas &amp; Fermentation</t>
  </si>
  <si>
    <t>HPR-40 MIMS</t>
  </si>
  <si>
    <t>pQA Portable Quadrupole Analyser</t>
  </si>
  <si>
    <t>QIC BioStream</t>
  </si>
  <si>
    <t>Electrochemistry &amp; Leak Analysis</t>
  </si>
  <si>
    <t>HPR-40 DEMS</t>
  </si>
  <si>
    <t>HPR-20 OEMS</t>
  </si>
  <si>
    <t>FIB-SIMS</t>
  </si>
  <si>
    <t>LAS Leak Analysis System</t>
  </si>
  <si>
    <t>Residual Gas Analysis</t>
  </si>
  <si>
    <t>RGA Series</t>
  </si>
  <si>
    <t>HAL 101X RC</t>
  </si>
  <si>
    <t>HALO 201 MBE</t>
  </si>
  <si>
    <t>DLS-20</t>
  </si>
  <si>
    <t>Thin Films &amp; Plasma</t>
  </si>
  <si>
    <t>HPR-30 Series</t>
  </si>
  <si>
    <t>EQP Series</t>
  </si>
  <si>
    <t>ESPion</t>
  </si>
  <si>
    <t>IMP-EPD</t>
  </si>
  <si>
    <t>Surface Analysis</t>
  </si>
  <si>
    <t>SIMS Workstation</t>
  </si>
  <si>
    <t>AutoSIMS</t>
  </si>
  <si>
    <t>Compact SIMS</t>
  </si>
  <si>
    <t>ToF-qSIMS Workstation</t>
  </si>
  <si>
    <t>Dual Polarity SIMS Workstation</t>
  </si>
  <si>
    <t>Nanotechnology &amp; Molecular Beams</t>
  </si>
  <si>
    <t>HPR-60 MBMS</t>
  </si>
  <si>
    <t>XBS</t>
  </si>
  <si>
    <t>Fusion Diagnostics</t>
  </si>
  <si>
    <t>DLS-1</t>
  </si>
  <si>
    <t>DLS-2 / DLS-2X</t>
  </si>
  <si>
    <t>Software</t>
  </si>
  <si>
    <t>MASsoft Professional</t>
  </si>
  <si>
    <t>QGAsoft</t>
  </si>
  <si>
    <t>EGAsoft</t>
  </si>
  <si>
    <t>CATLAB Software</t>
  </si>
  <si>
    <t>TPDsoft</t>
  </si>
  <si>
    <t>Lab Scale Systems</t>
  </si>
  <si>
    <t>Catalytic Fixed-Bed Reactor System</t>
  </si>
  <si>
    <t>Hydrothermal Reactor</t>
  </si>
  <si>
    <t>Membrane Reactor System</t>
  </si>
  <si>
    <t>CSTR Reactor System</t>
  </si>
  <si>
    <t>Split Tube Furnace</t>
  </si>
  <si>
    <t>Pilot Scale Systems</t>
  </si>
  <si>
    <t>Automated Integral Reactor</t>
  </si>
  <si>
    <t>Fixed Bed System</t>
  </si>
  <si>
    <t>Stirred Tank System</t>
  </si>
  <si>
    <t>Fluidized Bed System</t>
  </si>
  <si>
    <t>Tubular Reactor System</t>
  </si>
  <si>
    <t>Reactor Applications &amp; Custom Systems</t>
  </si>
  <si>
    <t>Pyrolysis Reactor System</t>
  </si>
  <si>
    <t>Polymerization Reactor System</t>
  </si>
  <si>
    <t>Custom-Designed Reactor / Process System</t>
  </si>
  <si>
    <t>Demonstration Plant</t>
  </si>
  <si>
    <t>Composite Manufacturing</t>
  </si>
  <si>
    <t>ADD Filament Winding System</t>
  </si>
  <si>
    <t>Automated Fiber Placement</t>
  </si>
  <si>
    <t>AFP-XS</t>
  </si>
  <si>
    <t>AFP-X</t>
  </si>
  <si>
    <t>Continuous-Fiber 3D Printing</t>
  </si>
  <si>
    <t>ADDX</t>
  </si>
  <si>
    <t>AddPath</t>
  </si>
  <si>
    <t>Software &amp; Robotic Cells</t>
  </si>
  <si>
    <t>AddPrint</t>
  </si>
  <si>
    <t>AddCell</t>
  </si>
  <si>
    <t>FA Machine-Vision Lenses</t>
  </si>
  <si>
    <t>2 Mega-Pixel Machine Vision Lens</t>
  </si>
  <si>
    <t>3 Mega-Pixel Machine Vision Lens</t>
  </si>
  <si>
    <t>5 Mega-Pixel Machine Vision Lens</t>
  </si>
  <si>
    <t>8 Mega-Pixel Machine Vision Lens</t>
  </si>
  <si>
    <t>10 Mega-Pixel Machine Vision Lens</t>
  </si>
  <si>
    <t>12 Mega-Pixel Machine Vision Lens</t>
  </si>
  <si>
    <t>20 Mega-Pixel Machine Vision Lens</t>
  </si>
  <si>
    <t>25 Mega-Pixel Machine Vision Lens</t>
  </si>
  <si>
    <t>Telecentric Lenses</t>
  </si>
  <si>
    <t>65mm Standard Resolution Telecentric Lens</t>
  </si>
  <si>
    <t>110mm Standard Resolution Telecentric Lens</t>
  </si>
  <si>
    <t>Standard Resolution Telecentric Lens</t>
  </si>
  <si>
    <t>65mm High Resolution Telecentric Lens</t>
  </si>
  <si>
    <t>110mm High Resolution Telecentric Lens</t>
  </si>
  <si>
    <t>High Resolution Telecentric Lens</t>
  </si>
  <si>
    <t>BT-10 Series Bi-Telecentric Lens</t>
  </si>
  <si>
    <t>BT-23 Series Bi-Telecentric Lens</t>
  </si>
  <si>
    <t>BT-43 Series Bi-Telecentric Lens</t>
  </si>
  <si>
    <t>360-Degree Inspection Lenses</t>
  </si>
  <si>
    <t>360 Degree Internal Inspection Lens</t>
  </si>
  <si>
    <t>360 Degree External Inspection Lens</t>
  </si>
  <si>
    <t>Line-Scan Lenses</t>
  </si>
  <si>
    <t>LM Series Low Magnification Line-Scan Lens</t>
  </si>
  <si>
    <t>LC Series Low Magnification Line-Scan Lens</t>
  </si>
  <si>
    <t>LS Series Low Magnification Line-Scan Lens</t>
  </si>
  <si>
    <t>SWIR Lenses</t>
  </si>
  <si>
    <t>1 Inch Fixed-Focus Shortwave Lens Series (900-1700nm)</t>
  </si>
  <si>
    <t>2/3-Inch Fixed-Focus Shortwave Lens Series</t>
  </si>
  <si>
    <t>1-Inch Continuous Zoom Shortwave Lens Series</t>
  </si>
  <si>
    <t>Industrial Cameras</t>
  </si>
  <si>
    <t>AE Series GigE Industrial Area Scan Camera</t>
  </si>
  <si>
    <t>Medium &amp; High-Speed Line Scan Camera</t>
  </si>
  <si>
    <t>LINESCAN Series High Resolution Line Scan Camera</t>
  </si>
  <si>
    <t>Hyperspectral &amp; Multispectral Cameras</t>
  </si>
  <si>
    <t>Concentrating Hyperspectral Camera</t>
  </si>
  <si>
    <t>Push-Broom Hyperspectral Camera 2nm</t>
  </si>
  <si>
    <t>Push-Broom Hyperspectral Camera 3nm</t>
  </si>
  <si>
    <t>LANO-SP900-1700B Push-Broom Hyperspectral Camera</t>
  </si>
  <si>
    <t>Airborne Multispectral PTZ Camera</t>
  </si>
  <si>
    <t>8-Channel Video Spectrum Camera</t>
  </si>
  <si>
    <t>4-Channel Video Spectrum Camera</t>
  </si>
  <si>
    <t>High-Speed Cameras</t>
  </si>
  <si>
    <t>LANO-HSC20-25000G</t>
  </si>
  <si>
    <t>LANO-HSC131-1000000G</t>
  </si>
  <si>
    <t>2MP High Resolution High Speed Video Camera</t>
  </si>
  <si>
    <t>LANO-HSC Series Ultra Data Throughput High Speed Cameras</t>
  </si>
  <si>
    <t>Machine-Vision Lighting</t>
  </si>
  <si>
    <t>Coaxial Lighting Source</t>
  </si>
  <si>
    <t>Angle Coaxial Light Source</t>
  </si>
  <si>
    <t>High-Brightness High-Power Ring Light</t>
  </si>
  <si>
    <t>Bi-Directional Shadowless High-Angle Ring Light</t>
  </si>
  <si>
    <t>Shadowless Ring Low-Angle Light Source</t>
  </si>
  <si>
    <t>Multidirectional Shadowless Ring Light Source</t>
  </si>
  <si>
    <t>Highlight Shadowless Ring Light</t>
  </si>
  <si>
    <t>Tricolor Ring Light Source</t>
  </si>
  <si>
    <t>Square Shadowless Light</t>
  </si>
  <si>
    <t>UV (IR) Light Source</t>
  </si>
  <si>
    <t>AOI Light Source</t>
  </si>
  <si>
    <t>Spherical Light Source</t>
  </si>
  <si>
    <t>Remote Sensing Cameras</t>
  </si>
  <si>
    <t>Multispectral Camera</t>
  </si>
  <si>
    <t>0.5m Resolution Visible Light Camera</t>
  </si>
  <si>
    <t>0.9m Resolution Visible Light Camera</t>
  </si>
  <si>
    <t>0.3m Resolution Visible Light / 4m Long-Wave Infrared Camera</t>
  </si>
  <si>
    <t>2.5m Resolution Wide-Frame Camera</t>
  </si>
  <si>
    <t>2m Resolution Visible-Light Multispectral Wide-Field Camera</t>
  </si>
  <si>
    <t>Space Target Detection Camera</t>
  </si>
  <si>
    <t>Spaceborne Selfie Camera</t>
  </si>
  <si>
    <t>4m Resolution Visible Multispectral Camera</t>
  </si>
  <si>
    <t>Star Sensors</t>
  </si>
  <si>
    <t>Ultra-High Accuracy (RD01) Star Sensor</t>
  </si>
  <si>
    <t>Ultra-High Accuracy (RD12) Star Sensor</t>
  </si>
  <si>
    <t>Ultra Lightweight (RD003) Sun Sensor</t>
  </si>
  <si>
    <t>Ultra Lightweight &amp; High Dynamic (RD02-3) Star Sensor</t>
  </si>
  <si>
    <t>Nano-Type (RD04) Star Sensor</t>
  </si>
  <si>
    <t>Spaceborne Inertial Sensors</t>
  </si>
  <si>
    <t>Dual Light Source 4-Axis Integrated Fiber Optic Gyroscope Combination</t>
  </si>
  <si>
    <t>3 Orthogonal High-Precision Fiber Optic Gyroscope Combination</t>
  </si>
  <si>
    <t>3 Orthogonal 1 Oblique Mounted High-Precision Fiber Optic Gyroscope Combination</t>
  </si>
  <si>
    <t>Micro Fiber Gyroscope Combination (Star W Standard)</t>
  </si>
  <si>
    <t>Micro Fiber Gyroscope Combination</t>
  </si>
  <si>
    <t>Very High Precision Fiber Optic Gyroscope Combination</t>
  </si>
  <si>
    <t>3 Orthogonal 1 Oblique Mounted Hemispherical Gyroscope Attitude Sensor</t>
  </si>
  <si>
    <t>Micro Mechanical Inertial Unit</t>
  </si>
  <si>
    <t>High-Precision Plus Table Combination</t>
  </si>
  <si>
    <t>Ferrofluid Angular Velocity Sensor</t>
  </si>
  <si>
    <t>80mNms Three-Axis Integrated Micro Flywheel</t>
  </si>
  <si>
    <t>200mNms Three-Axis Integrated Micro Flywheel</t>
  </si>
  <si>
    <t>300mNms Single-Axis Micro Flywheel</t>
  </si>
  <si>
    <t>600mNms Single-Axis Micro Flywheel</t>
  </si>
  <si>
    <t>Universal 160 Reaction Flywheel</t>
  </si>
  <si>
    <t>Universal 8Nms Flywheel (Star W Standard)</t>
  </si>
  <si>
    <t>Universal 260 Reaction Flywheel</t>
  </si>
  <si>
    <t>Universal 350 Reaction Flywheel</t>
  </si>
  <si>
    <t>1Nm Strong Torque Reaction Flywheel</t>
  </si>
  <si>
    <t>12-25Nms Momentum Wheel (Analog Quantity)</t>
  </si>
  <si>
    <t>50-68Nms Momentum Wheel (Analog Quantity)</t>
  </si>
  <si>
    <t>20Nms Dual-Mode Flywheel</t>
  </si>
  <si>
    <t>2.5Nms Single-Frame Control Moment Gyroscope</t>
  </si>
  <si>
    <t>10Nms Control Moment Gyroscope</t>
  </si>
  <si>
    <t>15Nms Single-Frame Control Moment Gyroscope</t>
  </si>
  <si>
    <t>Triaxial Magnetometer</t>
  </si>
  <si>
    <t>Magnetic Torquer</t>
  </si>
  <si>
    <t>Laser Communication Terminals</t>
  </si>
  <si>
    <t>Pointing Mirror Laser Communication Terminal</t>
  </si>
  <si>
    <t>Two-Dimensional Rotary Laser Communication Terminal</t>
  </si>
  <si>
    <t>Micro-Nano Satellite-Borne Laser Communication Terminal</t>
  </si>
  <si>
    <t>Airborne Laser Communication Terminal</t>
  </si>
  <si>
    <t>5G Laser Communication Terminal Between Base Stations</t>
  </si>
  <si>
    <t>Portable Laser Communication Terminal</t>
  </si>
  <si>
    <t>Underwater Laser Communication Terminal</t>
  </si>
  <si>
    <t>Vehicle-Mounted Laser Communication Terminal</t>
  </si>
  <si>
    <t>Satellite Ground Stations</t>
  </si>
  <si>
    <t>13-Meter Fixed Station Antenna</t>
  </si>
  <si>
    <t>9.0-Meter Fixed Station Antenna</t>
  </si>
  <si>
    <t>Fixed Station Antenna (3.7-7.3m)</t>
  </si>
  <si>
    <t>Fixed Station Antenna (1.8-3.0m)</t>
  </si>
  <si>
    <t>Portable Station Antenna Series</t>
  </si>
  <si>
    <t>Box-Type Portable Station Series</t>
  </si>
  <si>
    <t>Move / Pause Communication Series</t>
  </si>
  <si>
    <t>Remote Sensing Telemetry and Control Antenna Feed System</t>
  </si>
  <si>
    <t>Radome Series</t>
  </si>
  <si>
    <t>Satellite Communication Terminals</t>
  </si>
  <si>
    <t>Satellite Communication Terminal - Manual</t>
  </si>
  <si>
    <t>Satellite Communication Terminal - Automatic</t>
  </si>
  <si>
    <t>Satellite Communication Terminal - Tablet Communication Terminal</t>
  </si>
  <si>
    <t>Scatter Communication Terminals</t>
  </si>
  <si>
    <t>Antennas in Motion</t>
  </si>
  <si>
    <t>Customized Antennas</t>
  </si>
  <si>
    <t>Satellite Platforms</t>
  </si>
  <si>
    <t>Segmented Satellite Platform</t>
  </si>
  <si>
    <t>Propulsion Systems</t>
  </si>
  <si>
    <t>Four-Push Integrated Resistor System</t>
  </si>
  <si>
    <t>Ultra-Precision Optics</t>
  </si>
  <si>
    <t>Optical Parts</t>
  </si>
  <si>
    <t>High-Pressure Syringe Pumps</t>
  </si>
  <si>
    <t>High Pressure and Temperature Syringe Pumps</t>
  </si>
  <si>
    <t>Computerized Integrated Syringe Pumps</t>
  </si>
  <si>
    <t>Manual Syringe Pumps</t>
  </si>
  <si>
    <t>Membrane Accumulators</t>
  </si>
  <si>
    <t>Autoclaves, Reactors &amp; Pilot Plants</t>
  </si>
  <si>
    <t>Autoclave</t>
  </si>
  <si>
    <t>Chemical Reactors</t>
  </si>
  <si>
    <t>Automated Pilot Plants</t>
  </si>
  <si>
    <t>High Pressure Cell</t>
  </si>
  <si>
    <t>Chemical Process Equipment</t>
  </si>
  <si>
    <t>SFE Systems</t>
  </si>
  <si>
    <t>SAS Systems</t>
  </si>
  <si>
    <t>Hydrothermal Synthesis</t>
  </si>
  <si>
    <t>High-Pressure Equipment</t>
  </si>
  <si>
    <t>High Pressure Autoclaves</t>
  </si>
  <si>
    <t>High Pressure Cells</t>
  </si>
  <si>
    <t>Isostatic Pressing</t>
  </si>
  <si>
    <t>Surface and Thermal Treatment</t>
  </si>
  <si>
    <t>High Pressure Generator / Booster Compressor</t>
  </si>
  <si>
    <t>Hydrogen Test Systems</t>
  </si>
  <si>
    <t>High Pressure Hydrogen Gas Rigs</t>
  </si>
  <si>
    <t>Porous Media &amp; Geomechanics</t>
  </si>
  <si>
    <t>Core Holder</t>
  </si>
  <si>
    <t>Gas Permeability</t>
  </si>
  <si>
    <t>Mercury-Free Porosimeter</t>
  </si>
  <si>
    <t>Fluid Characterization PVT</t>
  </si>
  <si>
    <t>Microfluidics</t>
  </si>
  <si>
    <t>Rock Acoustics</t>
  </si>
  <si>
    <t>Gas Hydrate</t>
  </si>
  <si>
    <t>Mechanical Characterization Under High Confinement</t>
  </si>
  <si>
    <t>Thermal Treatment Under Pressure</t>
  </si>
  <si>
    <t>CO2 Geological Storage</t>
  </si>
  <si>
    <t>Salt Core Method</t>
  </si>
  <si>
    <t>Desorption and Diffusion</t>
  </si>
  <si>
    <t>Characterisation of Poro-Visco-Elastic Properties</t>
  </si>
  <si>
    <t>Diffusion Test</t>
  </si>
  <si>
    <t>Primary Absorption</t>
  </si>
  <si>
    <t>Dimensional Stability on Specimens</t>
  </si>
  <si>
    <t>High Pressure / Temperature Rotational Rheometer</t>
  </si>
  <si>
    <t>Horizontal Triaxial Gas Apparatus</t>
  </si>
  <si>
    <t>Creep Apparatus</t>
  </si>
  <si>
    <t>HP/HT Core Holder with Confining Pressure</t>
  </si>
  <si>
    <t>Large Gas Permeameter</t>
  </si>
  <si>
    <t>High Temperature Triaxial Cell</t>
  </si>
  <si>
    <t>Gas Permeability Coupled with Raman Spectrometer</t>
  </si>
  <si>
    <t>Onshore Hydrocarbon Production Simulator</t>
  </si>
  <si>
    <t>Electro-Mechanical Compaction of Plug / Core</t>
  </si>
  <si>
    <t>Large-Scale Gas Permeameter with X-Ray Tomography</t>
  </si>
  <si>
    <t>Foam Qualification Cell - DFCD</t>
  </si>
  <si>
    <t>Corrosion Testing</t>
  </si>
  <si>
    <t>Corrosion Duplex Static Cyclic Salt Water</t>
  </si>
  <si>
    <t>Sulfide Stress Cracking Corrosion Test Cells</t>
  </si>
  <si>
    <t>Horizontal Test Vessels</t>
  </si>
  <si>
    <t>Test Loop</t>
  </si>
  <si>
    <t>HP/HT Scratching Device</t>
  </si>
  <si>
    <t>Basic Dynamic Loop</t>
  </si>
  <si>
    <t>Dynamic Loop with Mass Loss Device</t>
  </si>
  <si>
    <t>Full Option Dynamic Loop</t>
  </si>
  <si>
    <t>Graphene Coating Corrosion Resistance</t>
  </si>
  <si>
    <t>Electrochemical Corrosion Cell</t>
  </si>
  <si>
    <t>Supercritical Fluids &amp; CO2</t>
  </si>
  <si>
    <t>Supercritical Fluids CO2</t>
  </si>
  <si>
    <t>Supercritical Fluid Extraction</t>
  </si>
  <si>
    <t>Supercritical Impregnation</t>
  </si>
  <si>
    <t>Supercritical Reactor</t>
  </si>
  <si>
    <t>Supercritical Fluid Chromatography</t>
  </si>
  <si>
    <t>High Pressure Reactors in Brine Dedicated to Supercritical Fluids</t>
  </si>
  <si>
    <t>Supercritical Antisolvent Process</t>
  </si>
  <si>
    <t>Particle Generation Systems</t>
  </si>
  <si>
    <t>Nuclearized High Pressure CO2 Pumps</t>
  </si>
  <si>
    <t>FTIR Accessories</t>
  </si>
  <si>
    <t>Golden Gate ATR</t>
  </si>
  <si>
    <t>Quest ATR Accessory</t>
  </si>
  <si>
    <t>Silver Gate ATR Accessory</t>
  </si>
  <si>
    <t>GladiATR ATR Accessory</t>
  </si>
  <si>
    <t>Gateway ATR Accessory</t>
  </si>
  <si>
    <t>Transmission Accessory</t>
  </si>
  <si>
    <t>Vacuum Jacketed Gas Cells</t>
  </si>
  <si>
    <t>Storm Heated Cell</t>
  </si>
  <si>
    <t>Heated Jacketed Sample Cup</t>
  </si>
  <si>
    <t>Water Heating Jacket</t>
  </si>
  <si>
    <t>Pearl Liquid Transmission Accessory</t>
  </si>
  <si>
    <t>Omni-Cell Specacell</t>
  </si>
  <si>
    <t>Cyclone Gas Cell</t>
  </si>
  <si>
    <t>Atmospheric Gas Cells</t>
  </si>
  <si>
    <t>Pearl Demountable Cell</t>
  </si>
  <si>
    <t>High Pressure Liquid Transmission Cell</t>
  </si>
  <si>
    <t>Short Pathlength Gas Cell</t>
  </si>
  <si>
    <t>Demountable Liquid Cells</t>
  </si>
  <si>
    <t>Spectrum 3 Automatic Filter Wheel</t>
  </si>
  <si>
    <t>Advanced Solid Sample Kit</t>
  </si>
  <si>
    <t>NIR Liquid and Solid Sampling System</t>
  </si>
  <si>
    <t>DRIFTS Mini-Diff Plus</t>
  </si>
  <si>
    <t>Praying Mantis DRIFTS</t>
  </si>
  <si>
    <t>Selector Diffuse Reflectance</t>
  </si>
  <si>
    <t>Tornado Long Path Gas Cell</t>
  </si>
  <si>
    <t>Long-Path Gases Heated Cell</t>
  </si>
  <si>
    <t>Tornado Long Path Heated Cells</t>
  </si>
  <si>
    <t>MinION High Temperature Analysis</t>
  </si>
  <si>
    <t>Variable Angle Reflectance Accessory</t>
  </si>
  <si>
    <t>Accessory for Transmission &amp; Variable Reflectance</t>
  </si>
  <si>
    <t>Monolayer / Grazing Angle Accessory</t>
  </si>
  <si>
    <t>External Sample Module</t>
  </si>
  <si>
    <t>Flyer Series</t>
  </si>
  <si>
    <t>Vacuum Pellet Presses</t>
  </si>
  <si>
    <t>HPHT Cell</t>
  </si>
  <si>
    <t>XRD Sample Holders</t>
  </si>
  <si>
    <t>Transmission Sample Holders</t>
  </si>
  <si>
    <t>Sample Preparation Equipment</t>
  </si>
  <si>
    <t>Manual Hydraulic Pellet Press</t>
  </si>
  <si>
    <t>25T Atlas Automatic Pellet Press</t>
  </si>
  <si>
    <t>15T Atlas Power Press</t>
  </si>
  <si>
    <t>40T Atlas Power Press</t>
  </si>
  <si>
    <t>Atlas Autotouch Press</t>
  </si>
  <si>
    <t>Atlas E-Series Electric Hydraulic Press</t>
  </si>
  <si>
    <t>50T Autotouch Automatic Press</t>
  </si>
  <si>
    <t>KBr Pellet Kit</t>
  </si>
  <si>
    <t>Basic Solid Sampling Kit</t>
  </si>
  <si>
    <t>Evacuable Pellet Dies</t>
  </si>
  <si>
    <t>Gas Loadable Pellet Die</t>
  </si>
  <si>
    <t>Lab Pellet Press Die Sets</t>
  </si>
  <si>
    <t>Vacuum Pellet Die Assembly</t>
  </si>
  <si>
    <t>Constant Thickness Film Maker</t>
  </si>
  <si>
    <t>Atlas Heated Platen</t>
  </si>
  <si>
    <t>Atlas Heated Platens and Film Maker</t>
  </si>
  <si>
    <t>Electron Microscopy Press</t>
  </si>
  <si>
    <t>NIR / UV Process Cells</t>
  </si>
  <si>
    <t>Zephyr NIR and UV Process Cell</t>
  </si>
  <si>
    <t>Kestrel NIR and UV Diffuse Reflection Probe</t>
  </si>
  <si>
    <t>Kestrel NIR and UV Process Flow-Through Cell</t>
  </si>
  <si>
    <t>Infrared Polarizers</t>
  </si>
  <si>
    <t>Infrared Wire Grid Polarizers</t>
  </si>
  <si>
    <t>ZnSe Wire Grid Polarizer</t>
  </si>
  <si>
    <t>BaF2 Wire Grid Polarizer</t>
  </si>
  <si>
    <t>KRS-5 Wire Grid Polarizer</t>
  </si>
  <si>
    <t>Ge Wire Grid Polarizer</t>
  </si>
  <si>
    <t>Tabletop Tungsten SEM</t>
  </si>
  <si>
    <t>PV-100 Tabletop Tungsten SEM</t>
  </si>
  <si>
    <t>PV-100+ Tabletop Tungsten SEM</t>
  </si>
  <si>
    <t>PV-150 Tabletop Tungsten SEM</t>
  </si>
  <si>
    <t>PV-150+ Tabletop Tungsten SEM</t>
  </si>
  <si>
    <t>Floor-Type Tungsten SEM</t>
  </si>
  <si>
    <t>PE-100 Floor-Type Tungsten SEM</t>
  </si>
  <si>
    <t>PE-100+ Floor-Type Tungsten SEM</t>
  </si>
  <si>
    <t>PE-150 Floor-Type Tungsten SEM</t>
  </si>
  <si>
    <t>PE-150+ Floor-Type Tungsten SEM</t>
  </si>
  <si>
    <t>Entry-Level FE-SEM</t>
  </si>
  <si>
    <t>PE-300 Entry-Level FE-SEM</t>
  </si>
  <si>
    <t>SEM Accessories</t>
  </si>
  <si>
    <t>BSE Detector and SEM Accessories</t>
  </si>
  <si>
    <t>Universal Testing Machines</t>
  </si>
  <si>
    <t>Single Column Universal Testing Machine</t>
  </si>
  <si>
    <t>Double Column Tabletop Universal Testing Machine</t>
  </si>
  <si>
    <t>Floor Model Universal Testing Machine</t>
  </si>
  <si>
    <t>Computerized Dual Space Universal Testing Machine</t>
  </si>
  <si>
    <t>Electronic Universal Testing Machine</t>
  </si>
  <si>
    <t>Hydraulic Servo Universal Testing Machine</t>
  </si>
  <si>
    <t>Hydraulic Universal Testing Machine</t>
  </si>
  <si>
    <t>Hydraulic Compression Testing Machine</t>
  </si>
  <si>
    <t>High Temperature Universal Testing Machine</t>
  </si>
  <si>
    <t>Fixture Jig and Grips</t>
  </si>
  <si>
    <t>Universal Material Testing Machine Application</t>
  </si>
  <si>
    <t>Spine and Bone Surgical Implants Testing Machine</t>
  </si>
  <si>
    <t>Impact Testing Machines</t>
  </si>
  <si>
    <t>Metal Impact Testing Machine</t>
  </si>
  <si>
    <t>Digital Charpy Impact Testing Machine</t>
  </si>
  <si>
    <t>Drop Weight Tear Test Impact Testing Machine</t>
  </si>
  <si>
    <t>Automatic Feeding Charpy Impact Testing Machine</t>
  </si>
  <si>
    <t>Electronic Izod Impact Strength Test</t>
  </si>
  <si>
    <t>Model Impact Test Specimens</t>
  </si>
  <si>
    <t>Charpy Impact Notch Projector</t>
  </si>
  <si>
    <t>Impact Strength Test Blocks</t>
  </si>
  <si>
    <t>Cryostat for Impact Test</t>
  </si>
  <si>
    <t>Notch Specimen Cutter</t>
  </si>
  <si>
    <t>Impact Test Samples Straightening Instrument</t>
  </si>
  <si>
    <t>Pipe Impact Testing Machine</t>
  </si>
  <si>
    <t>Pendulum Impact Testing Machine for Plastics</t>
  </si>
  <si>
    <t>Falling Weight Impact Testing Machine</t>
  </si>
  <si>
    <t>Falling Dart Impact Test Machine</t>
  </si>
  <si>
    <t>Hardness Testers</t>
  </si>
  <si>
    <t>Brinell Hardness Tester</t>
  </si>
  <si>
    <t>Rockwell Hardness Tester</t>
  </si>
  <si>
    <t>Vickers Hardness Tester</t>
  </si>
  <si>
    <t>Shore Hardness Tester</t>
  </si>
  <si>
    <t>Webster Hardness Tester</t>
  </si>
  <si>
    <t>Leeb Hardness Tester</t>
  </si>
  <si>
    <t>Barcol Hardness Tester</t>
  </si>
  <si>
    <t>Rockwell Superficial Hardness Tester</t>
  </si>
  <si>
    <t>Portable Hardness Tester</t>
  </si>
  <si>
    <t>Universal Hardness Tester</t>
  </si>
  <si>
    <t>Universal Hardness Tester (Electric Turret)</t>
  </si>
  <si>
    <t>Brinell Optical Measuring Systems</t>
  </si>
  <si>
    <t>Vickers Optical Measuring Systems</t>
  </si>
  <si>
    <t>Brinell Indentation Diameter Measurement</t>
  </si>
  <si>
    <t>Metallographic Equipment</t>
  </si>
  <si>
    <t>Manual Metallographic Cutting Machine</t>
  </si>
  <si>
    <t>Automatic Metallographic Cutting Machine</t>
  </si>
  <si>
    <t>Manual Metallographic Specimen Mounting Press</t>
  </si>
  <si>
    <t>Metallurgical Microscope</t>
  </si>
  <si>
    <t>Metallographic Specimen Mounting Press</t>
  </si>
  <si>
    <t>Metallographic Specimen Pre-Grinding Machine</t>
  </si>
  <si>
    <t>Metallographic Specimen Polishing Machine</t>
  </si>
  <si>
    <t>Metallographic Specimen Grinding Polishing Machine</t>
  </si>
  <si>
    <t>Metallographic Automatic Specimen Grinding Polishing Machine</t>
  </si>
  <si>
    <t>Metallographic Grinding Polishing Consumables</t>
  </si>
  <si>
    <t>Spectrometer</t>
  </si>
  <si>
    <t>Metallographic Analysis Software</t>
  </si>
  <si>
    <t>Fatigue Testing Machines</t>
  </si>
  <si>
    <t>Dynamic and Static Fatigue Testing Machine</t>
  </si>
  <si>
    <t>Tension Compression Fatigue Testing Machine</t>
  </si>
  <si>
    <t>Fatigue Testing Machine</t>
  </si>
  <si>
    <t>Bending Fatigue Testing Machine</t>
  </si>
  <si>
    <t>Rock Dynamic Testing System</t>
  </si>
  <si>
    <t>Rock Dynamic and Static Triaxial Testing System</t>
  </si>
  <si>
    <t>Rock Triaxial Creep Testing Machine</t>
  </si>
  <si>
    <t>Dynamic and Static Universal Testing Machine</t>
  </si>
  <si>
    <t>Hydraulic Servo Fatigue Testing Machine</t>
  </si>
  <si>
    <t>Rotating Bending Fatigue Testing Machine</t>
  </si>
  <si>
    <t>Fracture Toughness Testing Machine</t>
  </si>
  <si>
    <t>Torsion Testing Machines</t>
  </si>
  <si>
    <t>Wire Torsion Testing Machine</t>
  </si>
  <si>
    <t>Metal Wire Reverse Torsion Testing Machine</t>
  </si>
  <si>
    <t>Wire Torsion Tester (Digital Display)</t>
  </si>
  <si>
    <t>Material Torsion Testing Machine</t>
  </si>
  <si>
    <t>Torsion Testing Machine</t>
  </si>
  <si>
    <t>Torsional Strength Test Machine</t>
  </si>
  <si>
    <t>Hand Digital Torque Wrench Tester</t>
  </si>
  <si>
    <t>Bending Testing Machines</t>
  </si>
  <si>
    <t>Steel Bar Bend Tester</t>
  </si>
  <si>
    <t>Metal Wire Repeated Bending Tester</t>
  </si>
  <si>
    <t>Cement, Aggregate, Concrete &amp; Soil Testing</t>
  </si>
  <si>
    <t>Rock Direct Shear Testing Machine</t>
  </si>
  <si>
    <t>Gyratory Compactor</t>
  </si>
  <si>
    <t>Elastic Modulus Tester</t>
  </si>
  <si>
    <t>Resilient Modulus Tester</t>
  </si>
  <si>
    <t>Asphalt Dynamic Shear Rheometer</t>
  </si>
  <si>
    <t>Unconfined Compressive Strength Tester</t>
  </si>
  <si>
    <t>Cement Concrete Shrinkage Apparatus</t>
  </si>
  <si>
    <t>Cement Concrete Curing Room</t>
  </si>
  <si>
    <t>Bending Tensile Testing Machine</t>
  </si>
  <si>
    <t>Compression Shear Testing Machine</t>
  </si>
  <si>
    <t>Electro Hydraulic Servo Flexure Testing Machine</t>
  </si>
  <si>
    <t>Creep and Shrinkage Testing Machine</t>
  </si>
  <si>
    <t>Concrete Dynamic Elastic Modulus Tester</t>
  </si>
  <si>
    <t>Concrete Testing Machine</t>
  </si>
  <si>
    <t>Geotextile Testing Equipment</t>
  </si>
  <si>
    <t>Ultrasonic Rebound Tester</t>
  </si>
  <si>
    <t>High Speed Rail Automatic Rock Ballast Testing Machine</t>
  </si>
  <si>
    <t>Soil Triaxial Testing Machine</t>
  </si>
  <si>
    <t>Shear Strength Testing Machine</t>
  </si>
  <si>
    <t>Rock Testing Machine</t>
  </si>
  <si>
    <t>Other Testing Equipment</t>
  </si>
  <si>
    <t>Cupping Testing Machine</t>
  </si>
  <si>
    <t>Helmet Testing Machine</t>
  </si>
  <si>
    <t>Static Load Anchor Tester</t>
  </si>
  <si>
    <t>Insulator Mechanical Property Testing Machine</t>
  </si>
  <si>
    <t>Adhesion Testing Machine</t>
  </si>
  <si>
    <t>Spring Test Equipment</t>
  </si>
  <si>
    <t>Pressure Testing Machine</t>
  </si>
  <si>
    <t>Ring Stiffness Testing Machine</t>
  </si>
  <si>
    <t>Manhole Cover Compression Tester</t>
  </si>
  <si>
    <t>Pull Out Testing Machine</t>
  </si>
  <si>
    <t>Steel Pipe Scaffold Testing Machine</t>
  </si>
  <si>
    <t>Fuel Injection Pump Test Bench</t>
  </si>
  <si>
    <t>Bearing Testing Machine</t>
  </si>
  <si>
    <t>High Voltage Cable Air Cooling High Frequency Test</t>
  </si>
  <si>
    <t>High Voltage Cable Water Cooling Resonance Test</t>
  </si>
  <si>
    <t>Pipe Fittings Cyclic Pressure Test</t>
  </si>
  <si>
    <t>Disk Tube Insulator Mechanical and Electrical Performance Test</t>
  </si>
  <si>
    <t>Automatic Oscillation Impact Test System</t>
  </si>
  <si>
    <t>Central Control Type Forged Steel Automatic Ultrasonic Testing System</t>
  </si>
  <si>
    <t>Flow Resistance Test System</t>
  </si>
  <si>
    <t>Photoelectric Correction System for Profile Shape and Position Tolerance</t>
  </si>
  <si>
    <t>Priority</t>
  </si>
  <si>
    <t>Area</t>
  </si>
  <si>
    <t>Information Needed</t>
  </si>
  <si>
    <t>Why It Matters</t>
  </si>
  <si>
    <t>Recommended Format</t>
  </si>
  <si>
    <t>Suggested Owner</t>
  </si>
  <si>
    <t>Status</t>
  </si>
  <si>
    <t>Workbook Reference</t>
  </si>
  <si>
    <t>P0</t>
  </si>
  <si>
    <t>Product Data</t>
  </si>
  <si>
    <t>Product name and model</t>
  </si>
  <si>
    <t>Product Team</t>
  </si>
  <si>
    <t>Available</t>
  </si>
  <si>
    <t>Products!E:E</t>
  </si>
  <si>
    <t>Product category</t>
  </si>
  <si>
    <t>Products!B:B</t>
  </si>
  <si>
    <t>Partner / manufacturer</t>
  </si>
  <si>
    <t>Shows the represented brand and supports manufacturer filtering</t>
  </si>
  <si>
    <t>Official company name</t>
  </si>
  <si>
    <t>Management</t>
  </si>
  <si>
    <t>Products!C:C</t>
  </si>
  <si>
    <t>Country of origin</t>
  </si>
  <si>
    <t>Country name</t>
  </si>
  <si>
    <t>Products!D:D</t>
  </si>
  <si>
    <t>Product Content</t>
  </si>
  <si>
    <t>Short product description</t>
  </si>
  <si>
    <t>40-80 words; clear and customer-focused</t>
  </si>
  <si>
    <t>Marketing</t>
  </si>
  <si>
    <t>To Prepare</t>
  </si>
  <si>
    <t>Key features and benefits</t>
  </si>
  <si>
    <t>4-8 concise bullets</t>
  </si>
  <si>
    <t>Technical specifications</t>
  </si>
  <si>
    <t>Structured specification table with units</t>
  </si>
  <si>
    <t>Applications and industries</t>
  </si>
  <si>
    <t>3-8 applications and relevant industries</t>
  </si>
  <si>
    <t>Sales / Product Team</t>
  </si>
  <si>
    <t>Product Media</t>
  </si>
  <si>
    <t>Primary product image</t>
  </si>
  <si>
    <t>Approved JPG/WebP; white or clean background; at least 1600px</t>
  </si>
  <si>
    <t>Image library</t>
  </si>
  <si>
    <t>P1</t>
  </si>
  <si>
    <t>Additional images, diagrams, and accessories</t>
  </si>
  <si>
    <t>Improves product understanding and supports technical buyers</t>
  </si>
  <si>
    <t>2-6 approved images with descriptive file names</t>
  </si>
  <si>
    <t>Product Documents</t>
  </si>
  <si>
    <t>Datasheet or brochure</t>
  </si>
  <si>
    <t>Gives technical visitors a downloadable reference</t>
  </si>
  <si>
    <t>Current approved PDF with revision date</t>
  </si>
  <si>
    <t>Manuals, certificates, and compliance documents</t>
  </si>
  <si>
    <t>Supports qualification, tender, and procurement requirements</t>
  </si>
  <si>
    <t>PDF files; mark public versus request-only</t>
  </si>
  <si>
    <t>Quality / Product Team</t>
  </si>
  <si>
    <t>Product video or demonstration</t>
  </si>
  <si>
    <t>YouTube/Vimeo link or approved MP4</t>
  </si>
  <si>
    <t>Related products and accessories</t>
  </si>
  <si>
    <t>List related product names or IDs</t>
  </si>
  <si>
    <t>Conversion</t>
  </si>
  <si>
    <t>Product enquiry call-to-action</t>
  </si>
  <si>
    <t>Makes it clear what the visitor should do next</t>
  </si>
  <si>
    <t>Request Quote, Ask an Engineer, or Contact Sales</t>
  </si>
  <si>
    <t>Sales</t>
  </si>
  <si>
    <t>Enquiry routing by product or category</t>
  </si>
  <si>
    <t>Ensures leads reach the correct sales or technical person</t>
  </si>
  <si>
    <t>Email/CRM owner for each category</t>
  </si>
  <si>
    <t>Sales Management</t>
  </si>
  <si>
    <t>Commercial Rules</t>
  </si>
  <si>
    <t>Pricing and availability policy</t>
  </si>
  <si>
    <t>Prevents the website from showing incorrect commercial information</t>
  </si>
  <si>
    <t>Show price, request quote, or contact us; include territory rules</t>
  </si>
  <si>
    <t>Management / Sales</t>
  </si>
  <si>
    <t>Lead time and delivery wording</t>
  </si>
  <si>
    <t>Sets realistic expectations without making unsupported promises</t>
  </si>
  <si>
    <t>Approved standard wording or omit from public page</t>
  </si>
  <si>
    <t>Operations / Sales</t>
  </si>
  <si>
    <t>Company Content</t>
  </si>
  <si>
    <t>Company profile and value proposition</t>
  </si>
  <si>
    <t>Explains why customers should work with your company</t>
  </si>
  <si>
    <t>100-250 words plus 3-5 differentiators</t>
  </si>
  <si>
    <t>Management / Marketing</t>
  </si>
  <si>
    <t>Services and capabilities</t>
  </si>
  <si>
    <t>Clarifies supply, consulting, installation, training, and support services</t>
  </si>
  <si>
    <t>Dedicated service sections with clear scope</t>
  </si>
  <si>
    <t>Partner brands and authorization status</t>
  </si>
  <si>
    <t>Builds trust and prevents incorrect representation</t>
  </si>
  <si>
    <t>Approved logo, relationship description, and territory</t>
  </si>
  <si>
    <t>Industries served</t>
  </si>
  <si>
    <t>Helps customers recognize relevant expertise</t>
  </si>
  <si>
    <t>Industry list with short examples</t>
  </si>
  <si>
    <t>Sales / Marketing</t>
  </si>
  <si>
    <t>Trust Content</t>
  </si>
  <si>
    <t>Projects, case studies, and customer references</t>
  </si>
  <si>
    <t>Demonstrates experience and real-world results</t>
  </si>
  <si>
    <t>Problem, solution, product, result; obtain customer approval</t>
  </si>
  <si>
    <t>Case study library</t>
  </si>
  <si>
    <t>Certifications, registrations, and memberships</t>
  </si>
  <si>
    <t>Supports credibility and vendor qualification</t>
  </si>
  <si>
    <t>Approved certificate names, numbers, and expiry dates</t>
  </si>
  <si>
    <t>Quality / Management</t>
  </si>
  <si>
    <t>Compliance library</t>
  </si>
  <si>
    <t>Contact Information</t>
  </si>
  <si>
    <t>Official contact details</t>
  </si>
  <si>
    <t>Ensures customers can reach the correct company location</t>
  </si>
  <si>
    <t>Phone, email, address, map link, business hours</t>
  </si>
  <si>
    <t>Administration</t>
  </si>
  <si>
    <t>Brand</t>
  </si>
  <si>
    <t>Logo and brand guidelines</t>
  </si>
  <si>
    <t>Keeps design consistent across pages and documents</t>
  </si>
  <si>
    <t>SVG/PNG logo, colors, fonts, usage rules</t>
  </si>
  <si>
    <t>Brand assets</t>
  </si>
  <si>
    <t>Approved company photography</t>
  </si>
  <si>
    <t>Makes the site credible and avoids generic imagery</t>
  </si>
  <si>
    <t>Team, office, facility, installation, and application photos</t>
  </si>
  <si>
    <t>Site Structure</t>
  </si>
  <si>
    <t>Sitemap and navigation</t>
  </si>
  <si>
    <t>Defines how visitors find companies, categories, products, and services</t>
  </si>
  <si>
    <t>Management / Web Team</t>
  </si>
  <si>
    <t>Priority pages for first release</t>
  </si>
  <si>
    <t>Controls project scope and prevents launch delays</t>
  </si>
  <si>
    <t>MVP page list ranked P0/P1/P2</t>
  </si>
  <si>
    <t>Language</t>
  </si>
  <si>
    <t>English and Arabic content plan</t>
  </si>
  <si>
    <t>Defines which pages require translation and who approves it</t>
  </si>
  <si>
    <t>Language by page; use professional technical translation</t>
  </si>
  <si>
    <t>SEO</t>
  </si>
  <si>
    <t>Page URL slug</t>
  </si>
  <si>
    <t>Lowercase words separated by hyphens</t>
  </si>
  <si>
    <t>Web / SEO Team</t>
  </si>
  <si>
    <t>SEO title and meta description</t>
  </si>
  <si>
    <t>Title about 50-60 characters; description about 140-160</t>
  </si>
  <si>
    <t>Marketing / SEO</t>
  </si>
  <si>
    <t>Target search keywords</t>
  </si>
  <si>
    <t>Primary keyword plus 3-8 related phrases</t>
  </si>
  <si>
    <t>Sales / SEO</t>
  </si>
  <si>
    <t>Image alt text</t>
  </si>
  <si>
    <t>Improves accessibility and image search visibility</t>
  </si>
  <si>
    <t>Describe the actual product/image without keyword stuffing</t>
  </si>
  <si>
    <t>Marketing / Web Team</t>
  </si>
  <si>
    <t>Forms &amp; CRM</t>
  </si>
  <si>
    <t>Enquiry form fields</t>
  </si>
  <si>
    <t>Collects enough information to qualify and respond to leads</t>
  </si>
  <si>
    <t>Name, company, email, phone, product, country, message, consent</t>
  </si>
  <si>
    <t>Sales / Web Team</t>
  </si>
  <si>
    <t>CRM or email integration</t>
  </si>
  <si>
    <t>Prevents enquiries from being lost and enables follow-up tracking</t>
  </si>
  <si>
    <t>Destination inbox, CRM fields, notifications, and auto-response</t>
  </si>
  <si>
    <t>Sales / IT</t>
  </si>
  <si>
    <t>Integration specification</t>
  </si>
  <si>
    <t>Technical Access</t>
  </si>
  <si>
    <t>Domain, DNS, hosting, and CMS access</t>
  </si>
  <si>
    <t>Allows the development team to configure and deploy the site</t>
  </si>
  <si>
    <t>Secure access through approved password-sharing method</t>
  </si>
  <si>
    <t>IT / Management</t>
  </si>
  <si>
    <t>Access register</t>
  </si>
  <si>
    <t>Administrator roles and permissions</t>
  </si>
  <si>
    <t>Protects the website while allowing controlled updates</t>
  </si>
  <si>
    <t>List admins, editors, approvers, and external developers</t>
  </si>
  <si>
    <t>Analytics</t>
  </si>
  <si>
    <t>Analytics and search tools</t>
  </si>
  <si>
    <t>Measures traffic, enquiries, and search performance</t>
  </si>
  <si>
    <t>Analytics account, Search Console, conversion events</t>
  </si>
  <si>
    <t>Analytics plan</t>
  </si>
  <si>
    <t>Legal &amp; Privacy</t>
  </si>
  <si>
    <t>Privacy policy, cookie consent, and terms</t>
  </si>
  <si>
    <t>Supports legal compliance and transparent data collection</t>
  </si>
  <si>
    <t>Approved legal text and cookie categories</t>
  </si>
  <si>
    <t>Management / Legal</t>
  </si>
  <si>
    <t>Legal approval</t>
  </si>
  <si>
    <t>Security</t>
  </si>
  <si>
    <t>Security, backups, and recovery plan</t>
  </si>
  <si>
    <t>Reduces risk of hacking, data loss, and extended downtime</t>
  </si>
  <si>
    <t>SSL, updates, firewall, backups, restore test, incident contact</t>
  </si>
  <si>
    <t>IT / Web Team</t>
  </si>
  <si>
    <t>Technical plan</t>
  </si>
  <si>
    <t>Quality</t>
  </si>
  <si>
    <t>Mobile, speed, accessibility, and browser requirements</t>
  </si>
  <si>
    <t>Defines the quality standard before launch</t>
  </si>
  <si>
    <t>Mobile-first; performance targets; WCAG basics; browser list</t>
  </si>
  <si>
    <t>Web Team</t>
  </si>
  <si>
    <t>Acceptance criteria</t>
  </si>
  <si>
    <t>Governance</t>
  </si>
  <si>
    <t>Content approval owner</t>
  </si>
  <si>
    <t>Prevents unapproved technical or commercial claims from being published</t>
  </si>
  <si>
    <t>Name one final approver and specialist reviewers</t>
  </si>
  <si>
    <t>Approval workflow</t>
  </si>
  <si>
    <t>Launch schedule and milestones</t>
  </si>
  <si>
    <t>Keeps content, development, testing, and approvals coordinated</t>
  </si>
  <si>
    <t>Content freeze, testing, approval, launch, post-launch review</t>
  </si>
  <si>
    <t>Project Owner</t>
  </si>
  <si>
    <t>Project timeline</t>
  </si>
  <si>
    <t>Ongoing website maintenance owner</t>
  </si>
  <si>
    <t>Keeps products, documents, security, and contact details current</t>
  </si>
  <si>
    <t>Monthly content review and technical maintenance responsibility</t>
  </si>
  <si>
    <t>Maintenance plan</t>
  </si>
  <si>
    <t>Page / Area</t>
  </si>
  <si>
    <t>Section</t>
  </si>
  <si>
    <t>Content Type</t>
  </si>
  <si>
    <t>Website Copy</t>
  </si>
  <si>
    <t>Tagline</t>
  </si>
  <si>
    <t>Home</t>
  </si>
  <si>
    <t>Hero</t>
  </si>
  <si>
    <t>Headline</t>
  </si>
  <si>
    <t>Primary call to action</t>
  </si>
  <si>
    <t>Secondary call to action</t>
  </si>
  <si>
    <t>Value Proposition</t>
  </si>
  <si>
    <t>Leadership</t>
  </si>
  <si>
    <t>Products</t>
  </si>
  <si>
    <t>Services</t>
  </si>
  <si>
    <t>Overview</t>
  </si>
  <si>
    <t>Page introduction</t>
  </si>
  <si>
    <t>Contact</t>
  </si>
  <si>
    <t>Phone</t>
  </si>
  <si>
    <t>Business hours</t>
  </si>
  <si>
    <t>SEO title</t>
  </si>
  <si>
    <t>Draft - SEO review</t>
  </si>
  <si>
    <t>Meta description</t>
  </si>
  <si>
    <t>Action required</t>
  </si>
  <si>
    <t>Management / legal confirmation</t>
  </si>
  <si>
    <t>sta-1000-1600-simultaneous-thermal-analyzer-tga-dsc</t>
  </si>
  <si>
    <t>tga-1000-1600-thermogravimetric-analyzer</t>
  </si>
  <si>
    <t>tc3500s-carbon-black-content-tester</t>
  </si>
  <si>
    <t>dta-1000-1600-differential-thermal-analyzer</t>
  </si>
  <si>
    <t>dsc-600-high-precision-differential-scanning-calorimeter</t>
  </si>
  <si>
    <t>dsc-600a-differential-scanning-calorimeter</t>
  </si>
  <si>
    <t>hfm50-300-thermal-conductivity-tester</t>
  </si>
  <si>
    <t>lfa-1600-laser-flash-thermal-conductivity-and-diffusivity-tester</t>
  </si>
  <si>
    <t>tuber-200-pipe-insulation-thermal-conductivity-tester</t>
  </si>
  <si>
    <t>sb-850-seebeck-and-electrical-resistivity-test-device</t>
  </si>
  <si>
    <t>ths-200-thermal-conductivity-tester</t>
  </si>
  <si>
    <t>tps-500-thermal-conductivity-tester-transient-plane-heat-source</t>
  </si>
  <si>
    <t>hfm-300-600-series-heat-flow-meter</t>
  </si>
  <si>
    <t>hfm1600-high-temperature-thermal-conductivity-tester</t>
  </si>
  <si>
    <t>dil-series-linear-thermal-expansion-coefficient-tester</t>
  </si>
  <si>
    <t>dil-optical-sintering-point-tester-optical-dilatometer</t>
  </si>
  <si>
    <t>dil-q-quenching-deformation-dilatometer</t>
  </si>
  <si>
    <t>dil-d-series-thermal-expansion-dilatometer</t>
  </si>
  <si>
    <t>dil-c-series-cryogenic-thermal-expansion-dilatometer</t>
  </si>
  <si>
    <t>crumpleflex-fabric-flexing-tester</t>
  </si>
  <si>
    <t>ul94-horizontal-vertical-flame-chamber</t>
  </si>
  <si>
    <t>aura-ii-lpg-vaporizer</t>
  </si>
  <si>
    <t>zephyr-ii-automated-gas-dilutor</t>
  </si>
  <si>
    <t>chrozen-hplc</t>
  </si>
  <si>
    <t>chrozen-gc</t>
  </si>
  <si>
    <t>chrozen-gc-vuv</t>
  </si>
  <si>
    <t>chrozen-uhplc</t>
  </si>
  <si>
    <t>aquapuri-511</t>
  </si>
  <si>
    <t>aquapuri-521</t>
  </si>
  <si>
    <t>3x00a-series-liquid-autosampler</t>
  </si>
  <si>
    <t>gas-analyzer</t>
  </si>
  <si>
    <t>hand-sanitizer-analyzer</t>
  </si>
  <si>
    <t>chrozen-astm-d4815-player</t>
  </si>
  <si>
    <t>chrozen-astm-d5580-player</t>
  </si>
  <si>
    <t>chrozen-usp-467-player-residual-solvent-analyzer</t>
  </si>
  <si>
    <t>chrozen-astm-d1945-player</t>
  </si>
  <si>
    <t>chrozen-pal-rsi-rtc-multiple-injection-autosampler</t>
  </si>
  <si>
    <t>chrozen-pal-lsi-system</t>
  </si>
  <si>
    <t>ace-1100-imr-ms</t>
  </si>
  <si>
    <t>aquapuri-essence</t>
  </si>
  <si>
    <t>chrozen-pal-rsi-rtc-spme-arrow</t>
  </si>
  <si>
    <t>aquapuri-essence-2</t>
  </si>
  <si>
    <t>chrozen-ic-modules</t>
  </si>
  <si>
    <t>mass-spectra-designer-drugs-2023</t>
  </si>
  <si>
    <t>mass-spectral-library-of-drugs-poisons-pesticides-pollutants-and-metabolites-5th-edition</t>
  </si>
  <si>
    <t>aquapuri-541</t>
  </si>
  <si>
    <t>chrozen-ic-consumables-columns-and-suppressors</t>
  </si>
  <si>
    <t>aquapuri-551</t>
  </si>
  <si>
    <t>biodiesel-analyzer</t>
  </si>
  <si>
    <t>phthalate-analyzer</t>
  </si>
  <si>
    <t>fatty-acid-analyzer</t>
  </si>
  <si>
    <t>voc-analyzer</t>
  </si>
  <si>
    <t>sulfur-analyzer</t>
  </si>
  <si>
    <t>residual-solvent-analyzer</t>
  </si>
  <si>
    <t>residual-pesticide-analyzer</t>
  </si>
  <si>
    <t>yl28xt-all-in-one-autosampler</t>
  </si>
  <si>
    <t>yl2x00h-headspace-autosampler</t>
  </si>
  <si>
    <t>versa-headspace-autosampler</t>
  </si>
  <si>
    <t>ht3-static-and-dynamic-headspace-autosampler</t>
  </si>
  <si>
    <t>chrozen-pal-rsi-rtc-spme-fiber</t>
  </si>
  <si>
    <t>pyroprobe-6000-series-pyrolyzer</t>
  </si>
  <si>
    <t>valves</t>
  </si>
  <si>
    <t>lumin-purge-and-trap-concentrator</t>
  </si>
  <si>
    <t>aquatek-lva-waters-only-autosampler</t>
  </si>
  <si>
    <t>atomx-xyz-automated-voc-sample-prep-system</t>
  </si>
  <si>
    <t>yl-clarity-chromatography-data-system</t>
  </si>
  <si>
    <t>chrozen-gpc-system</t>
  </si>
  <si>
    <t>chrozen-hplc-semi-prep</t>
  </si>
  <si>
    <t>amino-acid-analyzer</t>
  </si>
  <si>
    <t>carbamate-analyzer</t>
  </si>
  <si>
    <t>catecholamine-analyzer</t>
  </si>
  <si>
    <t>polyphenol-analyzer</t>
  </si>
  <si>
    <t>sugar-analyzer</t>
  </si>
  <si>
    <t>preservative-analyzer</t>
  </si>
  <si>
    <t>vitamin-analyzer</t>
  </si>
  <si>
    <t>qga-2-0</t>
  </si>
  <si>
    <t>hpr-20-r-and-d</t>
  </si>
  <si>
    <t>hpr-20-tms</t>
  </si>
  <si>
    <t>hpr-20-ega</t>
  </si>
  <si>
    <t>catlab-pcs</t>
  </si>
  <si>
    <t>tdslab-series</t>
  </si>
  <si>
    <t>spacims</t>
  </si>
  <si>
    <t>hpr-40-mims</t>
  </si>
  <si>
    <t>pqa-portable-quadrupole-analyser</t>
  </si>
  <si>
    <t>qic-biostream</t>
  </si>
  <si>
    <t>hpr-40-dems</t>
  </si>
  <si>
    <t>hpr-20-oems</t>
  </si>
  <si>
    <t>fib-sims</t>
  </si>
  <si>
    <t>las-leak-analysis-system</t>
  </si>
  <si>
    <t>rga-series</t>
  </si>
  <si>
    <t>hal-101x-rc</t>
  </si>
  <si>
    <t>halo-201-mbe</t>
  </si>
  <si>
    <t>dls-20</t>
  </si>
  <si>
    <t>hpr-30-series</t>
  </si>
  <si>
    <t>eqp-series</t>
  </si>
  <si>
    <t>espion</t>
  </si>
  <si>
    <t>imp-epd</t>
  </si>
  <si>
    <t>sims-workstation</t>
  </si>
  <si>
    <t>autosims</t>
  </si>
  <si>
    <t>compact-sims</t>
  </si>
  <si>
    <t>tof-qsims-workstation</t>
  </si>
  <si>
    <t>dual-polarity-sims-workstation</t>
  </si>
  <si>
    <t>hpr-60-mbms</t>
  </si>
  <si>
    <t>xbs</t>
  </si>
  <si>
    <t>dls-1</t>
  </si>
  <si>
    <t>dls-2-dls-2x</t>
  </si>
  <si>
    <t>massoft-professional</t>
  </si>
  <si>
    <t>qgasoft</t>
  </si>
  <si>
    <t>egasoft</t>
  </si>
  <si>
    <t>catlab-software</t>
  </si>
  <si>
    <t>tpdsoft</t>
  </si>
  <si>
    <t>catalytic-fixed-bed-reactor-system</t>
  </si>
  <si>
    <t>hydrothermal-reactor</t>
  </si>
  <si>
    <t>membrane-reactor-system</t>
  </si>
  <si>
    <t>cstr-reactor-system</t>
  </si>
  <si>
    <t>split-tube-furnace</t>
  </si>
  <si>
    <t>automated-integral-reactor</t>
  </si>
  <si>
    <t>fixed-bed-system</t>
  </si>
  <si>
    <t>stirred-tank-system</t>
  </si>
  <si>
    <t>fluidized-bed-system</t>
  </si>
  <si>
    <t>tubular-reactor-system</t>
  </si>
  <si>
    <t>pyrolysis-reactor-system</t>
  </si>
  <si>
    <t>polymerization-reactor-system</t>
  </si>
  <si>
    <t>custom-designed-reactor-process-system</t>
  </si>
  <si>
    <t>demonstration-plant</t>
  </si>
  <si>
    <t>add-filament-winding-system</t>
  </si>
  <si>
    <t>afp-xs</t>
  </si>
  <si>
    <t>afp-x</t>
  </si>
  <si>
    <t>addx</t>
  </si>
  <si>
    <t>addpath</t>
  </si>
  <si>
    <t>addprint</t>
  </si>
  <si>
    <t>addcell</t>
  </si>
  <si>
    <t>2-mega-pixel-machine-vision-lens</t>
  </si>
  <si>
    <t>3-mega-pixel-machine-vision-lens</t>
  </si>
  <si>
    <t>5-mega-pixel-machine-vision-lens</t>
  </si>
  <si>
    <t>8-mega-pixel-machine-vision-lens</t>
  </si>
  <si>
    <t>10-mega-pixel-machine-vision-lens</t>
  </si>
  <si>
    <t>12-mega-pixel-machine-vision-lens</t>
  </si>
  <si>
    <t>20-mega-pixel-machine-vision-lens</t>
  </si>
  <si>
    <t>25-mega-pixel-machine-vision-lens</t>
  </si>
  <si>
    <t>65mm-standard-resolution-telecentric-lens</t>
  </si>
  <si>
    <t>110mm-standard-resolution-telecentric-lens</t>
  </si>
  <si>
    <t>standard-resolution-telecentric-lens</t>
  </si>
  <si>
    <t>65mm-high-resolution-telecentric-lens</t>
  </si>
  <si>
    <t>110mm-high-resolution-telecentric-lens</t>
  </si>
  <si>
    <t>high-resolution-telecentric-lens</t>
  </si>
  <si>
    <t>bt-10-series-bi-telecentric-lens</t>
  </si>
  <si>
    <t>bt-23-series-bi-telecentric-lens</t>
  </si>
  <si>
    <t>bt-43-series-bi-telecentric-lens</t>
  </si>
  <si>
    <t>360-degree-internal-inspection-lens</t>
  </si>
  <si>
    <t>360-degree-external-inspection-lens</t>
  </si>
  <si>
    <t>lm-series-low-magnification-line-scan-lens</t>
  </si>
  <si>
    <t>lc-series-low-magnification-line-scan-lens</t>
  </si>
  <si>
    <t>ls-series-low-magnification-line-scan-lens</t>
  </si>
  <si>
    <t>1-inch-fixed-focus-shortwave-lens-series-900-1700nm</t>
  </si>
  <si>
    <t>2-3-inch-fixed-focus-shortwave-lens-series</t>
  </si>
  <si>
    <t>1-inch-continuous-zoom-shortwave-lens-series</t>
  </si>
  <si>
    <t>ae-series-gige-industrial-area-scan-camera</t>
  </si>
  <si>
    <t>medium-and-high-speed-line-scan-camera</t>
  </si>
  <si>
    <t>linescan-series-high-resolution-line-scan-camera</t>
  </si>
  <si>
    <t>concentrating-hyperspectral-camera</t>
  </si>
  <si>
    <t>push-broom-hyperspectral-camera-2nm</t>
  </si>
  <si>
    <t>push-broom-hyperspectral-camera-3nm</t>
  </si>
  <si>
    <t>lano-sp900-1700b-push-broom-hyperspectral-camera</t>
  </si>
  <si>
    <t>airborne-multispectral-ptz-camera</t>
  </si>
  <si>
    <t>8-channel-video-spectrum-camera</t>
  </si>
  <si>
    <t>4-channel-video-spectrum-camera</t>
  </si>
  <si>
    <t>lano-hsc20-25000g</t>
  </si>
  <si>
    <t>lano-hsc131-1000000g</t>
  </si>
  <si>
    <t>2mp-high-resolution-high-speed-video-camera</t>
  </si>
  <si>
    <t>lano-hsc-series-ultra-data-throughput-high-speed-cameras</t>
  </si>
  <si>
    <t>coaxial-lighting-source</t>
  </si>
  <si>
    <t>angle-coaxial-light-source</t>
  </si>
  <si>
    <t>high-brightness-high-power-ring-light</t>
  </si>
  <si>
    <t>bi-directional-shadowless-high-angle-ring-light</t>
  </si>
  <si>
    <t>shadowless-ring-low-angle-light-source</t>
  </si>
  <si>
    <t>multidirectional-shadowless-ring-light-source</t>
  </si>
  <si>
    <t>highlight-shadowless-ring-light</t>
  </si>
  <si>
    <t>tricolor-ring-light-source</t>
  </si>
  <si>
    <t>square-shadowless-light</t>
  </si>
  <si>
    <t>uv-ir-light-source</t>
  </si>
  <si>
    <t>aoi-light-source</t>
  </si>
  <si>
    <t>spherical-light-source</t>
  </si>
  <si>
    <t>multispectral-camera</t>
  </si>
  <si>
    <t>0-5m-resolution-visible-light-camera</t>
  </si>
  <si>
    <t>0-9m-resolution-visible-light-camera</t>
  </si>
  <si>
    <t>0-3m-resolution-visible-light-4m-long-wave-infrared-camera</t>
  </si>
  <si>
    <t>2-5m-resolution-wide-frame-camera</t>
  </si>
  <si>
    <t>2m-resolution-visible-light-multispectral-wide-field-camera</t>
  </si>
  <si>
    <t>space-target-detection-camera</t>
  </si>
  <si>
    <t>spaceborne-selfie-camera</t>
  </si>
  <si>
    <t>4m-resolution-visible-multispectral-camera</t>
  </si>
  <si>
    <t>ultra-high-accuracy-rd01-star-sensor</t>
  </si>
  <si>
    <t>ultra-high-accuracy-rd12-star-sensor</t>
  </si>
  <si>
    <t>ultra-lightweight-rd003-sun-sensor</t>
  </si>
  <si>
    <t>ultra-lightweight-and-high-dynamic-rd02-3-star-sensor</t>
  </si>
  <si>
    <t>nano-type-rd04-star-sensor</t>
  </si>
  <si>
    <t>dual-light-source-4-axis-integrated-fiber-optic-gyroscope-combination</t>
  </si>
  <si>
    <t>3-orthogonal-high-precision-fiber-optic-gyroscope-combination</t>
  </si>
  <si>
    <t>3-orthogonal-1-oblique-mounted-high-precision-fiber-optic-gyroscope-combination</t>
  </si>
  <si>
    <t>micro-fiber-gyroscope-combination-star-w-standard</t>
  </si>
  <si>
    <t>micro-fiber-gyroscope-combination</t>
  </si>
  <si>
    <t>very-high-precision-fiber-optic-gyroscope-combination</t>
  </si>
  <si>
    <t>3-orthogonal-1-oblique-mounted-hemispherical-gyroscope-attitude-sensor</t>
  </si>
  <si>
    <t>micro-mechanical-inertial-unit</t>
  </si>
  <si>
    <t>high-precision-plus-table-combination</t>
  </si>
  <si>
    <t>ferrofluid-angular-velocity-sensor</t>
  </si>
  <si>
    <t>ferrofluid-angular-velocity-sensor-2</t>
  </si>
  <si>
    <t>80mnms-three-axis-integrated-micro-flywheel</t>
  </si>
  <si>
    <t>200mnms-three-axis-integrated-micro-flywheel</t>
  </si>
  <si>
    <t>300mnms-single-axis-micro-flywheel</t>
  </si>
  <si>
    <t>600mnms-single-axis-micro-flywheel</t>
  </si>
  <si>
    <t>universal-160-reaction-flywheel</t>
  </si>
  <si>
    <t>universal-8nms-flywheel-star-w-standard</t>
  </si>
  <si>
    <t>universal-260-reaction-flywheel</t>
  </si>
  <si>
    <t>universal-350-reaction-flywheel</t>
  </si>
  <si>
    <t>1nm-strong-torque-reaction-flywheel</t>
  </si>
  <si>
    <t>12-25nms-momentum-wheel-analog-quantity</t>
  </si>
  <si>
    <t>50-68nms-momentum-wheel-analog-quantity</t>
  </si>
  <si>
    <t>20nms-dual-mode-flywheel</t>
  </si>
  <si>
    <t>2-5nms-single-frame-control-moment-gyroscope</t>
  </si>
  <si>
    <t>10nms-control-moment-gyroscope</t>
  </si>
  <si>
    <t>15nms-single-frame-control-moment-gyroscope</t>
  </si>
  <si>
    <t>triaxial-magnetometer</t>
  </si>
  <si>
    <t>magnetic-torquer</t>
  </si>
  <si>
    <t>magnetic-torquer-2</t>
  </si>
  <si>
    <t>magnetic-torquer-3</t>
  </si>
  <si>
    <t>pointing-mirror-laser-communication-terminal</t>
  </si>
  <si>
    <t>pointing-mirror-laser-communication-terminal-2</t>
  </si>
  <si>
    <t>two-dimensional-rotary-laser-communication-terminal</t>
  </si>
  <si>
    <t>two-dimensional-rotary-laser-communication-terminal-2</t>
  </si>
  <si>
    <t>two-dimensional-rotary-laser-communication-terminal-3</t>
  </si>
  <si>
    <t>two-dimensional-rotary-laser-communication-terminal-4</t>
  </si>
  <si>
    <t>micro-nano-satellite-borne-laser-communication-terminal</t>
  </si>
  <si>
    <t>airborne-laser-communication-terminal</t>
  </si>
  <si>
    <t>5g-laser-communication-terminal-between-base-stations</t>
  </si>
  <si>
    <t>portable-laser-communication-terminal</t>
  </si>
  <si>
    <t>underwater-laser-communication-terminal</t>
  </si>
  <si>
    <t>vehicle-mounted-laser-communication-terminal</t>
  </si>
  <si>
    <t>13-meter-fixed-station-antenna</t>
  </si>
  <si>
    <t>9-0-meter-fixed-station-antenna</t>
  </si>
  <si>
    <t>fixed-station-antenna-3-7-7-3m</t>
  </si>
  <si>
    <t>fixed-station-antenna-1-8-3-0m</t>
  </si>
  <si>
    <t>portable-station-antenna-series</t>
  </si>
  <si>
    <t>box-type-portable-station-series</t>
  </si>
  <si>
    <t>move-pause-communication-series</t>
  </si>
  <si>
    <t>remote-sensing-telemetry-and-control-antenna-feed-system</t>
  </si>
  <si>
    <t>radome-series</t>
  </si>
  <si>
    <t>satellite-communication-terminal-manual</t>
  </si>
  <si>
    <t>satellite-communication-terminal-automatic</t>
  </si>
  <si>
    <t>satellite-communication-terminal-tablet-communication-terminal</t>
  </si>
  <si>
    <t>scatter-communication-terminals</t>
  </si>
  <si>
    <t>antennas-in-motion</t>
  </si>
  <si>
    <t>customized-antennas</t>
  </si>
  <si>
    <t>segmented-satellite-platform</t>
  </si>
  <si>
    <t>four-push-integrated-resistor-system</t>
  </si>
  <si>
    <t>optical-parts</t>
  </si>
  <si>
    <t>high-pressure-and-temperature-syringe-pumps</t>
  </si>
  <si>
    <t>computerized-integrated-syringe-pumps</t>
  </si>
  <si>
    <t>manual-syringe-pumps</t>
  </si>
  <si>
    <t>membrane-accumulators</t>
  </si>
  <si>
    <t>autoclave</t>
  </si>
  <si>
    <t>chemical-reactors</t>
  </si>
  <si>
    <t>automated-pilot-plants</t>
  </si>
  <si>
    <t>high-pressure-cell</t>
  </si>
  <si>
    <t>chemical-process-equipment</t>
  </si>
  <si>
    <t>sfe-systems</t>
  </si>
  <si>
    <t>sas-systems</t>
  </si>
  <si>
    <t>hydrothermal-synthesis</t>
  </si>
  <si>
    <t>high-pressure-autoclaves</t>
  </si>
  <si>
    <t>high-pressure-cells</t>
  </si>
  <si>
    <t>isostatic-pressing</t>
  </si>
  <si>
    <t>surface-and-thermal-treatment</t>
  </si>
  <si>
    <t>high-pressure-generator-booster-compressor</t>
  </si>
  <si>
    <t>high-pressure-hydrogen-gas-rigs</t>
  </si>
  <si>
    <t>core-holder</t>
  </si>
  <si>
    <t>gas-permeability</t>
  </si>
  <si>
    <t>mercury-free-porosimeter</t>
  </si>
  <si>
    <t>fluid-characterization-pvt</t>
  </si>
  <si>
    <t>microfluidics</t>
  </si>
  <si>
    <t>rock-acoustics</t>
  </si>
  <si>
    <t>gas-hydrate</t>
  </si>
  <si>
    <t>mechanical-characterization-under-high-confinement</t>
  </si>
  <si>
    <t>thermal-treatment-under-pressure</t>
  </si>
  <si>
    <t>co2-geological-storage</t>
  </si>
  <si>
    <t>salt-core-method</t>
  </si>
  <si>
    <t>desorption-and-diffusion</t>
  </si>
  <si>
    <t>hydrothermal-synthesis-2</t>
  </si>
  <si>
    <t>characterisation-of-poro-visco-elastic-properties</t>
  </si>
  <si>
    <t>diffusion-test</t>
  </si>
  <si>
    <t>primary-absorption</t>
  </si>
  <si>
    <t>dimensional-stability-on-specimens</t>
  </si>
  <si>
    <t>high-pressure-temperature-rotational-rheometer</t>
  </si>
  <si>
    <t>horizontal-triaxial-gas-apparatus</t>
  </si>
  <si>
    <t>creep-apparatus</t>
  </si>
  <si>
    <t>hp-ht-core-holder-with-confining-pressure</t>
  </si>
  <si>
    <t>large-gas-permeameter</t>
  </si>
  <si>
    <t>high-temperature-triaxial-cell</t>
  </si>
  <si>
    <t>gas-permeability-coupled-with-raman-spectrometer</t>
  </si>
  <si>
    <t>onshore-hydrocarbon-production-simulator</t>
  </si>
  <si>
    <t>electro-mechanical-compaction-of-plug-core</t>
  </si>
  <si>
    <t>large-scale-gas-permeameter-with-x-ray-tomography</t>
  </si>
  <si>
    <t>foam-qualification-cell-dfcd</t>
  </si>
  <si>
    <t>corrosion-duplex-static-cyclic-salt-water</t>
  </si>
  <si>
    <t>sulfide-stress-cracking-corrosion-test-cells</t>
  </si>
  <si>
    <t>horizontal-test-vessels</t>
  </si>
  <si>
    <t>test-loop</t>
  </si>
  <si>
    <t>hp-ht-scratching-device</t>
  </si>
  <si>
    <t>basic-dynamic-loop</t>
  </si>
  <si>
    <t>dynamic-loop-with-mass-loss-device</t>
  </si>
  <si>
    <t>full-option-dynamic-loop</t>
  </si>
  <si>
    <t>graphene-coating-corrosion-resistance</t>
  </si>
  <si>
    <t>electrochemical-corrosion-cell</t>
  </si>
  <si>
    <t>supercritical-fluids-co2</t>
  </si>
  <si>
    <t>supercritical-fluid-extraction</t>
  </si>
  <si>
    <t>supercritical-impregnation</t>
  </si>
  <si>
    <t>supercritical-reactor</t>
  </si>
  <si>
    <t>supercritical-fluid-chromatography</t>
  </si>
  <si>
    <t>high-pressure-reactors-in-brine-dedicated-to-supercritical-fluids</t>
  </si>
  <si>
    <t>supercritical-antisolvent-process</t>
  </si>
  <si>
    <t>particle-generation-systems</t>
  </si>
  <si>
    <t>nuclearized-high-pressure-co2-pumps</t>
  </si>
  <si>
    <t>golden-gate-atr</t>
  </si>
  <si>
    <t>quest-atr-accessory</t>
  </si>
  <si>
    <t>silver-gate-atr-accessory</t>
  </si>
  <si>
    <t>gladiatr-atr-accessory</t>
  </si>
  <si>
    <t>gateway-atr-accessory</t>
  </si>
  <si>
    <t>transmission-accessory</t>
  </si>
  <si>
    <t>vacuum-jacketed-gas-cells</t>
  </si>
  <si>
    <t>storm-heated-cell</t>
  </si>
  <si>
    <t>heated-jacketed-sample-cup</t>
  </si>
  <si>
    <t>water-heating-jacket</t>
  </si>
  <si>
    <t>pearl-liquid-transmission-accessory</t>
  </si>
  <si>
    <t>omni-cell-specacell</t>
  </si>
  <si>
    <t>cyclone-gas-cell</t>
  </si>
  <si>
    <t>atmospheric-gas-cells</t>
  </si>
  <si>
    <t>pearl-demountable-cell</t>
  </si>
  <si>
    <t>high-pressure-liquid-transmission-cell</t>
  </si>
  <si>
    <t>short-pathlength-gas-cell</t>
  </si>
  <si>
    <t>demountable-liquid-cells</t>
  </si>
  <si>
    <t>spectrum-3-automatic-filter-wheel</t>
  </si>
  <si>
    <t>advanced-solid-sample-kit</t>
  </si>
  <si>
    <t>nir-liquid-and-solid-sampling-system</t>
  </si>
  <si>
    <t>drifts-mini-diff-plus</t>
  </si>
  <si>
    <t>praying-mantis-drifts</t>
  </si>
  <si>
    <t>selector-diffuse-reflectance</t>
  </si>
  <si>
    <t>tornado-long-path-gas-cell</t>
  </si>
  <si>
    <t>long-path-gases-heated-cell</t>
  </si>
  <si>
    <t>tornado-long-path-heated-cells</t>
  </si>
  <si>
    <t>minion-high-temperature-analysis</t>
  </si>
  <si>
    <t>variable-angle-reflectance-accessory</t>
  </si>
  <si>
    <t>accessory-for-transmission-and-variable-reflectance</t>
  </si>
  <si>
    <t>monolayer-grazing-angle-accessory</t>
  </si>
  <si>
    <t>external-sample-module</t>
  </si>
  <si>
    <t>flyer-series</t>
  </si>
  <si>
    <t>vacuum-pellet-presses</t>
  </si>
  <si>
    <t>hpht-cell</t>
  </si>
  <si>
    <t>xrd-sample-holders</t>
  </si>
  <si>
    <t>transmission-sample-holders</t>
  </si>
  <si>
    <t>manual-hydraulic-pellet-press</t>
  </si>
  <si>
    <t>25t-atlas-automatic-pellet-press</t>
  </si>
  <si>
    <t>15t-atlas-power-press</t>
  </si>
  <si>
    <t>40t-atlas-power-press</t>
  </si>
  <si>
    <t>atlas-autotouch-press</t>
  </si>
  <si>
    <t>atlas-e-series-electric-hydraulic-press</t>
  </si>
  <si>
    <t>50t-autotouch-automatic-press</t>
  </si>
  <si>
    <t>kbr-pellet-kit</t>
  </si>
  <si>
    <t>basic-solid-sampling-kit</t>
  </si>
  <si>
    <t>evacuable-pellet-dies</t>
  </si>
  <si>
    <t>gas-loadable-pellet-die</t>
  </si>
  <si>
    <t>lab-pellet-press-die-sets</t>
  </si>
  <si>
    <t>vacuum-pellet-die-assembly</t>
  </si>
  <si>
    <t>constant-thickness-film-maker</t>
  </si>
  <si>
    <t>atlas-heated-platen</t>
  </si>
  <si>
    <t>atlas-heated-platens-and-film-maker</t>
  </si>
  <si>
    <t>electron-microscopy-press</t>
  </si>
  <si>
    <t>zephyr-nir-and-uv-process-cell</t>
  </si>
  <si>
    <t>kestrel-nir-and-uv-diffuse-reflection-probe</t>
  </si>
  <si>
    <t>kestrel-nir-and-uv-process-flow-through-cell</t>
  </si>
  <si>
    <t>infrared-wire-grid-polarizers</t>
  </si>
  <si>
    <t>znse-wire-grid-polarizer</t>
  </si>
  <si>
    <t>baf2-wire-grid-polarizer</t>
  </si>
  <si>
    <t>krs-5-wire-grid-polarizer</t>
  </si>
  <si>
    <t>ge-wire-grid-polarizer</t>
  </si>
  <si>
    <t>pv-100-tabletop-tungsten-sem</t>
  </si>
  <si>
    <t>pv-100-tabletop-tungsten-sem-2</t>
  </si>
  <si>
    <t>pv-150-tabletop-tungsten-sem</t>
  </si>
  <si>
    <t>pv-150-tabletop-tungsten-sem-2</t>
  </si>
  <si>
    <t>pe-100-floor-type-tungsten-sem</t>
  </si>
  <si>
    <t>pe-100-floor-type-tungsten-sem-2</t>
  </si>
  <si>
    <t>pe-150-floor-type-tungsten-sem</t>
  </si>
  <si>
    <t>pe-150-floor-type-tungsten-sem-2</t>
  </si>
  <si>
    <t>pe-300-entry-level-fe-sem</t>
  </si>
  <si>
    <t>bse-detector-and-sem-accessories</t>
  </si>
  <si>
    <t>single-column-universal-testing-machine</t>
  </si>
  <si>
    <t>double-column-tabletop-universal-testing-machine</t>
  </si>
  <si>
    <t>floor-model-universal-testing-machine</t>
  </si>
  <si>
    <t>computerized-dual-space-universal-testing-machine</t>
  </si>
  <si>
    <t>electronic-universal-testing-machine</t>
  </si>
  <si>
    <t>hydraulic-servo-universal-testing-machine</t>
  </si>
  <si>
    <t>hydraulic-universal-testing-machine</t>
  </si>
  <si>
    <t>hydraulic-compression-testing-machine</t>
  </si>
  <si>
    <t>high-temperature-universal-testing-machine</t>
  </si>
  <si>
    <t>fixture-jig-and-grips</t>
  </si>
  <si>
    <t>universal-material-testing-machine-application</t>
  </si>
  <si>
    <t>spine-and-bone-surgical-implants-testing-machine</t>
  </si>
  <si>
    <t>metal-impact-testing-machine</t>
  </si>
  <si>
    <t>digital-charpy-impact-testing-machine</t>
  </si>
  <si>
    <t>drop-weight-tear-test-impact-testing-machine</t>
  </si>
  <si>
    <t>automatic-feeding-charpy-impact-testing-machine</t>
  </si>
  <si>
    <t>electronic-izod-impact-strength-test</t>
  </si>
  <si>
    <t>model-impact-test-specimens</t>
  </si>
  <si>
    <t>charpy-impact-notch-projector</t>
  </si>
  <si>
    <t>impact-strength-test-blocks</t>
  </si>
  <si>
    <t>cryostat-for-impact-test</t>
  </si>
  <si>
    <t>notch-specimen-cutter</t>
  </si>
  <si>
    <t>impact-test-samples-straightening-instrument</t>
  </si>
  <si>
    <t>pipe-impact-testing-machine</t>
  </si>
  <si>
    <t>pendulum-impact-testing-machine-for-plastics</t>
  </si>
  <si>
    <t>falling-weight-impact-testing-machine</t>
  </si>
  <si>
    <t>falling-dart-impact-test-machine</t>
  </si>
  <si>
    <t>brinell-hardness-tester</t>
  </si>
  <si>
    <t>rockwell-hardness-tester</t>
  </si>
  <si>
    <t>vickers-hardness-tester</t>
  </si>
  <si>
    <t>shore-hardness-tester</t>
  </si>
  <si>
    <t>webster-hardness-tester</t>
  </si>
  <si>
    <t>leeb-hardness-tester</t>
  </si>
  <si>
    <t>barcol-hardness-tester</t>
  </si>
  <si>
    <t>rockwell-superficial-hardness-tester</t>
  </si>
  <si>
    <t>portable-hardness-tester</t>
  </si>
  <si>
    <t>universal-hardness-tester</t>
  </si>
  <si>
    <t>universal-hardness-tester-electric-turret</t>
  </si>
  <si>
    <t>brinell-optical-measuring-systems</t>
  </si>
  <si>
    <t>vickers-optical-measuring-systems</t>
  </si>
  <si>
    <t>brinell-indentation-diameter-measurement</t>
  </si>
  <si>
    <t>manual-metallographic-cutting-machine</t>
  </si>
  <si>
    <t>automatic-metallographic-cutting-machine</t>
  </si>
  <si>
    <t>manual-metallographic-specimen-mounting-press</t>
  </si>
  <si>
    <t>metallurgical-microscope</t>
  </si>
  <si>
    <t>metallographic-specimen-mounting-press</t>
  </si>
  <si>
    <t>metallographic-specimen-pre-grinding-machine</t>
  </si>
  <si>
    <t>metallographic-specimen-polishing-machine</t>
  </si>
  <si>
    <t>metallographic-specimen-grinding-polishing-machine</t>
  </si>
  <si>
    <t>metallographic-automatic-specimen-grinding-polishing-machine</t>
  </si>
  <si>
    <t>metallographic-grinding-polishing-consumables</t>
  </si>
  <si>
    <t>spectrometer</t>
  </si>
  <si>
    <t>metallographic-analysis-software</t>
  </si>
  <si>
    <t>dynamic-and-static-fatigue-testing-machine</t>
  </si>
  <si>
    <t>tension-compression-fatigue-testing-machine</t>
  </si>
  <si>
    <t>fatigue-testing-machine</t>
  </si>
  <si>
    <t>bending-fatigue-testing-machine</t>
  </si>
  <si>
    <t>rock-dynamic-testing-system</t>
  </si>
  <si>
    <t>rock-dynamic-and-static-triaxial-testing-system</t>
  </si>
  <si>
    <t>rock-triaxial-creep-testing-machine</t>
  </si>
  <si>
    <t>dynamic-and-static-universal-testing-machine</t>
  </si>
  <si>
    <t>hydraulic-servo-fatigue-testing-machine</t>
  </si>
  <si>
    <t>rotating-bending-fatigue-testing-machine</t>
  </si>
  <si>
    <t>fracture-toughness-testing-machine</t>
  </si>
  <si>
    <t>wire-torsion-testing-machine</t>
  </si>
  <si>
    <t>metal-wire-reverse-torsion-testing-machine</t>
  </si>
  <si>
    <t>wire-torsion-tester-digital-display</t>
  </si>
  <si>
    <t>material-torsion-testing-machine</t>
  </si>
  <si>
    <t>torsion-testing-machine</t>
  </si>
  <si>
    <t>torsional-strength-test-machine</t>
  </si>
  <si>
    <t>hand-digital-torque-wrench-tester</t>
  </si>
  <si>
    <t>steel-bar-bend-tester</t>
  </si>
  <si>
    <t>metal-wire-repeated-bending-tester</t>
  </si>
  <si>
    <t>rock-direct-shear-testing-machine</t>
  </si>
  <si>
    <t>gyratory-compactor</t>
  </si>
  <si>
    <t>elastic-modulus-tester</t>
  </si>
  <si>
    <t>resilient-modulus-tester</t>
  </si>
  <si>
    <t>asphalt-dynamic-shear-rheometer</t>
  </si>
  <si>
    <t>unconfined-compressive-strength-tester</t>
  </si>
  <si>
    <t>cement-concrete-shrinkage-apparatus</t>
  </si>
  <si>
    <t>cement-concrete-curing-room</t>
  </si>
  <si>
    <t>bending-tensile-testing-machine</t>
  </si>
  <si>
    <t>compression-shear-testing-machine</t>
  </si>
  <si>
    <t>electro-hydraulic-servo-flexure-testing-machine</t>
  </si>
  <si>
    <t>creep-and-shrinkage-testing-machine</t>
  </si>
  <si>
    <t>concrete-dynamic-elastic-modulus-tester</t>
  </si>
  <si>
    <t>concrete-testing-machine</t>
  </si>
  <si>
    <t>geotextile-testing-equipment</t>
  </si>
  <si>
    <t>ultrasonic-rebound-tester</t>
  </si>
  <si>
    <t>high-speed-rail-automatic-rock-ballast-testing-machine</t>
  </si>
  <si>
    <t>soil-triaxial-testing-machine</t>
  </si>
  <si>
    <t>shear-strength-testing-machine</t>
  </si>
  <si>
    <t>rock-testing-machine</t>
  </si>
  <si>
    <t>cupping-testing-machine</t>
  </si>
  <si>
    <t>helmet-testing-machine</t>
  </si>
  <si>
    <t>static-load-anchor-tester</t>
  </si>
  <si>
    <t>insulator-mechanical-property-testing-machine</t>
  </si>
  <si>
    <t>adhesion-testing-machine</t>
  </si>
  <si>
    <t>spring-test-equipment</t>
  </si>
  <si>
    <t>pressure-testing-machine</t>
  </si>
  <si>
    <t>ring-stiffness-testing-machine</t>
  </si>
  <si>
    <t>manhole-cover-compression-tester</t>
  </si>
  <si>
    <t>pull-out-testing-machine</t>
  </si>
  <si>
    <t>steel-pipe-scaffold-testing-machine</t>
  </si>
  <si>
    <t>fuel-injection-pump-test-bench</t>
  </si>
  <si>
    <t>bearing-testing-machine</t>
  </si>
  <si>
    <t>high-voltage-cable-air-cooling-high-frequency-test</t>
  </si>
  <si>
    <t>high-voltage-cable-water-cooling-resonance-test</t>
  </si>
  <si>
    <t>pipe-fittings-cyclic-pressure-test</t>
  </si>
  <si>
    <t>disk-tube-insulator-mechanical-and-electrical-performance-test</t>
  </si>
  <si>
    <t>automatic-oscillation-impact-test-system</t>
  </si>
  <si>
    <t>central-control-type-forged-steel-automatic-ultrasonic-testing-system</t>
  </si>
  <si>
    <t>flow-resistance-test-system</t>
  </si>
  <si>
    <t>photoelectric-correction-system-for-profile-shape-and-position-tolerance</t>
  </si>
  <si>
    <t>Products!J:J</t>
  </si>
  <si>
    <t>DIWAN Group Website Copy and Identity Architecture</t>
  </si>
  <si>
    <t>Business Arm</t>
  </si>
  <si>
    <t>Implementation Note</t>
  </si>
  <si>
    <t>Master Brand</t>
  </si>
  <si>
    <t>Primary name</t>
  </si>
  <si>
    <t>DIWAN</t>
  </si>
  <si>
    <t>Group</t>
  </si>
  <si>
    <t>Approved direction</t>
  </si>
  <si>
    <t>Use DIWAN as the primary identity across the website and all group communication.</t>
  </si>
  <si>
    <t>Primary Tagline</t>
  </si>
  <si>
    <t>Science. Knowledge. Technology.</t>
  </si>
  <si>
    <t>Display near the DIWAN logo and on key brand pages.</t>
  </si>
  <si>
    <t>Positioning</t>
  </si>
  <si>
    <t>Core identity statement</t>
  </si>
  <si>
    <t>This is the primary one-sentence group description.</t>
  </si>
  <si>
    <t>Purpose</t>
  </si>
  <si>
    <t>Purpose statement</t>
  </si>
  <si>
    <t>Use on Home and About DIWAN.</t>
  </si>
  <si>
    <t>Core Message</t>
  </si>
  <si>
    <t>Website-wide message</t>
  </si>
  <si>
    <t>Repeat consistently in shortened forms across major pages.</t>
  </si>
  <si>
    <t>Progression Message</t>
  </si>
  <si>
    <t>Secondary tagline</t>
  </si>
  <si>
    <t>From Knowledge to Technology. From Technology to Industry.</t>
  </si>
  <si>
    <t>Use as a closing message, project-journey heading, and campaign line.</t>
  </si>
  <si>
    <t>Former Commercial Name</t>
  </si>
  <si>
    <t>Transition note</t>
  </si>
  <si>
    <t>DIWAN Engineering &amp; Technology Company is the new name of Diwan of Excellence Trading Company.</t>
  </si>
  <si>
    <t>Engineering &amp; Technology</t>
  </si>
  <si>
    <t>Use only where customer recognition or legal transition requires it. Do not confuse the former trading name with Diwan of Excellence Engineering Consultations.</t>
  </si>
  <si>
    <t>Eyebrow</t>
  </si>
  <si>
    <t>Draft from approved direction</t>
  </si>
  <si>
    <t>Short line above the hero headline.</t>
  </si>
  <si>
    <t>Primary home-page headline.</t>
  </si>
  <si>
    <t>Supporting copy</t>
  </si>
  <si>
    <t>DIWAN connects engineering knowledge, advanced technologies, and manufacturing capability to develop practical solutions for research, industry, and technical applications in Saudi Arabia.</t>
  </si>
  <si>
    <t>Keep the hero concise and outcome-focused.</t>
  </si>
  <si>
    <t>Explore Our Business Arms</t>
  </si>
  <si>
    <t>Link to the three-arm overview.</t>
  </si>
  <si>
    <t>Start a Project with DIWAN</t>
  </si>
  <si>
    <t>Link to a group enquiry form that routes requests to the correct arm.</t>
  </si>
  <si>
    <t>Introduction</t>
  </si>
  <si>
    <t>Section heading</t>
  </si>
  <si>
    <t>One Integrated Saudi Technology Ecosystem</t>
  </si>
  <si>
    <t>Introduce the relationship between the three entities.</t>
  </si>
  <si>
    <t>Section copy</t>
  </si>
  <si>
    <t>DIWAN supports the full journey from an initial idea and engineering study to technology selection, implementation, manufacturing, and localization. Its three complementary business arms combine knowledge, technology access, system integration, product development, and industrial capability within one coordinated group.</t>
  </si>
  <si>
    <t>Use before the three business-arm cards.</t>
  </si>
  <si>
    <t>Business Arms</t>
  </si>
  <si>
    <t>Card 1 title</t>
  </si>
  <si>
    <t>DIWAN Engineering &amp; Technology Company</t>
  </si>
  <si>
    <t>Commercial and Technology Arm.</t>
  </si>
  <si>
    <t>Card 1 copy</t>
  </si>
  <si>
    <t>Provides advanced technologies, equipment, specialized systems, integration, applications support, training, and commercialization for laboratories, research and development, and industrial applications.</t>
  </si>
  <si>
    <t>Link to the dedicated arm page and relevant products.</t>
  </si>
  <si>
    <t>Card 2 title</t>
  </si>
  <si>
    <t>Saudi Advanced Composites</t>
  </si>
  <si>
    <t>Advanced Composites</t>
  </si>
  <si>
    <t>Industrial and Manufacturing Arm.</t>
  </si>
  <si>
    <t>Card 2 copy</t>
  </si>
  <si>
    <t>Develops advanced materials, engineering products, prototypes, components, manufacturing processes, and localized industrial capabilities in Saudi Arabia.</t>
  </si>
  <si>
    <t>Link to the dedicated arm page and capabilities.</t>
  </si>
  <si>
    <t>Card 3 title</t>
  </si>
  <si>
    <t>Diwan of Excellence Engineering Consultations</t>
  </si>
  <si>
    <t>Engineering Consultations</t>
  </si>
  <si>
    <t>Engineering and Consulting Arm.</t>
  </si>
  <si>
    <t>Card 3 copy</t>
  </si>
  <si>
    <t>Provides chemical engineering, materials consulting, technical studies, process development, feasibility work, technical evaluation, and engineering support for research and industrial projects.</t>
  </si>
  <si>
    <t>Link to the dedicated arm page and consulting services.</t>
  </si>
  <si>
    <t>Integrated Journey</t>
  </si>
  <si>
    <t>One Group. Three Connected Stages.</t>
  </si>
  <si>
    <t>Present as a three-step graphic or horizontal process.</t>
  </si>
  <si>
    <t>Stage 1</t>
  </si>
  <si>
    <t>Knowledge &amp; Engineering — research, studies, consulting, process development, technical evaluation, and engineering direction.</t>
  </si>
  <si>
    <t>First stage in the group project journey.</t>
  </si>
  <si>
    <t>Stage 2</t>
  </si>
  <si>
    <t>Technology &amp; Solutions — technology selection, equipment supply, system integration, applications support, training, and commercialization.</t>
  </si>
  <si>
    <t>Second stage in the group project journey.</t>
  </si>
  <si>
    <t>Stage 3</t>
  </si>
  <si>
    <t>Manufacturing &amp; Industrialization — materials development, prototyping, manufacturing, product development, technology transfer, and localization.</t>
  </si>
  <si>
    <t>Third stage in the group project journey.</t>
  </si>
  <si>
    <t>Closing copy</t>
  </si>
  <si>
    <t>Together, the three DIWAN business arms support projects from concept and engineering definition through technology implementation and onward to manufacturing, localization, and industrial value creation.</t>
  </si>
  <si>
    <t>Use below the journey graphic.</t>
  </si>
  <si>
    <t>About DIWAN</t>
  </si>
  <si>
    <t>DIWAN is a Saudi technology, engineering, manufacturing, and knowledge group created to convert expertise and advanced technologies into practical solutions, products, and industrial capabilities. The group operates through three integrated business arms with distinct responsibilities and one shared vision.</t>
  </si>
  <si>
    <t>Primary About-page introduction.</t>
  </si>
  <si>
    <t>Purpose copy</t>
  </si>
  <si>
    <t>DIWAN exists to bridge the gap between scientific knowledge, engineering direction, technology access, and industrial implementation. By connecting these capabilities, the group supports research organizations, industrial companies, government entities, technology developers, manufacturers, and project owners across Saudi Arabia.</t>
  </si>
  <si>
    <t>Explain the reason for the group structure.</t>
  </si>
  <si>
    <t>Saudi Impact</t>
  </si>
  <si>
    <t>DIWAN contributes to Saudi industrial and technological development by supporting local capability, technology transfer, advanced manufacturing, research and development, engineering excellence, and long-term technical partnerships.</t>
  </si>
  <si>
    <t>Use with Saudi-focused imagery and measured claims.</t>
  </si>
  <si>
    <t>Operating Model</t>
  </si>
  <si>
    <t>The group combines consulting that creates engineering direction, technology services that provide systems and practical solutions, and manufacturing that converts technology into products, capabilities, and industrial value.</t>
  </si>
  <si>
    <t>Core explanation of how the ecosystem works.</t>
  </si>
  <si>
    <t>DIWAN operates through three specialized and complementary business arms. Each entity retains its own role and expertise while sharing one group identity, one technical ecosystem, and one progression from knowledge to industrial impact.</t>
  </si>
  <si>
    <t>Intro for the Business Arms landing page.</t>
  </si>
  <si>
    <t>Business Arm 01</t>
  </si>
  <si>
    <t>Identity</t>
  </si>
  <si>
    <t>Page title</t>
  </si>
  <si>
    <t>Page copy</t>
  </si>
  <si>
    <t>DIWAN Engineering &amp; Technology Company represents the group’s commercial and technology-facing arm. It provides, integrates, and supports advanced technologies, equipment, and technical solutions for laboratories, research and development, and industrial applications.</t>
  </si>
  <si>
    <t>Primary arm description.</t>
  </si>
  <si>
    <t>Core Areas</t>
  </si>
  <si>
    <t>Capabilities</t>
  </si>
  <si>
    <t>Analytical and laboratory instruments, including GC, HPLC, MS, and thermal analysis systems; research and specialized reactors, including plasma reactors; research and development equipment and proof-of-concept systems; materials processing and manufacturing technologies; injection molding and extrusion systems; additive manufacturing and 3D printing; laboratory equipment, supplies, and consumables; customized engineering and technology solutions; specialized-system supply and integration; technical support, applications support, and training.</t>
  </si>
  <si>
    <t>Display as grouped capability cards, not one long paragraph.</t>
  </si>
  <si>
    <t>Role</t>
  </si>
  <si>
    <t>Role statement</t>
  </si>
  <si>
    <t>Technology Access • Technical Solutions • System Integration • Commercialization</t>
  </si>
  <si>
    <t>Use as a prominent role line.</t>
  </si>
  <si>
    <t>Value</t>
  </si>
  <si>
    <t>The company helps customers identify appropriate technologies, review technical requirements, source specialized systems, coordinate implementation, and access application support for research and industrial use.</t>
  </si>
  <si>
    <t>Avoid unsupported authorization or service claims.</t>
  </si>
  <si>
    <t>Catalog introduction</t>
  </si>
  <si>
    <t>Business Arm 02</t>
  </si>
  <si>
    <t>Saudi Advanced Composites is DIWAN’s industrial and manufacturing arm. It focuses on developing and manufacturing advanced materials, products, and engineering solutions while building local manufacturing capability and added value within Saudi Arabia.</t>
  </si>
  <si>
    <t>Advanced composite materials; polymer and composite processing; injection molding; advanced manufacturing; prototyping and product development; manufacturing of engineering parts and components; materials and manufacturing-process development; technology transfer; and localization of advanced manufacturing technologies.</t>
  </si>
  <si>
    <t>Display as capability cards or grouped sectors.</t>
  </si>
  <si>
    <t>Materials • Manufacturing • Industrialization • Localization</t>
  </si>
  <si>
    <t>Saudi Advanced Composites converts materials knowledge and selected technologies into prototypes, manufactured components, production methods, localized capabilities, and industrial applications.</t>
  </si>
  <si>
    <t>Connect this page to relevant technology and consulting services.</t>
  </si>
  <si>
    <t>Business Arm 03</t>
  </si>
  <si>
    <t>Diwan of Excellence Engineering Consultations is DIWAN’s engineering and consulting arm. It specializes in chemical engineering, chemical and materials consulting, technical studies, and engineering solutions related to processes, materials, products, and industrial and research projects.</t>
  </si>
  <si>
    <t>Chemical engineering; chemical and materials consulting; process engineering; technical and feasibility studies; materials and product-development consulting; process development and optimization; project and vendor technical support; commissioning and technical evaluation; and engineering support for research and development projects and technical applications.</t>
  </si>
  <si>
    <t>Display as consulting-service groups.</t>
  </si>
  <si>
    <t>Engineering • Consulting • Studies • Knowledge</t>
  </si>
  <si>
    <t>The consulting arm defines technical direction, evaluates processes and technologies, supports development decisions, and provides engineering knowledge that can move into implementation through the other DIWAN business arms.</t>
  </si>
  <si>
    <t>Show the connection to technology and manufacturing.</t>
  </si>
  <si>
    <t>Solutions &amp; Services</t>
  </si>
  <si>
    <t>Knowledge &amp; Engineering</t>
  </si>
  <si>
    <t>Section introduction</t>
  </si>
  <si>
    <t>Engineering studies, chemical and materials consulting, process development, feasibility work, technical evaluation, project support, and research-focused engineering services.</t>
  </si>
  <si>
    <t>Link solutions to the consulting arm.</t>
  </si>
  <si>
    <t>Technology &amp; Solutions</t>
  </si>
  <si>
    <t>Advanced equipment, scientific instruments, specialized reactors, manufacturing technologies, system integration, applications support, training, and technology commercialization.</t>
  </si>
  <si>
    <t>Link solutions to product categories and the technology arm.</t>
  </si>
  <si>
    <t>Manufacturing &amp; Industrialization</t>
  </si>
  <si>
    <t>Advanced materials, composites, polymer processing, injection molding, prototyping, product development, component manufacturing, technology transfer, and localization.</t>
  </si>
  <si>
    <t>Link solutions to manufacturing capabilities.</t>
  </si>
  <si>
    <t>Industries</t>
  </si>
  <si>
    <t>Audience</t>
  </si>
  <si>
    <t>Primary sectors</t>
  </si>
  <si>
    <t>Research institutions; universities and laboratories; industrial companies; government entities; technology developers; manufacturers; project owners; engineering and procurement teams; investors; and strategic partners.</t>
  </si>
  <si>
    <t>Use filters or sector cards where useful.</t>
  </si>
  <si>
    <t>Value Question 1</t>
  </si>
  <si>
    <t>Visitor question</t>
  </si>
  <si>
    <t>What does DIWAN do?</t>
  </si>
  <si>
    <t>Answer on Home and About pages.</t>
  </si>
  <si>
    <t>Value Question 2</t>
  </si>
  <si>
    <t>Which DIWAN entity can support my needs?</t>
  </si>
  <si>
    <t>Answer through the arm overview and enquiry routing.</t>
  </si>
  <si>
    <t>Value Question 3</t>
  </si>
  <si>
    <t>How can I start a project or request support?</t>
  </si>
  <si>
    <t>Answer with a clear group contact form and routing process.</t>
  </si>
  <si>
    <t>Navigation</t>
  </si>
  <si>
    <t>Main Menu</t>
  </si>
  <si>
    <t>Recommended navigation</t>
  </si>
  <si>
    <t>Business Arms Menu</t>
  </si>
  <si>
    <t>Sub-navigation</t>
  </si>
  <si>
    <t>Each arm needs a dedicated page with the same group header and footer.</t>
  </si>
  <si>
    <t>Group Enquiry</t>
  </si>
  <si>
    <t>Use as the main site-wide contact CTA.</t>
  </si>
  <si>
    <t>Tell us your objective, technical requirement, project stage, sector, and expected outcome. DIWAN will route the enquiry to the appropriate business arm or coordinate a combined response where the project requires engineering, technology, and manufacturing support.</t>
  </si>
  <si>
    <t>Form should allow multi-arm enquiries.</t>
  </si>
  <si>
    <t>Discuss Your Project</t>
  </si>
  <si>
    <t>Use across group pages.</t>
  </si>
  <si>
    <t>DIWAN | Saudi Technology, Engineering and Advanced Manufacturing Group</t>
  </si>
  <si>
    <t>Review length and final search strategy.</t>
  </si>
  <si>
    <t>DIWAN connects engineering knowledge, advanced technologies, and manufacturing capability to create practical research, industrial, and technical solutions in Saudi Arabia.</t>
  </si>
  <si>
    <t>Group-level meta description.</t>
  </si>
  <si>
    <t>DIWAN Business Arms | Engineering, Technology, Manufacturing and Consulting</t>
  </si>
  <si>
    <t>Landing-page metadata.</t>
  </si>
  <si>
    <t>Naming</t>
  </si>
  <si>
    <t>Approved names</t>
  </si>
  <si>
    <t>DIWAN; DIWAN Engineering &amp; Technology Company; Saudi Advanced Composites; Diwan of Excellence Engineering Consultations.</t>
  </si>
  <si>
    <t>Use these names consistently across website, documents, proposals, social media, profiles, and partner communication.</t>
  </si>
  <si>
    <t>Tone of Voice</t>
  </si>
  <si>
    <t>Voice standard</t>
  </si>
  <si>
    <t>Professional, technical, clear, confident, knowledge-driven, practical, forward-looking, and connected to Saudi industrial and technological development.</t>
  </si>
  <si>
    <t>Avoid exaggerated claims and vague marketing language.</t>
  </si>
  <si>
    <t>Messaging Focus</t>
  </si>
  <si>
    <t>Communication themes</t>
  </si>
  <si>
    <t>Technical value; practical solutions; local capability; technology transfer; industrial development; research and development; engineering excellence; and long-term partnerships.</t>
  </si>
  <si>
    <t>Use these themes across all content.</t>
  </si>
  <si>
    <t>Design</t>
  </si>
  <si>
    <t>Unified Identity</t>
  </si>
  <si>
    <t>Design direction</t>
  </si>
  <si>
    <t>Use one coordinated DIWAN visual system across logos, typography, colors, icons, imagery, graphic elements, layouts, buttons, spacing, headings, and terminology. Business arms may use subtle secondary colors or imagery, but every page must clearly belong to the DIWAN group.</t>
  </si>
  <si>
    <t>Do not create three unrelated visual brands.</t>
  </si>
  <si>
    <t>Implementation</t>
  </si>
  <si>
    <t>Existing Materials</t>
  </si>
  <si>
    <t>Alignment requirement</t>
  </si>
  <si>
    <t>Review and update website content, company profiles, capability statements, presentations, brochures, product and service pages, social profiles, email signatures, proposal templates, technical documents, business cards, exhibition materials, company introductions, and partner communications.</t>
  </si>
  <si>
    <t>Remove outdated or conflicting descriptions.</t>
  </si>
  <si>
    <t>Required Outcome</t>
  </si>
  <si>
    <t>Definition of done</t>
  </si>
  <si>
    <t>The website must look and feel like one coordinated DIWAN ecosystem with three clearly defined and complementary business arms—not a collection of unrelated company pages.</t>
  </si>
  <si>
    <t>Final acceptance criterion for content, design, and navigation.</t>
  </si>
  <si>
    <t>Final Positioning</t>
  </si>
  <si>
    <t>Closing statement</t>
  </si>
  <si>
    <t>DIWAN — a Saudi technology, engineering, manufacturing, and knowledge group. From Knowledge to Technology. From Technology to Industry.</t>
  </si>
  <si>
    <t>Use in the footer, About conclusion, and corporate presentations.</t>
  </si>
  <si>
    <t>STA 1000 / 1600 Simultaneous Thermal Analyzer (TGA + DSC) | DIWAN Engineering &amp; Technology Company</t>
  </si>
  <si>
    <t>TGA 1000 / 1600 Thermogravimetric Analyzer | DIWAN Engineering &amp; Technology Company</t>
  </si>
  <si>
    <t>TC3500S Carbon Black Content Tester | DIWAN Engineering &amp; Technology Company</t>
  </si>
  <si>
    <t>DTA 1000 / 1600 Differential Thermal Analyzer | DIWAN Engineering &amp; Technology Company</t>
  </si>
  <si>
    <t>DSC 600 High-Precision Differential Scanning Calorimeter | DIWAN Engineering &amp; Technology Company</t>
  </si>
  <si>
    <t>DSC-600A Differential Scanning Calorimeter | DIWAN Engineering &amp; Technology Company</t>
  </si>
  <si>
    <t>HFM50/300 Thermal Conductivity Tester | DIWAN Engineering &amp; Technology Company</t>
  </si>
  <si>
    <t>LFA 1600 Laser Flash Thermal Conductivity &amp; Diffusivity Tester | DIWAN Engineering &amp; Technology Company</t>
  </si>
  <si>
    <t>Tuber 200 Pipe Insulation Thermal Conductivity Tester | DIWAN Engineering &amp; Technology Company</t>
  </si>
  <si>
    <t>SB-850 Seebeck and Electrical Resistivity Test Device | DIWAN Engineering &amp; Technology Company</t>
  </si>
  <si>
    <t>THS 200 Thermal Conductivity Tester | DIWAN Engineering &amp; Technology Company</t>
  </si>
  <si>
    <t>TPS 500 Thermal Conductivity Tester (Transient Plane Heat Source) | DIWAN Engineering &amp; Technology Company</t>
  </si>
  <si>
    <t>HFM 300/600 Series Heat Flow Meter | DIWAN Engineering &amp; Technology Company</t>
  </si>
  <si>
    <t>HFM1600 High Temperature Thermal Conductivity Tester | DIWAN Engineering &amp; Technology Company</t>
  </si>
  <si>
    <t>DIL Series Linear Thermal Expansion Coefficient Tester | DIWAN Engineering &amp; Technology Company</t>
  </si>
  <si>
    <t>DIL Optical Sintering Point Tester (Optical Dilatometer) | DIWAN Engineering &amp; Technology Company</t>
  </si>
  <si>
    <t>DIL-Q Quenching Deformation Dilatometer | DIWAN Engineering &amp; Technology Company</t>
  </si>
  <si>
    <t>DIL-D Series Thermal Expansion Dilatometer | DIWAN Engineering &amp; Technology Company</t>
  </si>
  <si>
    <t>DIL-C Series Cryogenic Thermal Expansion Dilatometer | DIWAN Engineering &amp; Technology Company</t>
  </si>
  <si>
    <t>CRUMPLEFLEX Fabric Flexing Tester | DIWAN Engineering &amp; Technology Company</t>
  </si>
  <si>
    <t>UL94 Horizontal/Vertical Flame Chamber | DIWAN Engineering &amp; Technology Company</t>
  </si>
  <si>
    <t>AURA II LPG Vaporizer | DIWAN Engineering &amp; Technology Company</t>
  </si>
  <si>
    <t>ZEPHYR II Automated Gas Dilutor | DIWAN Engineering &amp; Technology Company</t>
  </si>
  <si>
    <t>ChroZen HPLC | DIWAN Engineering &amp; Technology Company</t>
  </si>
  <si>
    <t>ChroZen GC | DIWAN Engineering &amp; Technology Company</t>
  </si>
  <si>
    <t>ChroZen GC-VUV | DIWAN Engineering &amp; Technology Company</t>
  </si>
  <si>
    <t>ChroZen UHPLC | DIWAN Engineering &amp; Technology Company</t>
  </si>
  <si>
    <t>aquapuri 511 | DIWAN Engineering &amp; Technology Company</t>
  </si>
  <si>
    <t>aquapuri 521 | DIWAN Engineering &amp; Technology Company</t>
  </si>
  <si>
    <t>3x00A Series Liquid Autosampler | DIWAN Engineering &amp; Technology Company</t>
  </si>
  <si>
    <t>Gas Analyzer | DIWAN Engineering &amp; Technology Company</t>
  </si>
  <si>
    <t>Hand Sanitizer Analyzer | DIWAN Engineering &amp; Technology Company</t>
  </si>
  <si>
    <t>ChroZen ASTM D4815 Player | DIWAN Engineering &amp; Technology Company</t>
  </si>
  <si>
    <t>ChroZen ASTM D5580 Player | DIWAN Engineering &amp; Technology Company</t>
  </si>
  <si>
    <t>ChroZen USP 467 Player (Residual Solvent Analyzer) | DIWAN Engineering &amp; Technology Company</t>
  </si>
  <si>
    <t>ChroZen ASTM D1945 Player | DIWAN Engineering &amp; Technology Company</t>
  </si>
  <si>
    <t>ChroZen PAL RSI/RTC Multiple Injection Autosampler | DIWAN Engineering &amp; Technology Company</t>
  </si>
  <si>
    <t>ChroZen PAL LSI System | DIWAN Engineering &amp; Technology Company</t>
  </si>
  <si>
    <t>ACE 1100 IMR-MS | DIWAN Engineering &amp; Technology Company</t>
  </si>
  <si>
    <t>aquapuri Essence | DIWAN Engineering &amp; Technology Company</t>
  </si>
  <si>
    <t>ChroZen PAL RSI/RTC SPME Arrow | DIWAN Engineering &amp; Technology Company</t>
  </si>
  <si>
    <t>aquapuri Essence+ | DIWAN Engineering &amp; Technology Company</t>
  </si>
  <si>
    <t>ChroZen IC Modules | DIWAN Engineering &amp; Technology Company</t>
  </si>
  <si>
    <t>Mass Spectra Designer Drugs 2023 | DIWAN Engineering &amp; Technology Company</t>
  </si>
  <si>
    <t>Mass Spectral Library of Drugs, Poisons, Pesticides, Pollutants and Metabolites, 5th Edition | DIWAN Engineering &amp; Technology Company</t>
  </si>
  <si>
    <t>aquapuri 541 | DIWAN Engineering &amp; Technology Company</t>
  </si>
  <si>
    <t>ChroZen IC Consumables (Columns &amp; Suppressors) | DIWAN Engineering &amp; Technology Company</t>
  </si>
  <si>
    <t>aquapuri 551 | DIWAN Engineering &amp; Technology Company</t>
  </si>
  <si>
    <t>Biodiesel Analyzer | DIWAN Engineering &amp; Technology Company</t>
  </si>
  <si>
    <t>Phthalate Analyzer | DIWAN Engineering &amp; Technology Company</t>
  </si>
  <si>
    <t>Fatty Acid Analyzer | DIWAN Engineering &amp; Technology Company</t>
  </si>
  <si>
    <t>VOC Analyzer | DIWAN Engineering &amp; Technology Company</t>
  </si>
  <si>
    <t>Sulfur Analyzer | DIWAN Engineering &amp; Technology Company</t>
  </si>
  <si>
    <t>Residual Solvent Analyzer | DIWAN Engineering &amp; Technology Company</t>
  </si>
  <si>
    <t>Residual Pesticide Analyzer | DIWAN Engineering &amp; Technology Company</t>
  </si>
  <si>
    <t>YL28xT All-In-One Autosampler | DIWAN Engineering &amp; Technology Company</t>
  </si>
  <si>
    <t>YL2x00H Headspace Autosampler | DIWAN Engineering &amp; Technology Company</t>
  </si>
  <si>
    <t>Versa Headspace Autosampler | DIWAN Engineering &amp; Technology Company</t>
  </si>
  <si>
    <t>HT3 Static and Dynamic Headspace Autosampler | DIWAN Engineering &amp; Technology Company</t>
  </si>
  <si>
    <t>ChroZen PAL RSI/RTC SPME Fiber | DIWAN Engineering &amp; Technology Company</t>
  </si>
  <si>
    <t>Pyroprobe 6000 Series Pyrolyzer | DIWAN Engineering &amp; Technology Company</t>
  </si>
  <si>
    <t>Valves | DIWAN Engineering &amp; Technology Company</t>
  </si>
  <si>
    <t>Lumin Purge &amp; Trap Concentrator | DIWAN Engineering &amp; Technology Company</t>
  </si>
  <si>
    <t>AQUATek LVA Waters-Only Autosampler | DIWAN Engineering &amp; Technology Company</t>
  </si>
  <si>
    <t>Atomx XYZ Automated VOC Sample Prep System | DIWAN Engineering &amp; Technology Company</t>
  </si>
  <si>
    <t>YL-Clarity Chromatography Data System | DIWAN Engineering &amp; Technology Company</t>
  </si>
  <si>
    <t>ChroZen GPC System | DIWAN Engineering &amp; Technology Company</t>
  </si>
  <si>
    <t>ChroZen HPLC Semi-Prep | DIWAN Engineering &amp; Technology Company</t>
  </si>
  <si>
    <t>Amino Acid Analyzer | DIWAN Engineering &amp; Technology Company</t>
  </si>
  <si>
    <t>Carbamate Analyzer | DIWAN Engineering &amp; Technology Company</t>
  </si>
  <si>
    <t>Catecholamine Analyzer | DIWAN Engineering &amp; Technology Company</t>
  </si>
  <si>
    <t>Polyphenol Analyzer | DIWAN Engineering &amp; Technology Company</t>
  </si>
  <si>
    <t>Sugar Analyzer | DIWAN Engineering &amp; Technology Company</t>
  </si>
  <si>
    <t>Preservative Analyzer | DIWAN Engineering &amp; Technology Company</t>
  </si>
  <si>
    <t>Vitamin Analyzer | DIWAN Engineering &amp; Technology Company</t>
  </si>
  <si>
    <t>QGA 2.0 | DIWAN Engineering &amp; Technology Company</t>
  </si>
  <si>
    <t>HPR-20 R&amp;D | DIWAN Engineering &amp; Technology Company</t>
  </si>
  <si>
    <t>HPR-20 TMS | DIWAN Engineering &amp; Technology Company</t>
  </si>
  <si>
    <t>HPR-20 EGA | DIWAN Engineering &amp; Technology Company</t>
  </si>
  <si>
    <t>CATLAB-PCS | DIWAN Engineering &amp; Technology Company</t>
  </si>
  <si>
    <t>TDSLab Series | DIWAN Engineering &amp; Technology Company</t>
  </si>
  <si>
    <t>SpaciMS | DIWAN Engineering &amp; Technology Company</t>
  </si>
  <si>
    <t>HPR-40 MIMS | DIWAN Engineering &amp; Technology Company</t>
  </si>
  <si>
    <t>pQA Portable Quadrupole Analyser | DIWAN Engineering &amp; Technology Company</t>
  </si>
  <si>
    <t>QIC BioStream | DIWAN Engineering &amp; Technology Company</t>
  </si>
  <si>
    <t>HPR-40 DEMS | DIWAN Engineering &amp; Technology Company</t>
  </si>
  <si>
    <t>HPR-20 OEMS | DIWAN Engineering &amp; Technology Company</t>
  </si>
  <si>
    <t>FIB-SIMS | DIWAN Engineering &amp; Technology Company</t>
  </si>
  <si>
    <t>LAS Leak Analysis System | DIWAN Engineering &amp; Technology Company</t>
  </si>
  <si>
    <t>RGA Series | DIWAN Engineering &amp; Technology Company</t>
  </si>
  <si>
    <t>HAL 101X RC | DIWAN Engineering &amp; Technology Company</t>
  </si>
  <si>
    <t>HALO 201 MBE | DIWAN Engineering &amp; Technology Company</t>
  </si>
  <si>
    <t>DLS-20 | DIWAN Engineering &amp; Technology Company</t>
  </si>
  <si>
    <t>HPR-30 Series | DIWAN Engineering &amp; Technology Company</t>
  </si>
  <si>
    <t>EQP Series | DIWAN Engineering &amp; Technology Company</t>
  </si>
  <si>
    <t>ESPion | DIWAN Engineering &amp; Technology Company</t>
  </si>
  <si>
    <t>IMP-EPD | DIWAN Engineering &amp; Technology Company</t>
  </si>
  <si>
    <t>SIMS Workstation | DIWAN Engineering &amp; Technology Company</t>
  </si>
  <si>
    <t>AutoSIMS | DIWAN Engineering &amp; Technology Company</t>
  </si>
  <si>
    <t>Compact SIMS | DIWAN Engineering &amp; Technology Company</t>
  </si>
  <si>
    <t>ToF-qSIMS Workstation | DIWAN Engineering &amp; Technology Company</t>
  </si>
  <si>
    <t>Dual Polarity SIMS Workstation | DIWAN Engineering &amp; Technology Company</t>
  </si>
  <si>
    <t>HPR-60 MBMS | DIWAN Engineering &amp; Technology Company</t>
  </si>
  <si>
    <t>XBS | DIWAN Engineering &amp; Technology Company</t>
  </si>
  <si>
    <t>DLS-1 | DIWAN Engineering &amp; Technology Company</t>
  </si>
  <si>
    <t>DLS-2 / DLS-2X | DIWAN Engineering &amp; Technology Company</t>
  </si>
  <si>
    <t>MASsoft Professional | DIWAN Engineering &amp; Technology Company</t>
  </si>
  <si>
    <t>QGAsoft | DIWAN Engineering &amp; Technology Company</t>
  </si>
  <si>
    <t>EGAsoft | DIWAN Engineering &amp; Technology Company</t>
  </si>
  <si>
    <t>CATLAB Software | DIWAN Engineering &amp; Technology Company</t>
  </si>
  <si>
    <t>TPDsoft | DIWAN Engineering &amp; Technology Company</t>
  </si>
  <si>
    <t>Catalytic Fixed-Bed Reactor System | DIWAN Engineering &amp; Technology Company</t>
  </si>
  <si>
    <t>Hydrothermal Reactor | DIWAN Engineering &amp; Technology Company</t>
  </si>
  <si>
    <t>Membrane Reactor System | DIWAN Engineering &amp; Technology Company</t>
  </si>
  <si>
    <t>CSTR Reactor System | DIWAN Engineering &amp; Technology Company</t>
  </si>
  <si>
    <t>Split Tube Furnace | DIWAN Engineering &amp; Technology Company</t>
  </si>
  <si>
    <t>Automated Integral Reactor | DIWAN Engineering &amp; Technology Company</t>
  </si>
  <si>
    <t>Fixed Bed System | DIWAN Engineering &amp; Technology Company</t>
  </si>
  <si>
    <t>Stirred Tank System | DIWAN Engineering &amp; Technology Company</t>
  </si>
  <si>
    <t>Fluidized Bed System | DIWAN Engineering &amp; Technology Company</t>
  </si>
  <si>
    <t>Tubular Reactor System | DIWAN Engineering &amp; Technology Company</t>
  </si>
  <si>
    <t>Pyrolysis Reactor System | DIWAN Engineering &amp; Technology Company</t>
  </si>
  <si>
    <t>Polymerization Reactor System | DIWAN Engineering &amp; Technology Company</t>
  </si>
  <si>
    <t>Custom-Designed Reactor / Process System | DIWAN Engineering &amp; Technology Company</t>
  </si>
  <si>
    <t>Demonstration Plant | DIWAN Engineering &amp; Technology Company</t>
  </si>
  <si>
    <t>ADD Filament Winding System | DIWAN Engineering &amp; Technology Company</t>
  </si>
  <si>
    <t>AFP-XS | DIWAN Engineering &amp; Technology Company</t>
  </si>
  <si>
    <t>AFP-X | DIWAN Engineering &amp; Technology Company</t>
  </si>
  <si>
    <t>ADDX | DIWAN Engineering &amp; Technology Company</t>
  </si>
  <si>
    <t>AddPath | DIWAN Engineering &amp; Technology Company</t>
  </si>
  <si>
    <t>AddPrint | DIWAN Engineering &amp; Technology Company</t>
  </si>
  <si>
    <t>AddCell | DIWAN Engineering &amp; Technology Company</t>
  </si>
  <si>
    <t>2 Mega-Pixel Machine Vision Lens | DIWAN Engineering &amp; Technology Company</t>
  </si>
  <si>
    <t>3 Mega-Pixel Machine Vision Lens | DIWAN Engineering &amp; Technology Company</t>
  </si>
  <si>
    <t>5 Mega-Pixel Machine Vision Lens | DIWAN Engineering &amp; Technology Company</t>
  </si>
  <si>
    <t>8 Mega-Pixel Machine Vision Lens | DIWAN Engineering &amp; Technology Company</t>
  </si>
  <si>
    <t>10 Mega-Pixel Machine Vision Lens | DIWAN Engineering &amp; Technology Company</t>
  </si>
  <si>
    <t>12 Mega-Pixel Machine Vision Lens | DIWAN Engineering &amp; Technology Company</t>
  </si>
  <si>
    <t>20 Mega-Pixel Machine Vision Lens | DIWAN Engineering &amp; Technology Company</t>
  </si>
  <si>
    <t>25 Mega-Pixel Machine Vision Lens | DIWAN Engineering &amp; Technology Company</t>
  </si>
  <si>
    <t>65mm Standard Resolution Telecentric Lens | DIWAN Engineering &amp; Technology Company</t>
  </si>
  <si>
    <t>110mm Standard Resolution Telecentric Lens | DIWAN Engineering &amp; Technology Company</t>
  </si>
  <si>
    <t>Standard Resolution Telecentric Lens | DIWAN Engineering &amp; Technology Company</t>
  </si>
  <si>
    <t>65mm High Resolution Telecentric Lens | DIWAN Engineering &amp; Technology Company</t>
  </si>
  <si>
    <t>110mm High Resolution Telecentric Lens | DIWAN Engineering &amp; Technology Company</t>
  </si>
  <si>
    <t>High Resolution Telecentric Lens | DIWAN Engineering &amp; Technology Company</t>
  </si>
  <si>
    <t>BT-10 Series Bi-Telecentric Lens | DIWAN Engineering &amp; Technology Company</t>
  </si>
  <si>
    <t>BT-23 Series Bi-Telecentric Lens | DIWAN Engineering &amp; Technology Company</t>
  </si>
  <si>
    <t>BT-43 Series Bi-Telecentric Lens | DIWAN Engineering &amp; Technology Company</t>
  </si>
  <si>
    <t>360 Degree Internal Inspection Lens | DIWAN Engineering &amp; Technology Company</t>
  </si>
  <si>
    <t>360 Degree External Inspection Lens | DIWAN Engineering &amp; Technology Company</t>
  </si>
  <si>
    <t>LM Series Low Magnification Line-Scan Lens | DIWAN Engineering &amp; Technology Company</t>
  </si>
  <si>
    <t>LC Series Low Magnification Line-Scan Lens | DIWAN Engineering &amp; Technology Company</t>
  </si>
  <si>
    <t>LS Series Low Magnification Line-Scan Lens | DIWAN Engineering &amp; Technology Company</t>
  </si>
  <si>
    <t>1 Inch Fixed-Focus Shortwave Lens Series (900-1700nm) | DIWAN Engineering &amp; Technology Company</t>
  </si>
  <si>
    <t>2/3-Inch Fixed-Focus Shortwave Lens Series | DIWAN Engineering &amp; Technology Company</t>
  </si>
  <si>
    <t>1-Inch Continuous Zoom Shortwave Lens Series | DIWAN Engineering &amp; Technology Company</t>
  </si>
  <si>
    <t>AE Series GigE Industrial Area Scan Camera | DIWAN Engineering &amp; Technology Company</t>
  </si>
  <si>
    <t>Medium &amp; High-Speed Line Scan Camera | DIWAN Engineering &amp; Technology Company</t>
  </si>
  <si>
    <t>LINESCAN Series High Resolution Line Scan Camera | DIWAN Engineering &amp; Technology Company</t>
  </si>
  <si>
    <t>Concentrating Hyperspectral Camera | DIWAN Engineering &amp; Technology Company</t>
  </si>
  <si>
    <t>Push-Broom Hyperspectral Camera 2nm | DIWAN Engineering &amp; Technology Company</t>
  </si>
  <si>
    <t>Push-Broom Hyperspectral Camera 3nm | DIWAN Engineering &amp; Technology Company</t>
  </si>
  <si>
    <t>LANO-SP900-1700B Push-Broom Hyperspectral Camera | DIWAN Engineering &amp; Technology Company</t>
  </si>
  <si>
    <t>Airborne Multispectral PTZ Camera | DIWAN Engineering &amp; Technology Company</t>
  </si>
  <si>
    <t>8-Channel Video Spectrum Camera | DIWAN Engineering &amp; Technology Company</t>
  </si>
  <si>
    <t>4-Channel Video Spectrum Camera | DIWAN Engineering &amp; Technology Company</t>
  </si>
  <si>
    <t>LANO-HSC20-25000G | DIWAN Engineering &amp; Technology Company</t>
  </si>
  <si>
    <t>LANO-HSC131-1000000G | DIWAN Engineering &amp; Technology Company</t>
  </si>
  <si>
    <t>2MP High Resolution High Speed Video Camera | DIWAN Engineering &amp; Technology Company</t>
  </si>
  <si>
    <t>LANO-HSC Series Ultra Data Throughput High Speed Cameras | DIWAN Engineering &amp; Technology Company</t>
  </si>
  <si>
    <t>Coaxial Lighting Source | DIWAN Engineering &amp; Technology Company</t>
  </si>
  <si>
    <t>Angle Coaxial Light Source | DIWAN Engineering &amp; Technology Company</t>
  </si>
  <si>
    <t>High-Brightness High-Power Ring Light | DIWAN Engineering &amp; Technology Company</t>
  </si>
  <si>
    <t>Bi-Directional Shadowless High-Angle Ring Light | DIWAN Engineering &amp; Technology Company</t>
  </si>
  <si>
    <t>Shadowless Ring Low-Angle Light Source | DIWAN Engineering &amp; Technology Company</t>
  </si>
  <si>
    <t>Multidirectional Shadowless Ring Light Source | DIWAN Engineering &amp; Technology Company</t>
  </si>
  <si>
    <t>Highlight Shadowless Ring Light | DIWAN Engineering &amp; Technology Company</t>
  </si>
  <si>
    <t>Tricolor Ring Light Source | DIWAN Engineering &amp; Technology Company</t>
  </si>
  <si>
    <t>Square Shadowless Light | DIWAN Engineering &amp; Technology Company</t>
  </si>
  <si>
    <t>UV (IR) Light Source | DIWAN Engineering &amp; Technology Company</t>
  </si>
  <si>
    <t>AOI Light Source | DIWAN Engineering &amp; Technology Company</t>
  </si>
  <si>
    <t>Spherical Light Source | DIWAN Engineering &amp; Technology Company</t>
  </si>
  <si>
    <t>Multispectral Camera | DIWAN Engineering &amp; Technology Company</t>
  </si>
  <si>
    <t>0.5m Resolution Visible Light Camera | DIWAN Engineering &amp; Technology Company</t>
  </si>
  <si>
    <t>0.9m Resolution Visible Light Camera | DIWAN Engineering &amp; Technology Company</t>
  </si>
  <si>
    <t>0.3m Resolution Visible Light / 4m Long-Wave Infrared Camera | DIWAN Engineering &amp; Technology Company</t>
  </si>
  <si>
    <t>2.5m Resolution Wide-Frame Camera | DIWAN Engineering &amp; Technology Company</t>
  </si>
  <si>
    <t>2m Resolution Visible-Light Multispectral Wide-Field Camera | DIWAN Engineering &amp; Technology Company</t>
  </si>
  <si>
    <t>Space Target Detection Camera | DIWAN Engineering &amp; Technology Company</t>
  </si>
  <si>
    <t>Spaceborne Selfie Camera | DIWAN Engineering &amp; Technology Company</t>
  </si>
  <si>
    <t>4m Resolution Visible Multispectral Camera | DIWAN Engineering &amp; Technology Company</t>
  </si>
  <si>
    <t>Ultra-High Accuracy (RD01) Star Sensor | DIWAN Engineering &amp; Technology Company</t>
  </si>
  <si>
    <t>Ultra-High Accuracy (RD12) Star Sensor | DIWAN Engineering &amp; Technology Company</t>
  </si>
  <si>
    <t>Ultra Lightweight (RD003) Sun Sensor | DIWAN Engineering &amp; Technology Company</t>
  </si>
  <si>
    <t>Ultra Lightweight &amp; High Dynamic (RD02-3) Star Sensor | DIWAN Engineering &amp; Technology Company</t>
  </si>
  <si>
    <t>Nano-Type (RD04) Star Sensor | DIWAN Engineering &amp; Technology Company</t>
  </si>
  <si>
    <t>Dual Light Source 4-Axis Integrated Fiber Optic Gyroscope Combination | DIWAN Engineering &amp; Technology Company</t>
  </si>
  <si>
    <t>3 Orthogonal High-Precision Fiber Optic Gyroscope Combination | DIWAN Engineering &amp; Technology Company</t>
  </si>
  <si>
    <t>3 Orthogonal 1 Oblique Mounted High-Precision Fiber Optic Gyroscope Combination | DIWAN Engineering &amp; Technology Company</t>
  </si>
  <si>
    <t>Micro Fiber Gyroscope Combination (Star W Standard) | DIWAN Engineering &amp; Technology Company</t>
  </si>
  <si>
    <t>Micro Fiber Gyroscope Combination | DIWAN Engineering &amp; Technology Company</t>
  </si>
  <si>
    <t>Very High Precision Fiber Optic Gyroscope Combination | DIWAN Engineering &amp; Technology Company</t>
  </si>
  <si>
    <t>3 Orthogonal 1 Oblique Mounted Hemispherical Gyroscope Attitude Sensor | DIWAN Engineering &amp; Technology Company</t>
  </si>
  <si>
    <t>Micro Mechanical Inertial Unit | DIWAN Engineering &amp; Technology Company</t>
  </si>
  <si>
    <t>High-Precision Plus Table Combination | DIWAN Engineering &amp; Technology Company</t>
  </si>
  <si>
    <t>Ferrofluid Angular Velocity Sensor | DIWAN Engineering &amp; Technology Company</t>
  </si>
  <si>
    <t>80mNms Three-Axis Integrated Micro Flywheel | DIWAN Engineering &amp; Technology Company</t>
  </si>
  <si>
    <t>200mNms Three-Axis Integrated Micro Flywheel | DIWAN Engineering &amp; Technology Company</t>
  </si>
  <si>
    <t>300mNms Single-Axis Micro Flywheel | DIWAN Engineering &amp; Technology Company</t>
  </si>
  <si>
    <t>600mNms Single-Axis Micro Flywheel | DIWAN Engineering &amp; Technology Company</t>
  </si>
  <si>
    <t>Universal 160 Reaction Flywheel | DIWAN Engineering &amp; Technology Company</t>
  </si>
  <si>
    <t>Universal 8Nms Flywheel (Star W Standard) | DIWAN Engineering &amp; Technology Company</t>
  </si>
  <si>
    <t>Universal 260 Reaction Flywheel | DIWAN Engineering &amp; Technology Company</t>
  </si>
  <si>
    <t>Universal 350 Reaction Flywheel | DIWAN Engineering &amp; Technology Company</t>
  </si>
  <si>
    <t>1Nm Strong Torque Reaction Flywheel | DIWAN Engineering &amp; Technology Company</t>
  </si>
  <si>
    <t>12-25Nms Momentum Wheel (Analog Quantity) | DIWAN Engineering &amp; Technology Company</t>
  </si>
  <si>
    <t>50-68Nms Momentum Wheel (Analog Quantity) | DIWAN Engineering &amp; Technology Company</t>
  </si>
  <si>
    <t>20Nms Dual-Mode Flywheel | DIWAN Engineering &amp; Technology Company</t>
  </si>
  <si>
    <t>2.5Nms Single-Frame Control Moment Gyroscope | DIWAN Engineering &amp; Technology Company</t>
  </si>
  <si>
    <t>10Nms Control Moment Gyroscope | DIWAN Engineering &amp; Technology Company</t>
  </si>
  <si>
    <t>15Nms Single-Frame Control Moment Gyroscope | DIWAN Engineering &amp; Technology Company</t>
  </si>
  <si>
    <t>Triaxial Magnetometer | DIWAN Engineering &amp; Technology Company</t>
  </si>
  <si>
    <t>Magnetic Torquer | DIWAN Engineering &amp; Technology Company</t>
  </si>
  <si>
    <t>Pointing Mirror Laser Communication Terminal | DIWAN Engineering &amp; Technology Company</t>
  </si>
  <si>
    <t>Two-Dimensional Rotary Laser Communication Terminal | DIWAN Engineering &amp; Technology Company</t>
  </si>
  <si>
    <t>Micro-Nano Satellite-Borne Laser Communication Terminal | DIWAN Engineering &amp; Technology Company</t>
  </si>
  <si>
    <t>Airborne Laser Communication Terminal | DIWAN Engineering &amp; Technology Company</t>
  </si>
  <si>
    <t>5G Laser Communication Terminal Between Base Stations | DIWAN Engineering &amp; Technology Company</t>
  </si>
  <si>
    <t>Portable Laser Communication Terminal | DIWAN Engineering &amp; Technology Company</t>
  </si>
  <si>
    <t>Underwater Laser Communication Terminal | DIWAN Engineering &amp; Technology Company</t>
  </si>
  <si>
    <t>Vehicle-Mounted Laser Communication Terminal | DIWAN Engineering &amp; Technology Company</t>
  </si>
  <si>
    <t>13-Meter Fixed Station Antenna | DIWAN Engineering &amp; Technology Company</t>
  </si>
  <si>
    <t>9.0-Meter Fixed Station Antenna | DIWAN Engineering &amp; Technology Company</t>
  </si>
  <si>
    <t>Fixed Station Antenna (3.7-7.3m) | DIWAN Engineering &amp; Technology Company</t>
  </si>
  <si>
    <t>Fixed Station Antenna (1.8-3.0m) | DIWAN Engineering &amp; Technology Company</t>
  </si>
  <si>
    <t>Portable Station Antenna Series | DIWAN Engineering &amp; Technology Company</t>
  </si>
  <si>
    <t>Box-Type Portable Station Series | DIWAN Engineering &amp; Technology Company</t>
  </si>
  <si>
    <t>Move / Pause Communication Series | DIWAN Engineering &amp; Technology Company</t>
  </si>
  <si>
    <t>Remote Sensing Telemetry and Control Antenna Feed System | DIWAN Engineering &amp; Technology Company</t>
  </si>
  <si>
    <t>Radome Series | DIWAN Engineering &amp; Technology Company</t>
  </si>
  <si>
    <t>Satellite Communication Terminal - Manual | DIWAN Engineering &amp; Technology Company</t>
  </si>
  <si>
    <t>Satellite Communication Terminal - Automatic | DIWAN Engineering &amp; Technology Company</t>
  </si>
  <si>
    <t>Satellite Communication Terminal - Tablet Communication Terminal | DIWAN Engineering &amp; Technology Company</t>
  </si>
  <si>
    <t>Scatter Communication Terminals | DIWAN Engineering &amp; Technology Company</t>
  </si>
  <si>
    <t>Antennas in Motion | DIWAN Engineering &amp; Technology Company</t>
  </si>
  <si>
    <t>Customized Antennas | DIWAN Engineering &amp; Technology Company</t>
  </si>
  <si>
    <t>Segmented Satellite Platform | DIWAN Engineering &amp; Technology Company</t>
  </si>
  <si>
    <t>Four-Push Integrated Resistor System | DIWAN Engineering &amp; Technology Company</t>
  </si>
  <si>
    <t>Optical Parts | DIWAN Engineering &amp; Technology Company</t>
  </si>
  <si>
    <t>High Pressure and Temperature Syringe Pumps | DIWAN Engineering &amp; Technology Company</t>
  </si>
  <si>
    <t>Computerized Integrated Syringe Pumps | DIWAN Engineering &amp; Technology Company</t>
  </si>
  <si>
    <t>Manual Syringe Pumps | DIWAN Engineering &amp; Technology Company</t>
  </si>
  <si>
    <t>Membrane Accumulators | DIWAN Engineering &amp; Technology Company</t>
  </si>
  <si>
    <t>Autoclave | DIWAN Engineering &amp; Technology Company</t>
  </si>
  <si>
    <t>Chemical Reactors | DIWAN Engineering &amp; Technology Company</t>
  </si>
  <si>
    <t>Automated Pilot Plants | DIWAN Engineering &amp; Technology Company</t>
  </si>
  <si>
    <t>High Pressure Cell | DIWAN Engineering &amp; Technology Company</t>
  </si>
  <si>
    <t>Chemical Process Equipment | DIWAN Engineering &amp; Technology Company</t>
  </si>
  <si>
    <t>SFE Systems | DIWAN Engineering &amp; Technology Company</t>
  </si>
  <si>
    <t>SAS Systems | DIWAN Engineering &amp; Technology Company</t>
  </si>
  <si>
    <t>Hydrothermal Synthesis | DIWAN Engineering &amp; Technology Company</t>
  </si>
  <si>
    <t>High Pressure Autoclaves | DIWAN Engineering &amp; Technology Company</t>
  </si>
  <si>
    <t>High Pressure Cells | DIWAN Engineering &amp; Technology Company</t>
  </si>
  <si>
    <t>Isostatic Pressing | DIWAN Engineering &amp; Technology Company</t>
  </si>
  <si>
    <t>Surface and Thermal Treatment | DIWAN Engineering &amp; Technology Company</t>
  </si>
  <si>
    <t>High Pressure Generator / Booster Compressor | DIWAN Engineering &amp; Technology Company</t>
  </si>
  <si>
    <t>High Pressure Hydrogen Gas Rigs | DIWAN Engineering &amp; Technology Company</t>
  </si>
  <si>
    <t>Core Holder | DIWAN Engineering &amp; Technology Company</t>
  </si>
  <si>
    <t>Gas Permeability | DIWAN Engineering &amp; Technology Company</t>
  </si>
  <si>
    <t>Mercury-Free Porosimeter | DIWAN Engineering &amp; Technology Company</t>
  </si>
  <si>
    <t>Fluid Characterization PVT | DIWAN Engineering &amp; Technology Company</t>
  </si>
  <si>
    <t>Microfluidics | DIWAN Engineering &amp; Technology Company</t>
  </si>
  <si>
    <t>Rock Acoustics | DIWAN Engineering &amp; Technology Company</t>
  </si>
  <si>
    <t>Gas Hydrate | DIWAN Engineering &amp; Technology Company</t>
  </si>
  <si>
    <t>Mechanical Characterization Under High Confinement | DIWAN Engineering &amp; Technology Company</t>
  </si>
  <si>
    <t>Thermal Treatment Under Pressure | DIWAN Engineering &amp; Technology Company</t>
  </si>
  <si>
    <t>CO2 Geological Storage | DIWAN Engineering &amp; Technology Company</t>
  </si>
  <si>
    <t>Salt Core Method | DIWAN Engineering &amp; Technology Company</t>
  </si>
  <si>
    <t>Desorption and Diffusion | DIWAN Engineering &amp; Technology Company</t>
  </si>
  <si>
    <t>Characterisation of Poro-Visco-Elastic Properties | DIWAN Engineering &amp; Technology Company</t>
  </si>
  <si>
    <t>Diffusion Test | DIWAN Engineering &amp; Technology Company</t>
  </si>
  <si>
    <t>Primary Absorption | DIWAN Engineering &amp; Technology Company</t>
  </si>
  <si>
    <t>Dimensional Stability on Specimens | DIWAN Engineering &amp; Technology Company</t>
  </si>
  <si>
    <t>High Pressure / Temperature Rotational Rheometer | DIWAN Engineering &amp; Technology Company</t>
  </si>
  <si>
    <t>Horizontal Triaxial Gas Apparatus | DIWAN Engineering &amp; Technology Company</t>
  </si>
  <si>
    <t>Creep Apparatus | DIWAN Engineering &amp; Technology Company</t>
  </si>
  <si>
    <t>HP/HT Core Holder with Confining Pressure | DIWAN Engineering &amp; Technology Company</t>
  </si>
  <si>
    <t>Large Gas Permeameter | DIWAN Engineering &amp; Technology Company</t>
  </si>
  <si>
    <t>High Temperature Triaxial Cell | DIWAN Engineering &amp; Technology Company</t>
  </si>
  <si>
    <t>Gas Permeability Coupled with Raman Spectrometer | DIWAN Engineering &amp; Technology Company</t>
  </si>
  <si>
    <t>Onshore Hydrocarbon Production Simulator | DIWAN Engineering &amp; Technology Company</t>
  </si>
  <si>
    <t>Electro-Mechanical Compaction of Plug / Core | DIWAN Engineering &amp; Technology Company</t>
  </si>
  <si>
    <t>Large-Scale Gas Permeameter with X-Ray Tomography | DIWAN Engineering &amp; Technology Company</t>
  </si>
  <si>
    <t>Foam Qualification Cell - DFCD | DIWAN Engineering &amp; Technology Company</t>
  </si>
  <si>
    <t>Corrosion Duplex Static Cyclic Salt Water | DIWAN Engineering &amp; Technology Company</t>
  </si>
  <si>
    <t>Sulfide Stress Cracking Corrosion Test Cells | DIWAN Engineering &amp; Technology Company</t>
  </si>
  <si>
    <t>Horizontal Test Vessels | DIWAN Engineering &amp; Technology Company</t>
  </si>
  <si>
    <t>Test Loop | DIWAN Engineering &amp; Technology Company</t>
  </si>
  <si>
    <t>HP/HT Scratching Device | DIWAN Engineering &amp; Technology Company</t>
  </si>
  <si>
    <t>Basic Dynamic Loop | DIWAN Engineering &amp; Technology Company</t>
  </si>
  <si>
    <t>Dynamic Loop with Mass Loss Device | DIWAN Engineering &amp; Technology Company</t>
  </si>
  <si>
    <t>Full Option Dynamic Loop | DIWAN Engineering &amp; Technology Company</t>
  </si>
  <si>
    <t>Graphene Coating Corrosion Resistance | DIWAN Engineering &amp; Technology Company</t>
  </si>
  <si>
    <t>Electrochemical Corrosion Cell | DIWAN Engineering &amp; Technology Company</t>
  </si>
  <si>
    <t>Supercritical Fluids CO2 | DIWAN Engineering &amp; Technology Company</t>
  </si>
  <si>
    <t>Supercritical Fluid Extraction | DIWAN Engineering &amp; Technology Company</t>
  </si>
  <si>
    <t>Supercritical Impregnation | DIWAN Engineering &amp; Technology Company</t>
  </si>
  <si>
    <t>Supercritical Reactor | DIWAN Engineering &amp; Technology Company</t>
  </si>
  <si>
    <t>Supercritical Fluid Chromatography | DIWAN Engineering &amp; Technology Company</t>
  </si>
  <si>
    <t>High Pressure Reactors in Brine Dedicated to Supercritical Fluids | DIWAN Engineering &amp; Technology Company</t>
  </si>
  <si>
    <t>Supercritical Antisolvent Process | DIWAN Engineering &amp; Technology Company</t>
  </si>
  <si>
    <t>Particle Generation Systems | DIWAN Engineering &amp; Technology Company</t>
  </si>
  <si>
    <t>Nuclearized High Pressure CO2 Pumps | DIWAN Engineering &amp; Technology Company</t>
  </si>
  <si>
    <t>Golden Gate ATR | DIWAN Engineering &amp; Technology Company</t>
  </si>
  <si>
    <t>Quest ATR Accessory | DIWAN Engineering &amp; Technology Company</t>
  </si>
  <si>
    <t>Silver Gate ATR Accessory | DIWAN Engineering &amp; Technology Company</t>
  </si>
  <si>
    <t>GladiATR ATR Accessory | DIWAN Engineering &amp; Technology Company</t>
  </si>
  <si>
    <t>Gateway ATR Accessory | DIWAN Engineering &amp; Technology Company</t>
  </si>
  <si>
    <t>Transmission Accessory | DIWAN Engineering &amp; Technology Company</t>
  </si>
  <si>
    <t>Vacuum Jacketed Gas Cells | DIWAN Engineering &amp; Technology Company</t>
  </si>
  <si>
    <t>Storm Heated Cell | DIWAN Engineering &amp; Technology Company</t>
  </si>
  <si>
    <t>Heated Jacketed Sample Cup | DIWAN Engineering &amp; Technology Company</t>
  </si>
  <si>
    <t>Water Heating Jacket | DIWAN Engineering &amp; Technology Company</t>
  </si>
  <si>
    <t>Pearl Liquid Transmission Accessory | DIWAN Engineering &amp; Technology Company</t>
  </si>
  <si>
    <t>Omni-Cell Specacell | DIWAN Engineering &amp; Technology Company</t>
  </si>
  <si>
    <t>Cyclone Gas Cell | DIWAN Engineering &amp; Technology Company</t>
  </si>
  <si>
    <t>Atmospheric Gas Cells | DIWAN Engineering &amp; Technology Company</t>
  </si>
  <si>
    <t>Pearl Demountable Cell | DIWAN Engineering &amp; Technology Company</t>
  </si>
  <si>
    <t>High Pressure Liquid Transmission Cell | DIWAN Engineering &amp; Technology Company</t>
  </si>
  <si>
    <t>Short Pathlength Gas Cell | DIWAN Engineering &amp; Technology Company</t>
  </si>
  <si>
    <t>Demountable Liquid Cells | DIWAN Engineering &amp; Technology Company</t>
  </si>
  <si>
    <t>Spectrum 3 Automatic Filter Wheel | DIWAN Engineering &amp; Technology Company</t>
  </si>
  <si>
    <t>Advanced Solid Sample Kit | DIWAN Engineering &amp; Technology Company</t>
  </si>
  <si>
    <t>NIR Liquid and Solid Sampling System | DIWAN Engineering &amp; Technology Company</t>
  </si>
  <si>
    <t>DRIFTS Mini-Diff Plus | DIWAN Engineering &amp; Technology Company</t>
  </si>
  <si>
    <t>Praying Mantis DRIFTS | DIWAN Engineering &amp; Technology Company</t>
  </si>
  <si>
    <t>Selector Diffuse Reflectance | DIWAN Engineering &amp; Technology Company</t>
  </si>
  <si>
    <t>Tornado Long Path Gas Cell | DIWAN Engineering &amp; Technology Company</t>
  </si>
  <si>
    <t>Long-Path Gases Heated Cell | DIWAN Engineering &amp; Technology Company</t>
  </si>
  <si>
    <t>Tornado Long Path Heated Cells | DIWAN Engineering &amp; Technology Company</t>
  </si>
  <si>
    <t>MinION High Temperature Analysis | DIWAN Engineering &amp; Technology Company</t>
  </si>
  <si>
    <t>Variable Angle Reflectance Accessory | DIWAN Engineering &amp; Technology Company</t>
  </si>
  <si>
    <t>Accessory for Transmission &amp; Variable Reflectance | DIWAN Engineering &amp; Technology Company</t>
  </si>
  <si>
    <t>Monolayer / Grazing Angle Accessory | DIWAN Engineering &amp; Technology Company</t>
  </si>
  <si>
    <t>External Sample Module | DIWAN Engineering &amp; Technology Company</t>
  </si>
  <si>
    <t>Flyer Series | DIWAN Engineering &amp; Technology Company</t>
  </si>
  <si>
    <t>Vacuum Pellet Presses | DIWAN Engineering &amp; Technology Company</t>
  </si>
  <si>
    <t>HPHT Cell | DIWAN Engineering &amp; Technology Company</t>
  </si>
  <si>
    <t>XRD Sample Holders | DIWAN Engineering &amp; Technology Company</t>
  </si>
  <si>
    <t>Transmission Sample Holders | DIWAN Engineering &amp; Technology Company</t>
  </si>
  <si>
    <t>Manual Hydraulic Pellet Press | DIWAN Engineering &amp; Technology Company</t>
  </si>
  <si>
    <t>25T Atlas Automatic Pellet Press | DIWAN Engineering &amp; Technology Company</t>
  </si>
  <si>
    <t>15T Atlas Power Press | DIWAN Engineering &amp; Technology Company</t>
  </si>
  <si>
    <t>40T Atlas Power Press | DIWAN Engineering &amp; Technology Company</t>
  </si>
  <si>
    <t>Atlas Autotouch Press | DIWAN Engineering &amp; Technology Company</t>
  </si>
  <si>
    <t>Atlas E-Series Electric Hydraulic Press | DIWAN Engineering &amp; Technology Company</t>
  </si>
  <si>
    <t>50T Autotouch Automatic Press | DIWAN Engineering &amp; Technology Company</t>
  </si>
  <si>
    <t>KBr Pellet Kit | DIWAN Engineering &amp; Technology Company</t>
  </si>
  <si>
    <t>Basic Solid Sampling Kit | DIWAN Engineering &amp; Technology Company</t>
  </si>
  <si>
    <t>Evacuable Pellet Dies | DIWAN Engineering &amp; Technology Company</t>
  </si>
  <si>
    <t>Gas Loadable Pellet Die | DIWAN Engineering &amp; Technology Company</t>
  </si>
  <si>
    <t>Lab Pellet Press Die Sets | DIWAN Engineering &amp; Technology Company</t>
  </si>
  <si>
    <t>Vacuum Pellet Die Assembly | DIWAN Engineering &amp; Technology Company</t>
  </si>
  <si>
    <t>Constant Thickness Film Maker | DIWAN Engineering &amp; Technology Company</t>
  </si>
  <si>
    <t>Atlas Heated Platen | DIWAN Engineering &amp; Technology Company</t>
  </si>
  <si>
    <t>Atlas Heated Platens and Film Maker | DIWAN Engineering &amp; Technology Company</t>
  </si>
  <si>
    <t>Electron Microscopy Press | DIWAN Engineering &amp; Technology Company</t>
  </si>
  <si>
    <t>Zephyr NIR and UV Process Cell | DIWAN Engineering &amp; Technology Company</t>
  </si>
  <si>
    <t>Kestrel NIR and UV Diffuse Reflection Probe | DIWAN Engineering &amp; Technology Company</t>
  </si>
  <si>
    <t>Kestrel NIR and UV Process Flow-Through Cell | DIWAN Engineering &amp; Technology Company</t>
  </si>
  <si>
    <t>Infrared Wire Grid Polarizers | DIWAN Engineering &amp; Technology Company</t>
  </si>
  <si>
    <t>ZnSe Wire Grid Polarizer | DIWAN Engineering &amp; Technology Company</t>
  </si>
  <si>
    <t>BaF2 Wire Grid Polarizer | DIWAN Engineering &amp; Technology Company</t>
  </si>
  <si>
    <t>KRS-5 Wire Grid Polarizer | DIWAN Engineering &amp; Technology Company</t>
  </si>
  <si>
    <t>Ge Wire Grid Polarizer | DIWAN Engineering &amp; Technology Company</t>
  </si>
  <si>
    <t>PV-100 Tabletop Tungsten SEM | DIWAN Engineering &amp; Technology Company</t>
  </si>
  <si>
    <t>PV-100+ Tabletop Tungsten SEM | DIWAN Engineering &amp; Technology Company</t>
  </si>
  <si>
    <t>PV-150 Tabletop Tungsten SEM | DIWAN Engineering &amp; Technology Company</t>
  </si>
  <si>
    <t>PV-150+ Tabletop Tungsten SEM | DIWAN Engineering &amp; Technology Company</t>
  </si>
  <si>
    <t>PE-100 Floor-Type Tungsten SEM | DIWAN Engineering &amp; Technology Company</t>
  </si>
  <si>
    <t>PE-100+ Floor-Type Tungsten SEM | DIWAN Engineering &amp; Technology Company</t>
  </si>
  <si>
    <t>PE-150 Floor-Type Tungsten SEM | DIWAN Engineering &amp; Technology Company</t>
  </si>
  <si>
    <t>PE-150+ Floor-Type Tungsten SEM | DIWAN Engineering &amp; Technology Company</t>
  </si>
  <si>
    <t>PE-300 Entry-Level FE-SEM | DIWAN Engineering &amp; Technology Company</t>
  </si>
  <si>
    <t>BSE Detector and SEM Accessories | DIWAN Engineering &amp; Technology Company</t>
  </si>
  <si>
    <t>Single Column Universal Testing Machine | DIWAN Engineering &amp; Technology Company</t>
  </si>
  <si>
    <t>Double Column Tabletop Universal Testing Machine | DIWAN Engineering &amp; Technology Company</t>
  </si>
  <si>
    <t>Floor Model Universal Testing Machine | DIWAN Engineering &amp; Technology Company</t>
  </si>
  <si>
    <t>Computerized Dual Space Universal Testing Machine | DIWAN Engineering &amp; Technology Company</t>
  </si>
  <si>
    <t>Electronic Universal Testing Machine | DIWAN Engineering &amp; Technology Company</t>
  </si>
  <si>
    <t>Hydraulic Servo Universal Testing Machine | DIWAN Engineering &amp; Technology Company</t>
  </si>
  <si>
    <t>Hydraulic Universal Testing Machine | DIWAN Engineering &amp; Technology Company</t>
  </si>
  <si>
    <t>Hydraulic Compression Testing Machine | DIWAN Engineering &amp; Technology Company</t>
  </si>
  <si>
    <t>High Temperature Universal Testing Machine | DIWAN Engineering &amp; Technology Company</t>
  </si>
  <si>
    <t>Fixture Jig and Grips | DIWAN Engineering &amp; Technology Company</t>
  </si>
  <si>
    <t>Universal Material Testing Machine Application | DIWAN Engineering &amp; Technology Company</t>
  </si>
  <si>
    <t>Spine and Bone Surgical Implants Testing Machine | DIWAN Engineering &amp; Technology Company</t>
  </si>
  <si>
    <t>Metal Impact Testing Machine | DIWAN Engineering &amp; Technology Company</t>
  </si>
  <si>
    <t>Digital Charpy Impact Testing Machine | DIWAN Engineering &amp; Technology Company</t>
  </si>
  <si>
    <t>Drop Weight Tear Test Impact Testing Machine | DIWAN Engineering &amp; Technology Company</t>
  </si>
  <si>
    <t>Automatic Feeding Charpy Impact Testing Machine | DIWAN Engineering &amp; Technology Company</t>
  </si>
  <si>
    <t>Electronic Izod Impact Strength Test | DIWAN Engineering &amp; Technology Company</t>
  </si>
  <si>
    <t>Model Impact Test Specimens | DIWAN Engineering &amp; Technology Company</t>
  </si>
  <si>
    <t>Charpy Impact Notch Projector | DIWAN Engineering &amp; Technology Company</t>
  </si>
  <si>
    <t>Impact Strength Test Blocks | DIWAN Engineering &amp; Technology Company</t>
  </si>
  <si>
    <t>Cryostat for Impact Test | DIWAN Engineering &amp; Technology Company</t>
  </si>
  <si>
    <t>Notch Specimen Cutter | DIWAN Engineering &amp; Technology Company</t>
  </si>
  <si>
    <t>Impact Test Samples Straightening Instrument | DIWAN Engineering &amp; Technology Company</t>
  </si>
  <si>
    <t>Pipe Impact Testing Machine | DIWAN Engineering &amp; Technology Company</t>
  </si>
  <si>
    <t>Pendulum Impact Testing Machine for Plastics | DIWAN Engineering &amp; Technology Company</t>
  </si>
  <si>
    <t>Falling Weight Impact Testing Machine | DIWAN Engineering &amp; Technology Company</t>
  </si>
  <si>
    <t>Falling Dart Impact Test Machine | DIWAN Engineering &amp; Technology Company</t>
  </si>
  <si>
    <t>Brinell Hardness Tester | DIWAN Engineering &amp; Technology Company</t>
  </si>
  <si>
    <t>Rockwell Hardness Tester | DIWAN Engineering &amp; Technology Company</t>
  </si>
  <si>
    <t>Vickers Hardness Tester | DIWAN Engineering &amp; Technology Company</t>
  </si>
  <si>
    <t>Shore Hardness Tester | DIWAN Engineering &amp; Technology Company</t>
  </si>
  <si>
    <t>Webster Hardness Tester | DIWAN Engineering &amp; Technology Company</t>
  </si>
  <si>
    <t>Leeb Hardness Tester | DIWAN Engineering &amp; Technology Company</t>
  </si>
  <si>
    <t>Barcol Hardness Tester | DIWAN Engineering &amp; Technology Company</t>
  </si>
  <si>
    <t>Rockwell Superficial Hardness Tester | DIWAN Engineering &amp; Technology Company</t>
  </si>
  <si>
    <t>Portable Hardness Tester | DIWAN Engineering &amp; Technology Company</t>
  </si>
  <si>
    <t>Universal Hardness Tester | DIWAN Engineering &amp; Technology Company</t>
  </si>
  <si>
    <t>Universal Hardness Tester (Electric Turret) | DIWAN Engineering &amp; Technology Company</t>
  </si>
  <si>
    <t>Brinell Optical Measuring Systems | DIWAN Engineering &amp; Technology Company</t>
  </si>
  <si>
    <t>Vickers Optical Measuring Systems | DIWAN Engineering &amp; Technology Company</t>
  </si>
  <si>
    <t>Brinell Indentation Diameter Measurement | DIWAN Engineering &amp; Technology Company</t>
  </si>
  <si>
    <t>Manual Metallographic Cutting Machine | DIWAN Engineering &amp; Technology Company</t>
  </si>
  <si>
    <t>Automatic Metallographic Cutting Machine | DIWAN Engineering &amp; Technology Company</t>
  </si>
  <si>
    <t>Manual Metallographic Specimen Mounting Press | DIWAN Engineering &amp; Technology Company</t>
  </si>
  <si>
    <t>Metallurgical Microscope | DIWAN Engineering &amp; Technology Company</t>
  </si>
  <si>
    <t>Metallographic Specimen Mounting Press | DIWAN Engineering &amp; Technology Company</t>
  </si>
  <si>
    <t>Metallographic Specimen Pre-Grinding Machine | DIWAN Engineering &amp; Technology Company</t>
  </si>
  <si>
    <t>Metallographic Specimen Polishing Machine | DIWAN Engineering &amp; Technology Company</t>
  </si>
  <si>
    <t>Metallographic Specimen Grinding Polishing Machine | DIWAN Engineering &amp; Technology Company</t>
  </si>
  <si>
    <t>Metallographic Automatic Specimen Grinding Polishing Machine | DIWAN Engineering &amp; Technology Company</t>
  </si>
  <si>
    <t>Metallographic Grinding Polishing Consumables | DIWAN Engineering &amp; Technology Company</t>
  </si>
  <si>
    <t>Spectrometer | DIWAN Engineering &amp; Technology Company</t>
  </si>
  <si>
    <t>Metallographic Analysis Software | DIWAN Engineering &amp; Technology Company</t>
  </si>
  <si>
    <t>Dynamic and Static Fatigue Testing Machine | DIWAN Engineering &amp; Technology Company</t>
  </si>
  <si>
    <t>Tension Compression Fatigue Testing Machine | DIWAN Engineering &amp; Technology Company</t>
  </si>
  <si>
    <t>Fatigue Testing Machine | DIWAN Engineering &amp; Technology Company</t>
  </si>
  <si>
    <t>Bending Fatigue Testing Machine | DIWAN Engineering &amp; Technology Company</t>
  </si>
  <si>
    <t>Rock Dynamic Testing System | DIWAN Engineering &amp; Technology Company</t>
  </si>
  <si>
    <t>Rock Dynamic and Static Triaxial Testing System | DIWAN Engineering &amp; Technology Company</t>
  </si>
  <si>
    <t>Rock Triaxial Creep Testing Machine | DIWAN Engineering &amp; Technology Company</t>
  </si>
  <si>
    <t>Dynamic and Static Universal Testing Machine | DIWAN Engineering &amp; Technology Company</t>
  </si>
  <si>
    <t>Hydraulic Servo Fatigue Testing Machine | DIWAN Engineering &amp; Technology Company</t>
  </si>
  <si>
    <t>Rotating Bending Fatigue Testing Machine | DIWAN Engineering &amp; Technology Company</t>
  </si>
  <si>
    <t>Fracture Toughness Testing Machine | DIWAN Engineering &amp; Technology Company</t>
  </si>
  <si>
    <t>Wire Torsion Testing Machine | DIWAN Engineering &amp; Technology Company</t>
  </si>
  <si>
    <t>Metal Wire Reverse Torsion Testing Machine | DIWAN Engineering &amp; Technology Company</t>
  </si>
  <si>
    <t>Wire Torsion Tester (Digital Display) | DIWAN Engineering &amp; Technology Company</t>
  </si>
  <si>
    <t>Material Torsion Testing Machine | DIWAN Engineering &amp; Technology Company</t>
  </si>
  <si>
    <t>Torsion Testing Machine | DIWAN Engineering &amp; Technology Company</t>
  </si>
  <si>
    <t>Torsional Strength Test Machine | DIWAN Engineering &amp; Technology Company</t>
  </si>
  <si>
    <t>Hand Digital Torque Wrench Tester | DIWAN Engineering &amp; Technology Company</t>
  </si>
  <si>
    <t>Steel Bar Bend Tester | DIWAN Engineering &amp; Technology Company</t>
  </si>
  <si>
    <t>Metal Wire Repeated Bending Tester | DIWAN Engineering &amp; Technology Company</t>
  </si>
  <si>
    <t>Rock Direct Shear Testing Machine | DIWAN Engineering &amp; Technology Company</t>
  </si>
  <si>
    <t>Gyratory Compactor | DIWAN Engineering &amp; Technology Company</t>
  </si>
  <si>
    <t>Elastic Modulus Tester | DIWAN Engineering &amp; Technology Company</t>
  </si>
  <si>
    <t>Resilient Modulus Tester | DIWAN Engineering &amp; Technology Company</t>
  </si>
  <si>
    <t>Asphalt Dynamic Shear Rheometer | DIWAN Engineering &amp; Technology Company</t>
  </si>
  <si>
    <t>Unconfined Compressive Strength Tester | DIWAN Engineering &amp; Technology Company</t>
  </si>
  <si>
    <t>Cement Concrete Shrinkage Apparatus | DIWAN Engineering &amp; Technology Company</t>
  </si>
  <si>
    <t>Cement Concrete Curing Room | DIWAN Engineering &amp; Technology Company</t>
  </si>
  <si>
    <t>Bending Tensile Testing Machine | DIWAN Engineering &amp; Technology Company</t>
  </si>
  <si>
    <t>Compression Shear Testing Machine | DIWAN Engineering &amp; Technology Company</t>
  </si>
  <si>
    <t>Electro Hydraulic Servo Flexure Testing Machine | DIWAN Engineering &amp; Technology Company</t>
  </si>
  <si>
    <t>Creep and Shrinkage Testing Machine | DIWAN Engineering &amp; Technology Company</t>
  </si>
  <si>
    <t>Concrete Dynamic Elastic Modulus Tester | DIWAN Engineering &amp; Technology Company</t>
  </si>
  <si>
    <t>Concrete Testing Machine | DIWAN Engineering &amp; Technology Company</t>
  </si>
  <si>
    <t>Geotextile Testing Equipment | DIWAN Engineering &amp; Technology Company</t>
  </si>
  <si>
    <t>Ultrasonic Rebound Tester | DIWAN Engineering &amp; Technology Company</t>
  </si>
  <si>
    <t>High Speed Rail Automatic Rock Ballast Testing Machine | DIWAN Engineering &amp; Technology Company</t>
  </si>
  <si>
    <t>Soil Triaxial Testing Machine | DIWAN Engineering &amp; Technology Company</t>
  </si>
  <si>
    <t>Shear Strength Testing Machine | DIWAN Engineering &amp; Technology Company</t>
  </si>
  <si>
    <t>Rock Testing Machine | DIWAN Engineering &amp; Technology Company</t>
  </si>
  <si>
    <t>Cupping Testing Machine | DIWAN Engineering &amp; Technology Company</t>
  </si>
  <si>
    <t>Helmet Testing Machine | DIWAN Engineering &amp; Technology Company</t>
  </si>
  <si>
    <t>Static Load Anchor Tester | DIWAN Engineering &amp; Technology Company</t>
  </si>
  <si>
    <t>Insulator Mechanical Property Testing Machine | DIWAN Engineering &amp; Technology Company</t>
  </si>
  <si>
    <t>Adhesion Testing Machine | DIWAN Engineering &amp; Technology Company</t>
  </si>
  <si>
    <t>Spring Test Equipment | DIWAN Engineering &amp; Technology Company</t>
  </si>
  <si>
    <t>Pressure Testing Machine | DIWAN Engineering &amp; Technology Company</t>
  </si>
  <si>
    <t>Ring Stiffness Testing Machine | DIWAN Engineering &amp; Technology Company</t>
  </si>
  <si>
    <t>Manhole Cover Compression Tester | DIWAN Engineering &amp; Technology Company</t>
  </si>
  <si>
    <t>Pull Out Testing Machine | DIWAN Engineering &amp; Technology Company</t>
  </si>
  <si>
    <t>Steel Pipe Scaffold Testing Machine | DIWAN Engineering &amp; Technology Company</t>
  </si>
  <si>
    <t>Fuel Injection Pump Test Bench | DIWAN Engineering &amp; Technology Company</t>
  </si>
  <si>
    <t>Bearing Testing Machine | DIWAN Engineering &amp; Technology Company</t>
  </si>
  <si>
    <t>High Voltage Cable Air Cooling High Frequency Test | DIWAN Engineering &amp; Technology Company</t>
  </si>
  <si>
    <t>High Voltage Cable Water Cooling Resonance Test | DIWAN Engineering &amp; Technology Company</t>
  </si>
  <si>
    <t>Pipe Fittings Cyclic Pressure Test | DIWAN Engineering &amp; Technology Company</t>
  </si>
  <si>
    <t>Disk Tube Insulator Mechanical and Electrical Performance Test | DIWAN Engineering &amp; Technology Company</t>
  </si>
  <si>
    <t>Automatic Oscillation Impact Test System | DIWAN Engineering &amp; Technology Company</t>
  </si>
  <si>
    <t>Central Control Type Forged Steel Automatic Ultrasonic Testing System | DIWAN Engineering &amp; Technology Company</t>
  </si>
  <si>
    <t>Flow Resistance Test System | DIWAN Engineering &amp; Technology Company</t>
  </si>
  <si>
    <t>Photoelectric Correction System for Profile Shape and Position Tolerance | DIWAN Engineering &amp; Technology Company</t>
  </si>
  <si>
    <t>Request technical information or a quote</t>
  </si>
  <si>
    <t>Draft - technical approval required</t>
  </si>
  <si>
    <t>DIWAN Group Website Development Checklist</t>
  </si>
  <si>
    <t>Products!M:M and Website Copy!E60:E62</t>
  </si>
  <si>
    <t>Website Copy!E5:E34</t>
  </si>
  <si>
    <t>Website Copy!E35:E53</t>
  </si>
  <si>
    <t>Website Copy!E54:E57</t>
  </si>
  <si>
    <t>Website Copy!E58:E59</t>
  </si>
  <si>
    <t>Website Copy!B12:E65</t>
  </si>
  <si>
    <t>CEO Profile</t>
  </si>
  <si>
    <t>Page eyebrow</t>
  </si>
  <si>
    <t>Draft - editorial review</t>
  </si>
  <si>
    <t>Use above the CEO name in the page hero.</t>
  </si>
  <si>
    <t>Dr. Mansour Albareeki</t>
  </si>
  <si>
    <t>Draft - name verification</t>
  </si>
  <si>
    <t>Confirm preferred English spelling and Arabic transliteration before publishing.</t>
  </si>
  <si>
    <t>Executive title</t>
  </si>
  <si>
    <t>Founder &amp; Chief Executive Officer, DIWAN Engineering &amp; Technology Company</t>
  </si>
  <si>
    <t>Draft - title verification</t>
  </si>
  <si>
    <t>Use the approved company name consistently across the website and corporate materials.</t>
  </si>
  <si>
    <t>Hero introduction</t>
  </si>
  <si>
    <t>Pair with a professional executive portrait and a concise credentials panel.</t>
  </si>
  <si>
    <t>Executive summary</t>
  </si>
  <si>
    <t>His experience combines scientific research, industrial development, sustainability, and business development. At DIWAN, he leads strategic direction, technical partnerships, and projects that connect materials science, engineering knowledge, advanced technologies, and industrial applications.</t>
  </si>
  <si>
    <t>Use as the opening biography paragraph.</t>
  </si>
  <si>
    <t>Education</t>
  </si>
  <si>
    <t>Dr. Albareeki holds a Doctor of Philosophy in Plastics Engineering from the University of Massachusetts Lowell in the United States. He also holds three Graduate Certificates in Plastics Materials, Plastics Processing, and Commercial Development for Plastics Engineers.</t>
  </si>
  <si>
    <t>Draft - credential verification required</t>
  </si>
  <si>
    <t>Verify official degree and certificate names against supporting documents.</t>
  </si>
  <si>
    <t>Research experience</t>
  </si>
  <si>
    <t>From 2016 to 2019, while pursuing his doctorate, he worked as a researcher in nanomanufacturing and polymer processing. From 2019 to 2020, he served as a postdoctoral researcher at the Center for Refining and Petrochemicals at King Fahd University of Petroleum and Minerals.</t>
  </si>
  <si>
    <t>Verify dates, institution naming, and formal position titles.</t>
  </si>
  <si>
    <t>Research focus</t>
  </si>
  <si>
    <t>His published research covers polymer processing, multiscrew extrusion, polymer composites and nanocomposites, and the effects of manufacturing conditions on material properties and energy consumption.</t>
  </si>
  <si>
    <t>Draft - publication review required</t>
  </si>
  <si>
    <t>Link to an approved publications profile or selected publications if available.</t>
  </si>
  <si>
    <t>Industrial leadership</t>
  </si>
  <si>
    <t>From 2020 to 2022, Dr. Albareeki served as Industrial Sector Manager at Saudi Top Plastic Factory. His responsibilities included developing industrial processes and production lines, establishing laboratory procedures for recycled-material testing and quality control, and advancing mechanical and chemical polymer recycling.</t>
  </si>
  <si>
    <t>Draft - experience verification required</t>
  </si>
  <si>
    <t>Confirm employer name, position title, and employment dates.</t>
  </si>
  <si>
    <t>Materials development</t>
  </si>
  <si>
    <t>During this period, he contributed to applications that converted polyethylene waste and other low-value materials into higher-value products, including applications related to polyethylene wax.</t>
  </si>
  <si>
    <t>Draft - technical review required</t>
  </si>
  <si>
    <t>Confirm which examples may be described publicly and whether project confidentiality applies.</t>
  </si>
  <si>
    <t>Sustainability leadership</t>
  </si>
  <si>
    <t>From 2023 to 2025, he served as Business Manager – Sustainability at Ingenia Polymers, with regional responsibility covering the Middle East and North Africa, as well as Pakistan. The role combined technical evaluation and business development across recycled materials, material quality, processing and recycling lines, process optimization, and market requirements.</t>
  </si>
  <si>
    <t>Confirm regional scope, title punctuation, and dates before publishing.</t>
  </si>
  <si>
    <t>Founder story</t>
  </si>
  <si>
    <t>Draft - founder review</t>
  </si>
  <si>
    <t>Consider using this paragraph as the central leadership message.</t>
  </si>
  <si>
    <t>Technical vision</t>
  </si>
  <si>
    <t>Align terminology with the final Solutions and Services architecture.</t>
  </si>
  <si>
    <t>Advisory role</t>
  </si>
  <si>
    <t>Since 2023, Dr. Albareeki has served as a member of the Advisory Council for the Scientific and Engineering Departments at Jubail Industrial College.</t>
  </si>
  <si>
    <t>Verify the council's official English name and current membership status.</t>
  </si>
  <si>
    <t>Professional recognition</t>
  </si>
  <si>
    <t>He is registered with the Saudi Center for Engineering Arbitration and professionally classified as an Expert in Petrochemical Engineering.</t>
  </si>
  <si>
    <t>Verify the organization's official English name, registration status, and classification wording.</t>
  </si>
  <si>
    <t>Use as the biography conclusion before the call to action.</t>
  </si>
  <si>
    <t>Discuss a Technology, Materials, or Industrial Development Project</t>
  </si>
  <si>
    <t>Draft - UX review</t>
  </si>
  <si>
    <t>Link to the group enquiry form and route the request by project need.</t>
  </si>
  <si>
    <t>Dr. Mansour Albareeki | Founder &amp; CEO of DIWAN</t>
  </si>
  <si>
    <t>Review final title length and keyword strategy.</t>
  </si>
  <si>
    <t>Meet Dr. Mansour Albareeki, a Saudi materials and polymer engineer, researcher, and founder of DIWAN Engineering &amp; Technology Company.</t>
  </si>
  <si>
    <t>Review length after final editorial approval.</t>
  </si>
  <si>
    <t>Leadership subpage</t>
  </si>
  <si>
    <t>Leadership | Dr. Mansour Albareeki</t>
  </si>
  <si>
    <t>Draft - information architecture review</t>
  </si>
  <si>
    <t>Place the CEO profile under About DIWAN and link it from relevant business-arm pages.</t>
  </si>
  <si>
    <t>Home | About DIWAN | Leadership | Our Business Arms | Solutions and Services | Industries | Projects and Capabilities | Knowledge and Insights | Contact</t>
  </si>
  <si>
    <t>Keep DIWAN group pages first in the hierarchy; the Leadership page should also sit beneath About DIWAN.</t>
  </si>
  <si>
    <t>ENGINEERING CONSULTATIONS</t>
  </si>
  <si>
    <t>Place above the page title as the business-arm label.</t>
  </si>
  <si>
    <t>Engineering knowledge for confident technical and industrial decisions.</t>
  </si>
  <si>
    <t>Draft - management review</t>
  </si>
  <si>
    <t>Use as the primary H1 message beneath the official entity name.</t>
  </si>
  <si>
    <t>We support research, industrial, and development projects with chemical and materials expertise, engineering studies, process guidance, technical evaluation, and practical recommendations tailored to each project stage.</t>
  </si>
  <si>
    <t>Keep the opening concise and avoid claims beyond the approved consulting scope.</t>
  </si>
  <si>
    <t>Discuss Your Engineering or Consulting Requirement</t>
  </si>
  <si>
    <t>Link to the group enquiry form and preselect Engineering Consultations.</t>
  </si>
  <si>
    <t>Explore Our Consulting Services</t>
  </si>
  <si>
    <t>Scroll to the service-group section on this page.</t>
  </si>
  <si>
    <t>Our consulting services help clients define technical requirements, evaluate options, develop processes and materials, assess feasibility, and prepare a clear path from an engineering question to implementation.</t>
  </si>
  <si>
    <t>Introduce the service cards below.</t>
  </si>
  <si>
    <t>Chemical and process engineering</t>
  </si>
  <si>
    <t>Process analysis and development; process optimization; chemical-engineering calculations and technical review; operating-condition assessment; and support for laboratory, pilot, and industrial process requirements.</t>
  </si>
  <si>
    <t>Present as a service card; confirm the final licensed scope before publication.</t>
  </si>
  <si>
    <t>Materials and product consulting</t>
  </si>
  <si>
    <t>Materials selection and evaluation; polymer and composite guidance; material-performance review; product-development support; and recommendations connecting material requirements with processing and application needs.</t>
  </si>
  <si>
    <t>Present as a service card and link to relevant group capabilities.</t>
  </si>
  <si>
    <t>Technical and feasibility studies</t>
  </si>
  <si>
    <t>Technical feasibility assessment; option comparison; preliminary process and technology review; requirement definition; risk and constraint identification; and decision-support recommendations for research and industrial initiatives.</t>
  </si>
  <si>
    <t>Do not imply financial, legal, or regulatory certification unless separately approved.</t>
  </si>
  <si>
    <t>Technical evaluation and project support</t>
  </si>
  <si>
    <t>Technical evaluation of proposed solutions, equipment, suppliers, and project approaches; specification review; vendor-document review; commissioning support; and coordination of technical requirements across project stakeholders.</t>
  </si>
  <si>
    <t>Confirm whether vendor evaluation and commissioning support are within the final service scope.</t>
  </si>
  <si>
    <t>Research and development engineering</t>
  </si>
  <si>
    <t>Engineering support for experiments, proof-of-concept work, scale-up planning, test-method development, technical problem solving, and the translation of research outcomes into practical development pathways.</t>
  </si>
  <si>
    <t>Connect to laboratories, universities, technology developers, and industrial R&amp;D teams.</t>
  </si>
  <si>
    <t>Who We Support</t>
  </si>
  <si>
    <t>Research institutions and universities; industrial companies and manufacturers; government and development entities; technology owners; project developers; laboratories; engineering and procurement teams; and organizations evaluating new materials, processes, products, or technical investments.</t>
  </si>
  <si>
    <t>Display as sector or audience cards.</t>
  </si>
  <si>
    <t>Engagement Model</t>
  </si>
  <si>
    <t>Process</t>
  </si>
  <si>
    <t>1. Define the challenge and intended outcome. 2. Review available data, constraints, and technical requirements. 3. Develop the study, evaluation, or engineering approach. 4. Present findings, options, and recommendations. 5. Support the next stage through technology, development, or manufacturing when required.</t>
  </si>
  <si>
    <t>Display as a five-step horizontal or vertical process.</t>
  </si>
  <si>
    <t>Deliverables</t>
  </si>
  <si>
    <t>Examples</t>
  </si>
  <si>
    <t>Depending on scope, deliverables may include technical assessments, engineering studies, feasibility inputs, requirement documents, option comparisons, materials or process recommendations, development plans, technical-review comments, and implementation roadmaps.</t>
  </si>
  <si>
    <t>Use “may include” because final deliverables depend on the agreed project scope.</t>
  </si>
  <si>
    <t>DIWAN Pathway</t>
  </si>
  <si>
    <t>Integration statement</t>
  </si>
  <si>
    <t>When a project moves beyond the study stage, DIWAN can connect the approved engineering direction with specialized technology and system solutions through DIWAN Engineering &amp; Technology Company, or with prototyping, materials development, and manufacturing through Saudi Advanced Composites.</t>
  </si>
  <si>
    <t>Show the group pathway without implying that every project requires another business arm.</t>
  </si>
  <si>
    <t>Scope</t>
  </si>
  <si>
    <t>Qualification note</t>
  </si>
  <si>
    <t>Services are defined project by project according to the approved scope, available information, technical requirements, and applicable professional and regulatory obligations.</t>
  </si>
  <si>
    <t>Draft - legal review</t>
  </si>
  <si>
    <t>Confirm against the entity’s official engineering-consultancy license before publication.</t>
  </si>
  <si>
    <t>Call-to-action heading</t>
  </si>
  <si>
    <t>Start with the engineering question.</t>
  </si>
  <si>
    <t>Use as the closing page heading.</t>
  </si>
  <si>
    <t>Call-to-action copy</t>
  </si>
  <si>
    <t>Tell us about your process, material, product, study, or technical challenge. The DIWAN team will review your requirement and route it to the appropriate engineering and consulting expertise.</t>
  </si>
  <si>
    <t>Place directly above the enquiry button.</t>
  </si>
  <si>
    <t>Enquiry routing</t>
  </si>
  <si>
    <t>Request an Engineering Consultation</t>
  </si>
  <si>
    <t>Form fields should capture organization, sector, project stage, challenge, required support, location, timeline, and attachments.</t>
  </si>
  <si>
    <t>Engineering Consultations | DIWAN Saudi Arabia</t>
  </si>
  <si>
    <t>Target the dedicated consulting-arm page; confirm final length and keywords.</t>
  </si>
  <si>
    <t>DIWAN provides chemical and materials consulting, engineering studies, process development, technical evaluation, and project support for research and industrial applications in Saudi Arabia.</t>
  </si>
  <si>
    <t>Review final character length after technical and legal approval.</t>
  </si>
  <si>
    <t>Recommended URL slug</t>
  </si>
  <si>
    <t>engineering-consultations</t>
  </si>
  <si>
    <t>Recommended page path: /business-arms/engineering-consultations/.</t>
  </si>
  <si>
    <t>DIWAN Engineering &amp; Technology Company is a Saudi company that connects materials development, advanced technologies, manufacturing, and engineering consultancy into one integrated value chain.</t>
  </si>
  <si>
    <t>DIWAN Engineering &amp; Technology Company transforms knowledge, materials science, and advanced technologies from the molecular level into practical solutions, products, and applications that create value for research, industrial, and technical sectors in Saudi Arabia.</t>
  </si>
  <si>
    <t>DIWAN Engineering &amp; Technology Company is an integrated Saudi platform that connects synthesis, characterization, formulation, processing, manufacturing, and scale-up to deliver practical solutions and industrial value.</t>
  </si>
  <si>
    <t>Dr. Mansour Albareeki is a Saudi researcher, engineer, and technology entrepreneur specializing in advanced materials development and plastics and polymer engineering. His work focuses on taking materials from the molecular level to the final product through synthesis, characterization, processing, and manufacturing.</t>
  </si>
  <si>
    <t>Dr. Albareeki founded DIWAN in 2022 and leads its strategic direction, technical partnerships, and projects. His objective is to build DIWAN Engineering &amp; Technology Company as a company that connects reactor systems, analytical instruments, material processing, manufacturing, and final products.</t>
  </si>
  <si>
    <t>His vision positions DIWAN across the full materials-development cycle: molecular level; synthesis and reaction; chemical and thermal characterization; formulation and process development; material processing; manufacturing and scale-up; and final product / application.</t>
  </si>
  <si>
    <t>Through DIWAN, Dr. Albareeki brings together research, engineering, technology access, industrial development, and commercialization to convert scientific knowledge into practical solutions, products, and manufacturing capabilities from the molecular level to the final product.</t>
  </si>
  <si>
    <t>DIWAN Website Product Content Gap Review</t>
  </si>
  <si>
    <t>Audit date: 2026-08-23 | Compared Products, Website Content Guide, and Website Copy</t>
  </si>
  <si>
    <t>Summary Metric</t>
  </si>
  <si>
    <t>Result</t>
  </si>
  <si>
    <t>Interpretation / Source</t>
  </si>
  <si>
    <t>Products in catalog</t>
  </si>
  <si>
    <t>Gap</t>
  </si>
  <si>
    <t>Current State</t>
  </si>
  <si>
    <t>Recommended Action</t>
  </si>
  <si>
    <t>Owner</t>
  </si>
  <si>
    <t>Workbook Evidence</t>
  </si>
  <si>
    <t>Web / Product Team</t>
  </si>
  <si>
    <t>Unique product definition</t>
  </si>
  <si>
    <t>Product / Marketing</t>
  </si>
  <si>
    <t>Features and benefits</t>
  </si>
  <si>
    <t>Website Content Guide!A11:H11</t>
  </si>
  <si>
    <t>Website Content Guide!A12:H12</t>
  </si>
  <si>
    <t>Website Content Guide!A13:H13</t>
  </si>
  <si>
    <t>Datasheets and brochures</t>
  </si>
  <si>
    <t>Website Content Guide!A16:H16</t>
  </si>
  <si>
    <t>Official source link quality</t>
  </si>
  <si>
    <t>Category landing pages</t>
  </si>
  <si>
    <t>Web / SEO / Product</t>
  </si>
  <si>
    <t>Partner brand authorization</t>
  </si>
  <si>
    <t>Website Content Guide!A26:H26</t>
  </si>
  <si>
    <t>Enquiry routing and CRM</t>
  </si>
  <si>
    <t>Sales Management / IT</t>
  </si>
  <si>
    <t>Website Content Guide!A30:H30</t>
  </si>
  <si>
    <t>Technical approval</t>
  </si>
  <si>
    <t>Management / Product Team</t>
  </si>
  <si>
    <t>Language and SEO completion</t>
  </si>
  <si>
    <t>Data</t>
  </si>
  <si>
    <t>Open Requirement</t>
  </si>
  <si>
    <t>Guide Reference</t>
  </si>
  <si>
    <t>Guide Row</t>
  </si>
  <si>
    <t>Products Rows</t>
  </si>
  <si>
    <t>Recommended Review</t>
  </si>
  <si>
    <t>231, 232, 233, 234</t>
  </si>
  <si>
    <t>Confirm whether duplicate models are intentional; consolidate or differentiate page names.</t>
  </si>
  <si>
    <t>226, 227, 228</t>
  </si>
  <si>
    <t>208, 209</t>
  </si>
  <si>
    <t>270, 289</t>
  </si>
  <si>
    <t>390, 391</t>
  </si>
  <si>
    <t>392, 393</t>
  </si>
  <si>
    <t>386, 387</t>
  </si>
  <si>
    <t>388, 389</t>
  </si>
  <si>
    <t>229, 230</t>
  </si>
  <si>
    <t>41, 43</t>
  </si>
  <si>
    <t>Product Count</t>
  </si>
  <si>
    <t>No</t>
  </si>
  <si>
    <t>Yes</t>
  </si>
  <si>
    <t>Products Row</t>
  </si>
  <si>
    <t>Website Content Guide!A21:H21</t>
  </si>
  <si>
    <t>Website Content Guide!A31:H31</t>
  </si>
  <si>
    <t>Website Content Guide!A35:H35</t>
  </si>
  <si>
    <t>Website Content Guide!A37:H37</t>
  </si>
  <si>
    <t>Website Content Guide!A40:H40</t>
  </si>
  <si>
    <t>Website Content Guide!A41:H41</t>
  </si>
  <si>
    <t>Website Content Guide!A42:H42</t>
  </si>
  <si>
    <t>Website Content Guide!A43:H43</t>
  </si>
  <si>
    <t>Website Content Guide!A44:H44</t>
  </si>
  <si>
    <t>Website Content Guide!A45:H45</t>
  </si>
  <si>
    <t>Website Content Guide!A46:H46</t>
  </si>
  <si>
    <t>Website Content Guide!A48:H48</t>
  </si>
  <si>
    <t>Website Content Guide!A49:H49</t>
  </si>
  <si>
    <t>Key Features &amp; Benefits</t>
  </si>
  <si>
    <t>Technical Specifications</t>
  </si>
  <si>
    <t>Applications &amp; Industries</t>
  </si>
  <si>
    <t>Primary Image URL</t>
  </si>
  <si>
    <t>Image Alt Text</t>
  </si>
  <si>
    <t>Datasheet / Brochure URL</t>
  </si>
  <si>
    <t>Additional Documents</t>
  </si>
  <si>
    <t>Related Products</t>
  </si>
  <si>
    <t>Enquiry Route</t>
  </si>
  <si>
    <t>Target SEO Keywords</t>
  </si>
  <si>
    <t>Verified Content Source URL</t>
  </si>
  <si>
    <t>Source Verified On</t>
  </si>
  <si>
    <t>Approval Owner</t>
  </si>
  <si>
    <t>Review Notes</t>
  </si>
  <si>
    <t>https://www.thermconscientific.com/EN%2C5/thermal-analysis-instruments.html</t>
  </si>
  <si>
    <t>https://www.thermconscientific.com/EN%2C24/dsc-600--high-precision-differential-scanning-calorimeter.html</t>
  </si>
  <si>
    <t>https://www.thermconscientific.com/EN%2C212/dsc---600a-differential-scanning-calorimeter.html</t>
  </si>
  <si>
    <t>https://www.thermconscientific.com/EN%2C35/hfm1600-high-temperature-thermal-conductivity-tester.html</t>
  </si>
  <si>
    <t>https://www.thermconscientific.com/EN%2C7/dilatometer.html</t>
  </si>
  <si>
    <t>https://eng.youngincm.com/goods/list.php?M2_IDX=18659</t>
  </si>
  <si>
    <t>https://www.rationallabsolutions.com/product/Lab-Scale-Systems/MjI4</t>
  </si>
  <si>
    <t>https://www.rationallabsolutions.com/product/Pilot-Scale-Systems/MjI5</t>
  </si>
  <si>
    <t>https://www.rationallabsolutions.com/product/Demostration-Plants/MjMx</t>
  </si>
  <si>
    <t>https://www.addcomposites.com/all-products/robotic-filament-winding</t>
  </si>
  <si>
    <t>https://www.addcomposites.com/robots/afp-xs</t>
  </si>
  <si>
    <t>https://www.addcomposites.com/all-products/afp-x</t>
  </si>
  <si>
    <t>https://www.addcomposites.com/robots/addx</t>
  </si>
  <si>
    <t>https://www.addcomposites.com/all-products/addpath</t>
  </si>
  <si>
    <t>https://www.lano-tech.com/products/fa-lens/</t>
  </si>
  <si>
    <t>https://www.lano-tech.com/products/telecentric-lens/</t>
  </si>
  <si>
    <t>https://www.lano-tech.com/products/360-degree-surround-inspection-lens/</t>
  </si>
  <si>
    <t>https://www.lano-tech.com/products/line-scan-lens/</t>
  </si>
  <si>
    <t>https://www.lano-tech.com/products/infrared-shortwave-lens/</t>
  </si>
  <si>
    <t>https://www.lano-tech.com/products/industrial-area-scan-camera/</t>
  </si>
  <si>
    <t>https://www.lano-tech.com/products/hyperspectral-camera-68/</t>
  </si>
  <si>
    <t>https://www.lano-tech.com/products/high-speed-camera/</t>
  </si>
  <si>
    <t>https://www.lano-tech.com/products/visual-light-source/</t>
  </si>
  <si>
    <t>https://www.all-rays.com/product_142.html</t>
  </si>
  <si>
    <t>https://www.all-rays.com/product_162.html</t>
  </si>
  <si>
    <t>https://www.all-rays.com/product_160.html</t>
  </si>
  <si>
    <t>https://www.all-rays.com/product_168.html</t>
  </si>
  <si>
    <t>https://www.all-rays.com/product_164.html</t>
  </si>
  <si>
    <t>https://www.all-rays.com/product_166.html</t>
  </si>
  <si>
    <t>https://www.all-rays.com/product_174.html</t>
  </si>
  <si>
    <t>https://www.all-rays.com/product_176.html</t>
  </si>
  <si>
    <t>https://www.all-rays.com/product_178.html</t>
  </si>
  <si>
    <t>https://www.topautoclave.com/our-products/high-pressure-syringe-pumps/</t>
  </si>
  <si>
    <t>https://www.topautoclave.com/our-products/reactors-and-custom-designed-pilot-plants/</t>
  </si>
  <si>
    <t>https://www.topautoclave.com/our-products/</t>
  </si>
  <si>
    <t>https://www.topautoclave.com/our-products/hydrogen-2/</t>
  </si>
  <si>
    <t>https://www.topautoclave.com/our-products/porous-media-geomechanic/</t>
  </si>
  <si>
    <t>https://www.topautoclave.com/our-products/corrosion/</t>
  </si>
  <si>
    <t>https://www.topautoclave.com/our-products/supercritical-fluids-co2/</t>
  </si>
  <si>
    <t>https://specac.com/product-category/ftir-accessories/</t>
  </si>
  <si>
    <t>https://specac.com/product-category/sample-preparation-equipment/</t>
  </si>
  <si>
    <t>https://specac.com/product-category/nir-process-flow-cells/</t>
  </si>
  <si>
    <t>https://specac.com/product-category/infrared-polarizers/</t>
  </si>
  <si>
    <t>https://modulesci.com/pages/pv100series/</t>
  </si>
  <si>
    <t>https://modulesci.com/pages/pe100series/</t>
  </si>
  <si>
    <t>https://modulesci.com/pages/pe300series/</t>
  </si>
  <si>
    <t>https://modulesci.com/65</t>
  </si>
  <si>
    <t>https://www.hssdgroup.com/PRODUCT/Universal_Testing_Machine/</t>
  </si>
  <si>
    <t>https://www.hssdgroup.com/PRODUCT/Impact_Testing_Machine/</t>
  </si>
  <si>
    <t>https://www.hssdgroup.com/PRODUCT/Hardness_Tester/</t>
  </si>
  <si>
    <t>https://www.hssdgroup.com/PRODUCT/Metallographic_Equipment/</t>
  </si>
  <si>
    <t>https://www.hssdgroup.com/PRODUCT/Fatigue_Testing_Machine/</t>
  </si>
  <si>
    <t>https://www.hssdgroup.com/PRODUCT/Torsion_Testing_Machine/</t>
  </si>
  <si>
    <t>https://www.hssdgroup.com/PRODUCT/Bending_Testing_Machine/</t>
  </si>
  <si>
    <t>https://www.hssdgroup.com/PRODUCT/Cement_Aggregate_Concrete_Soil_Testing_Equipment/</t>
  </si>
  <si>
    <t>https://www.hssdgroup.com/PRODUCT/</t>
  </si>
  <si>
    <t>Additional Image URLs</t>
  </si>
  <si>
    <t>Product Video URL</t>
  </si>
  <si>
    <t>Commercial Availability Policy</t>
  </si>
  <si>
    <t>Lead Time / Delivery Wording</t>
  </si>
  <si>
    <t>Public Document Access Rule</t>
  </si>
  <si>
    <t>DIWAN Website Launch Controls</t>
  </si>
  <si>
    <t>Partner Authorization Register</t>
  </si>
  <si>
    <t>Official Source</t>
  </si>
  <si>
    <t>Authorization Status</t>
  </si>
  <si>
    <t>Territory</t>
  </si>
  <si>
    <t>Approved Relationship Wording</t>
  </si>
  <si>
    <t>Logo / Asset</t>
  </si>
  <si>
    <t>Notes</t>
  </si>
  <si>
    <t>Management confirmation required</t>
  </si>
  <si>
    <t>Confirm represented territory</t>
  </si>
  <si>
    <t>Use neutral wording until authorization is confirmed</t>
  </si>
  <si>
    <t>Logo asset required</t>
  </si>
  <si>
    <t>Open</t>
  </si>
  <si>
    <t>Do not publish authorized-distributor claims without written approval.</t>
  </si>
  <si>
    <t>Category Enquiry Routing Matrix</t>
  </si>
  <si>
    <t>Partner(s)</t>
  </si>
  <si>
    <t>Primary Owner</t>
  </si>
  <si>
    <t>Email / CRM Route</t>
  </si>
  <si>
    <t>Form Preselection</t>
  </si>
  <si>
    <t>Owner to assign</t>
  </si>
  <si>
    <t>Routing email / CRM queue required</t>
  </si>
  <si>
    <t>Assign one accountable sales/technical owner and backup.</t>
  </si>
  <si>
    <t>Group Enquiry Form Specification</t>
  </si>
  <si>
    <t>Field</t>
  </si>
  <si>
    <t>Required?</t>
  </si>
  <si>
    <t>Input Type</t>
  </si>
  <si>
    <t>Routing / Validation</t>
  </si>
  <si>
    <t>Name</t>
  </si>
  <si>
    <t>Text</t>
  </si>
  <si>
    <t>Identify contact</t>
  </si>
  <si>
    <t>Minimum 2 characters</t>
  </si>
  <si>
    <t>Specified</t>
  </si>
  <si>
    <t>Company / Organization</t>
  </si>
  <si>
    <t>Qualify account</t>
  </si>
  <si>
    <t>Required for B2B enquiries</t>
  </si>
  <si>
    <t>Business Email</t>
  </si>
  <si>
    <t>Email</t>
  </si>
  <si>
    <t>Primary response channel</t>
  </si>
  <si>
    <t>Validate email format</t>
  </si>
  <si>
    <t>Telephone</t>
  </si>
  <si>
    <t>Alternative response channel</t>
  </si>
  <si>
    <t>Include country code</t>
  </si>
  <si>
    <t>Country / City</t>
  </si>
  <si>
    <t>Dropdown + text</t>
  </si>
  <si>
    <t>Territory and logistics context</t>
  </si>
  <si>
    <t>Country controlled list</t>
  </si>
  <si>
    <t>Dropdown</t>
  </si>
  <si>
    <t>Route group enquiry</t>
  </si>
  <si>
    <t>Allow Engineering &amp; Technology, Advanced Composites, Consultations, or Unsure</t>
  </si>
  <si>
    <t>Conditional</t>
  </si>
  <si>
    <t>Route product enquiries</t>
  </si>
  <si>
    <t>Populate from category matrix</t>
  </si>
  <si>
    <t>Search dropdown</t>
  </si>
  <si>
    <t>Identify exact product</t>
  </si>
  <si>
    <t>Populate from Products table</t>
  </si>
  <si>
    <t>Project Stage</t>
  </si>
  <si>
    <t>Qualify maturity</t>
  </si>
  <si>
    <t>Research, Evaluation, Procurement, Implementation, Support</t>
  </si>
  <si>
    <t>Requirement / Message</t>
  </si>
  <si>
    <t>Long text</t>
  </si>
  <si>
    <t>Capture technical need</t>
  </si>
  <si>
    <t>Minimum 30 characters</t>
  </si>
  <si>
    <t>Timeline</t>
  </si>
  <si>
    <t>Prioritize response</t>
  </si>
  <si>
    <t>Immediate, &lt;3 months, 3-6 months, &gt;6 months</t>
  </si>
  <si>
    <t>Attachment</t>
  </si>
  <si>
    <t>File upload</t>
  </si>
  <si>
    <t>Receive specifications or RFQ</t>
  </si>
  <si>
    <t>PDF/DOCX/XLSX; size limit by IT</t>
  </si>
  <si>
    <t>Consent</t>
  </si>
  <si>
    <t>Checkbox</t>
  </si>
  <si>
    <t>Privacy compliance</t>
  </si>
  <si>
    <t>Link approved privacy notice</t>
  </si>
  <si>
    <t>Legal approval required</t>
  </si>
  <si>
    <t>Official Contact Details</t>
  </si>
  <si>
    <t>Contact Item</t>
  </si>
  <si>
    <t>Required Value</t>
  </si>
  <si>
    <t>Public Display?</t>
  </si>
  <si>
    <t>Main phone</t>
  </si>
  <si>
    <t>Management input required</t>
  </si>
  <si>
    <t>General enquiry email</t>
  </si>
  <si>
    <t>Administration / Sales</t>
  </si>
  <si>
    <t>Use monitored group inbox</t>
  </si>
  <si>
    <t>Product enquiry email / CRM queue</t>
  </si>
  <si>
    <t>Internal routing</t>
  </si>
  <si>
    <t>Map to category routing matrix</t>
  </si>
  <si>
    <t>Registered address</t>
  </si>
  <si>
    <t>Confirm legal address</t>
  </si>
  <si>
    <t>Map link / coordinates</t>
  </si>
  <si>
    <t>Verify pin before publication</t>
  </si>
  <si>
    <t>Include time zone</t>
  </si>
  <si>
    <t>After-hours / emergency contact</t>
  </si>
  <si>
    <t>Policy decision required</t>
  </si>
  <si>
    <t>Optional</t>
  </si>
  <si>
    <t>Publish only if formally supported</t>
  </si>
  <si>
    <t>Implementation and Approval Checklist</t>
  </si>
  <si>
    <t>Requirement</t>
  </si>
  <si>
    <t>Current Status</t>
  </si>
  <si>
    <t>Acceptance Format</t>
  </si>
  <si>
    <t>Next Action</t>
  </si>
  <si>
    <t>Verify in final website</t>
  </si>
  <si>
    <t>[Product Category]</t>
  </si>
  <si>
    <t>Template ready</t>
  </si>
  <si>
    <t>[Product / Model]</t>
  </si>
  <si>
    <t>Manufacturer line</t>
  </si>
  <si>
    <t>Manufacturer: [Partner Company] | Country of origin: [Country]</t>
  </si>
  <si>
    <t>Bind to Products!C:D</t>
  </si>
  <si>
    <t>[Unique Product Overview]</t>
  </si>
  <si>
    <t>[Key Features &amp; Benefits]</t>
  </si>
  <si>
    <t>Specifications</t>
  </si>
  <si>
    <t>[Technical Specifications]</t>
  </si>
  <si>
    <t>[Applications &amp; Industries]</t>
  </si>
  <si>
    <t>Datasheet / brochure</t>
  </si>
  <si>
    <t>[Datasheet / Brochure URL]</t>
  </si>
  <si>
    <t>Additional documents</t>
  </si>
  <si>
    <t>[Additional Documents]</t>
  </si>
  <si>
    <t>[Related Products]</t>
  </si>
  <si>
    <t>Primary CTA</t>
  </si>
  <si>
    <t>Category Landing Template</t>
  </si>
  <si>
    <t>Category definition</t>
  </si>
  <si>
    <t>Define what [Product Category] includes, key applications, buyer needs, and DIWAN support.</t>
  </si>
  <si>
    <t>Catalog</t>
  </si>
  <si>
    <t>Filter by manufacturer, application, technical attribute, and product type.</t>
  </si>
  <si>
    <t>Use Products fields and verified specifications</t>
  </si>
  <si>
    <t>Category CTA</t>
  </si>
  <si>
    <t>Discuss your requirement with a DIWAN technology specialist.</t>
  </si>
  <si>
    <t>Route using category matrix</t>
  </si>
  <si>
    <t>Category metadata</t>
  </si>
  <si>
    <t>Create a unique title, slug, meta description, and keyword set for each category.</t>
  </si>
  <si>
    <t>Products!O:O</t>
  </si>
  <si>
    <t>Products!P:P</t>
  </si>
  <si>
    <t>Products!Q:Q</t>
  </si>
  <si>
    <t>Products!R:R</t>
  </si>
  <si>
    <t>Products!S:T</t>
  </si>
  <si>
    <t>Products!AE:AE</t>
  </si>
  <si>
    <t>Products!U:U and AI:AI</t>
  </si>
  <si>
    <t>Products!V:V and AI:AI</t>
  </si>
  <si>
    <t>Products!AF:AF</t>
  </si>
  <si>
    <t>Products!W:W</t>
  </si>
  <si>
    <t>Website Launch Controls category routing matrix and Products!X:X</t>
  </si>
  <si>
    <t>Products!AG:AG</t>
  </si>
  <si>
    <t>Products!AH:AH</t>
  </si>
  <si>
    <t>Website Launch Controls partner authorization register</t>
  </si>
  <si>
    <t>Website Launch Controls official contact details</t>
  </si>
  <si>
    <t>Products!Y:Y</t>
  </si>
  <si>
    <t>Products!T:T</t>
  </si>
  <si>
    <t>Available - form fields specified</t>
  </si>
  <si>
    <t>Website Launch Controls group enquiry form specification</t>
  </si>
  <si>
    <t>Products!AB:AD and Website Launch Controls checklist</t>
  </si>
  <si>
    <t>The STA 1000 / 1600 combines thermogravimetric and differential scanning calorimetry in one platform for simultaneous mass-change and heat-flow analysis under controlled temperature and atmosphere conditions.</t>
  </si>
  <si>
    <t>STA 1000 / 1600 Simultaneous Thermal Analyzer (TGA + DSC) from ThermCon Scientific: key capabilities, technical specifications and applications. Request configuration advice and a quotation from DIWAN.</t>
  </si>
  <si>
    <t>Draft complete - technical approval and assets pending</t>
  </si>
  <si>
    <t>ThermCon Scientific's STA 1000 / 1600 is a simultaneous thermal analyzer that records TG and DSC signals in a single test. Its automatic lifting furnace, digital mass-flow control and analysis software support material characterization, stability studies and quality control.</t>
  </si>
  <si>
    <t>Simultaneous TGA and DSC measurement; automatic lifting furnace; digital mass-flow control; rapid external-water cooling; 0.01 µg weighing resolution; intelligent analysis software; IR-system compatibility.</t>
  </si>
  <si>
    <t>Temperature range: room temperature to 1250°C or 1550°C; heating rate: 0.1–100°C/min; cooling rate: -0.1 to -40°C/min; weighing range: 0.01 mg–3 g, expandable to 50 g; DSC range/sensitivity: ±1000 mW / 0.0001 mW; programmable isothermal testing.</t>
  </si>
  <si>
    <t>Polymers, composites, resins, coatings, metals, ceramics, pharmaceuticals and chemicals; thermal stability, purity, phase transitions, decomposition, composition and reaction-kinetics studies.</t>
  </si>
  <si>
    <t>STA 1000 / 1600 Simultaneous Thermal Analyzer (TGA + DSC) from ThermCon Scientific</t>
  </si>
  <si>
    <t>No public downloadable brochure identified during review; provide documents on request after manufacturer rights and revision checks.</t>
  </si>
  <si>
    <t>TGA 1000 / 1600; DSC 600; DTA 1000 / 1600; TC3500S</t>
  </si>
  <si>
    <t>Thermal Analysis enquiry → website group enquiry form → category owner assignment</t>
  </si>
  <si>
    <t>STA 1000 / 1600 Simultaneous Thermal Analyzer (TGA + DSC), Thermal Analysis, ThermCon Scientific, laboratory instrument, DIWAN</t>
  </si>
  <si>
    <t>https://www.thermconscientific.com/EN%2C15/sta-1500-simultaneous-thermal-analyzer-tga--dsc.html</t>
  </si>
  <si>
    <t>Product Team / Technical Reviewer</t>
  </si>
  <si>
    <t>Exact manufacturer product page verified. Product page URL contains 'STA 1500' while the displayed product title is STA 1000 / 1600; confirm naming before publication. Source reviewed 2026-08-23. Primary image and downloadable brochure assets remain open.</t>
  </si>
  <si>
    <t>Availability, configuration and commercial supply are subject to confirmation by DIWAN and the manufacturer.</t>
  </si>
  <si>
    <t>Lead time is confirmed in the formal quotation; do not publish a fixed delivery commitment.</t>
  </si>
  <si>
    <t>Publish manufacturer documents only when public access and reuse are permitted; otherwise provide controlled access on request.</t>
  </si>
  <si>
    <t>The TGA 1000 / 1600 measures sample mass change during programmed heating and cooling to support thermal stability, decomposition, oxidation and composition analysis.</t>
  </si>
  <si>
    <t>TGA 1000 / 1600 Thermogravimetric Analyzer from ThermCon Scientific: key capabilities, technical specifications and applications. Request configuration advice and a quotation from DIWAN.</t>
  </si>
  <si>
    <t>ThermCon Scientific's TGA 1000 / 1600 is an automatic-lifting thermogravimetric analyzer for monitoring material mass changes as a function of temperature or time. Controlled gas flow, high-resolution weighing and integrated software support repeatable research and quality-control workflows.</t>
  </si>
  <si>
    <t>Automatic lifting furnace; high-resolution microbalance; programmed temperature control; automatic atmosphere control; rapid cooling; real-time software analysis; optional coupling with infrared analysis.</t>
  </si>
  <si>
    <t>Temperature range: room temperature to 1250°C or 1550°C; temperature resolution: 0.001°C; heating rate: 0.1–100°C/min; cooling rate: -0.1 to -40°C/min; weighing range: 0.01 mg–3 g, expandable to 50 g; weighing resolution: 0.01 µg.</t>
  </si>
  <si>
    <t>Polymers, chemicals, pharmaceuticals, ceramics, metals and composites; mass-loss, moisture, ash, oxidation, decomposition, thermal stability, purity and composition testing.</t>
  </si>
  <si>
    <t>TGA 1000 / 1600 Thermogravimetric Analyzer from ThermCon Scientific</t>
  </si>
  <si>
    <t>STA 1000 / 1600; DSC 600; DTA 1000 / 1600; TC3500S</t>
  </si>
  <si>
    <t>TGA 1000 / 1600 Thermogravimetric Analyzer, Thermal Analysis, ThermCon Scientific, laboratory instrument, DIWAN</t>
  </si>
  <si>
    <t>https://www.thermconscientific.com/EN%2C20/tga-1000--1600-thermogravimetric-analyzer-tga.html</t>
  </si>
  <si>
    <t>Exact manufacturer product page verified; technical approval and publication assets remain required. Source reviewed 2026-08-23. Primary image and downloadable brochure assets remain open.</t>
  </si>
  <si>
    <t>The TC3500S automates carbon-black and ash-content testing for up to four samples with programmed gas switching, touchscreen operation and rapid furnace cooling.</t>
  </si>
  <si>
    <t>TC3500S Carbon Black Content Tester from ThermCon Scientific: key capabilities, technical specifications and applications. Request configuration advice and a quotation from DIWAN.</t>
  </si>
  <si>
    <t>The ThermCon Scientific TC3500S is a four-position carbon-black content tester designed for controlled heating, gas switching and automatic calculation of carbon-black and ash results. Its open-lid furnace design reduces cooling time between test stages.</t>
  </si>
  <si>
    <t>Four-sample capacity; one-click carbon-black and ash testing; automatic gas-path switching; 7-inch touchscreen; open-lid rapid-cooling structure; warning and result-printing functions.</t>
  </si>
  <si>
    <t>Temperature range: room temperature to 1200°C; temperature sensitivity: 0.1°C; quartz tube: 44 × 600 mm; furnace zone: 45 × 300 mm; two gas paths; cooling from 900°C to room temperature in 20 minutes or less; power: AC 220V, 50/60Hz.</t>
  </si>
  <si>
    <t>Carbon-black and ash-content testing for polyethylene, polypropylene, cable materials, pipes, rubber compounds and related polymer products.</t>
  </si>
  <si>
    <t>TC3500S Carbon Black Content Tester from ThermCon Scientific</t>
  </si>
  <si>
    <t>TGA 1000 / 1600; STA 1000 / 1600; UL94 Flame Chamber</t>
  </si>
  <si>
    <t>TC3500S Carbon Black Content Tester, Thermal Analysis, ThermCon Scientific, laboratory instrument, DIWAN</t>
  </si>
  <si>
    <t>https://www.thermconscientific.com/EN%2C119/tc3500s-carbon-black-content-tester.html</t>
  </si>
  <si>
    <t>The DTA 1000 / 1600 measures temperature differences between a sample and reference during programmed heating for phase-transition and reaction analysis at high temperature.</t>
  </si>
  <si>
    <t>DTA 1000 / 1600 Differential Thermal Analyzer from ThermCon Scientific: key capabilities, technical specifications and applications. Request configuration advice and a quotation from DIWAN.</t>
  </si>
  <si>
    <t>ThermCon Scientific's DTA 1000 / 1600 is a differential thermal analyzer with programmable temperature control, automatic atmosphere switching and real-time software analysis. The platform is designed for high-temperature studies where endothermic and exothermic events must be identified.</t>
  </si>
  <si>
    <t>ARM-based control; 7-inch color touchscreen; USB two-way communication; nickel-chromium sensor; programmable temperature control; automatic atmosphere switching; one-button calibration; live graph collection and analysis.</t>
  </si>
  <si>
    <t>Temperature range: room temperature to 1250°C or 1550°C; signal range: 0 to ±2000 µV, expandable; sensitivity: 0.01 µV; heating rate: 0.1–100°C/min; temperature resolution: 0.01°C; temperature accuracy and repeatability: ±0.1°C.</t>
  </si>
  <si>
    <t>Ceramics, glass, minerals, metals, chemicals, catalysts and other materials requiring phase-transition, oxidation, decomposition or reaction-temperature analysis.</t>
  </si>
  <si>
    <t>DTA 1000 / 1600 Differential Thermal Analyzer from ThermCon Scientific</t>
  </si>
  <si>
    <t>STA 1000 / 1600; TGA 1000 / 1600; DSC 600</t>
  </si>
  <si>
    <t>DTA 1000 / 1600 Differential Thermal Analyzer, Thermal Analysis, ThermCon Scientific, laboratory instrument, DIWAN</t>
  </si>
  <si>
    <t>https://www.thermconscientific.com/EN%2C121/dta-1000--1600-differential-thermal-analyzer.html</t>
  </si>
  <si>
    <t>The DSC 600 is a high-precision differential scanning calorimeter for measuring melting, crystallization, glass transition, curing and oxidation-induction behavior.</t>
  </si>
  <si>
    <t>DSC 600 High-Precision Differential Scanning Calorimeter from ThermCon Scientific: key capabilities, technical specifications and applications. Request configuration advice and a quotation from DIWAN.</t>
  </si>
  <si>
    <t>The ThermCon Scientific DSC 600 measures heat-flow changes associated with physical and chemical transitions. Its high sensitivity, wide temperature options and touchscreen control support research, formulation work and routine quality control.</t>
  </si>
  <si>
    <t>High measurement sensitivity; stable baseline; strong repeatability; multiple cooling options; 7-inch touchscreen; programmable heating and cooling; three gas-control channels; real-time software analysis.</t>
  </si>
  <si>
    <t>Temperature options extend from approximately -70°C to 600°C depending on configuration; sensitivity: 0.1 µW; noise: 0.001 mW; heating rate: 0.1–100°C/min; cooling rate: -0.1 to -60°C/min; three gas channels.</t>
  </si>
  <si>
    <t>Plastics, polymers, chemicals, food, pharmaceuticals, academic research, metrology and quality control; Tg, melting, crystallization, enthalpy, curing and OIT testing.</t>
  </si>
  <si>
    <t>DSC 600 High-Precision Differential Scanning Calorimeter from ThermCon Scientific</t>
  </si>
  <si>
    <t>DSC-600A; STA 1000 / 1600; TGA 1000 / 1600</t>
  </si>
  <si>
    <t>DSC 600 High-Precision Differential Scanning Calorimeter, Thermal Analysis, ThermCon Scientific, laboratory instrument, DIWAN</t>
  </si>
  <si>
    <t>Exact manufacturer product page verified; configuration-specific temperature range must be confirmed during quotation. Source reviewed 2026-08-23. Primary image and downloadable brochure assets remain open.</t>
  </si>
  <si>
    <t>The DSC-600A adds automated batch handling to DSC testing, allowing up to 40 samples to be processed with reduced operator intervention.</t>
  </si>
  <si>
    <t>DSC-600A Differential Scanning Calorimeter from ThermCon Scientific: key capabilities, technical specifications and applications. Request configuration advice and a quotation from DIWAN.</t>
  </si>
  <si>
    <t>The ThermCon Scientific DSC-600A is an automatic differential scanning calorimeter designed for repetitive laboratory workflows. A multi-position sample changer automates batch testing while retaining the DSC platform's transition, enthalpy, curing and oxidation-induction capabilities.</t>
  </si>
  <si>
    <t>Automatic sample changer for up to 40 samples; unattended batch testing; high-sensitivity DSC measurement; programmable temperature control; touchscreen operation; software-based data capture and analysis.</t>
  </si>
  <si>
    <t>Automatic capacity: up to 40 samples; DSC functions and temperature configurations align with the DSC 600 platform and require final configuration confirmation; model-specific cooling and gas-control options are selected at quotation.</t>
  </si>
  <si>
    <t>High-throughput polymer, chemical, pharmaceutical, food and quality-control laboratories performing repetitive DSC measurements.</t>
  </si>
  <si>
    <t>DSC-600A Differential Scanning Calorimeter from ThermCon Scientific</t>
  </si>
  <si>
    <t>DSC 600; STA 1000 / 1600; TGA 1000 / 1600</t>
  </si>
  <si>
    <t>DSC-600A Differential Scanning Calorimeter, Thermal Analysis, ThermCon Scientific, laboratory instrument, DIWAN</t>
  </si>
  <si>
    <t>Exact manufacturer product page verified; final technical configuration must be approved before publication. Source reviewed 2026-08-23. Primary image and downloadable brochure assets remain open.</t>
  </si>
  <si>
    <t>The HFM50/300 uses the heat-flow method to measure thermal conductivity, diffusivity and thermal resistance of small low- and medium-conductivity samples.</t>
  </si>
  <si>
    <t>HFM50/300 Thermal Conductivity Tester from ThermCon Scientific: key capabilities, technical specifications and applications. Request configuration advice and a quotation from DIWAN.</t>
  </si>
  <si>
    <t>ThermCon Scientific's HFM50/300 is a computer-controlled heat-flow instrument for compact samples, thin materials and interface products. Automatic plate positioning and thickness measurement simplify calibrated testing and data management.</t>
  </si>
  <si>
    <t>Automatic plate movement; automatic sample-thickness measurement; small-sample testing; multilayer thin-film method; programmable temperature control; stored calibration and test data; automatic analysis software.</t>
  </si>
  <si>
    <t>Temperature options: room temperature to 40°C, 200°C or 300°C; sample: 30 mm diameter or 30 × 30 mm, thickness 0.1–20 mm; conductivity range: 0.010–45 W/m·K; thermal resistance: 0.000005–0.05 m²·K/W; accuracy: within ±3%; force: 0–500 N.</t>
  </si>
  <si>
    <t>Polymers, ceramics, insulation, composites, non-metallic materials, thermal interface pads, silicone grease and thin films; standards include ASTM E1530, ASTM C518, ISO 8301 and DIN EN 12667.</t>
  </si>
  <si>
    <t>HFM50/300 Thermal Conductivity Tester from ThermCon Scientific</t>
  </si>
  <si>
    <t>HFM 300/600; HFM1600; THS 200; TPS 500</t>
  </si>
  <si>
    <t>Thermal Conductivity enquiry → website group enquiry form → category owner assignment</t>
  </si>
  <si>
    <t>HFM50/300 Thermal Conductivity Tester, Thermal Conductivity, ThermCon Scientific, laboratory instrument, DIWAN</t>
  </si>
  <si>
    <t>https://www.thermconscientific.com/EN%2C33/hfm50300-thermal-conductivity-tester.html</t>
  </si>
  <si>
    <t>The LFA 1600 uses laser-flash heating and infrared detection to determine thermal diffusivity and calculate thermal conductivity across a broad material and temperature range.</t>
  </si>
  <si>
    <t>LFA 1600 Laser Flash Thermal Conductivity &amp; Diffusivity Tester from ThermCon Scientific: key capabilities, technical specifications and applications. Request configuration advice and a quotation from DIWAN.</t>
  </si>
  <si>
    <t>The ThermCon Scientific LFA 1600 is a laser-flash thermal-property analyzer for rapid, non-contact measurement of thermal diffusivity. With density and heat-capacity inputs, the software supports thermal-conductivity calculation for high-performance materials.</t>
  </si>
  <si>
    <t>Laser-flash method; infrared temperature detection; high-temperature configurations; broad diffusivity and conductivity ranges; fast transient measurement; software calculation and reporting.</t>
  </si>
  <si>
    <t>Temperature options: room temperature to 1000°C, 1400°C or 1600°C; sample diameter: 10–25 mm or square samples at least 10 × 10 mm; thickness: 0.1–10 mm; diffusivity: 0.01–1000 mm²/s; conductivity: 0.1–2000 W/m·K; accuracy: ±4%; repeatability: ±3%.</t>
  </si>
  <si>
    <t>Metals, alloys, diamond, ceramics, graphite, carbon fiber, plastics, polymers and composite materials for thermal-management and high-temperature research.</t>
  </si>
  <si>
    <t>LFA 1600 Laser Flash Thermal Conductivity &amp; Diffusivity Tester from ThermCon Scientific</t>
  </si>
  <si>
    <t>HFM1600; HFM50/300; THS 200; TPS 500</t>
  </si>
  <si>
    <t>LFA 1600 Laser Flash Thermal Conductivity &amp; Diffusivity Tester, Thermal Conductivity, ThermCon Scientific, laboratory instrument, DIWAN</t>
  </si>
  <si>
    <t>https://www.thermconscientific.com/EN%2C34/lfa-1600-laser-flash-thermal-conductivity-diffusivity-tester.html</t>
  </si>
  <si>
    <t>Exact manufacturer URL verified. The product URL/title states LFA 1600, while part of the official page text references LFA 1000; confirm the model designation before publication. Source reviewed 2026-08-23. Primary image and downloadable brochure assets remain open.</t>
  </si>
  <si>
    <t>The Tuber 200 measures thermal conductivity of cylindrical pipe-insulation systems using a guarded steady-state method for service temperatures up to 200°C.</t>
  </si>
  <si>
    <t>Tuber 200 Pipe Insulation Thermal Conductivity Tester from ThermCon Scientific: key capabilities, technical specifications and applications. Request configuration advice and a quotation from DIWAN.</t>
  </si>
  <si>
    <t>ThermCon Scientific's Tuber 200 is designed for pipe and tubular insulation where flat-sample instruments are not suitable. The system evaluates heat transfer through complete cylindrical insulation sections under controlled temperature conditions.</t>
  </si>
  <si>
    <t>Purpose-built cylindrical test geometry; steady-state heat-flow measurement; programmed temperature control; repeatable pipe-insulation testing; software-supported data acquisition.</t>
  </si>
  <si>
    <t>Temperature range: room temperature to 200°C; accuracy: ±3%; repeatability: ±2%; temperature control: ±0.5°C; sample inner diameter: 18–89 mm; outer diameter: 50–249 mm; sample length: 500 mm; reference standards include ISO/DIS 8497 and GB 10296.</t>
  </si>
  <si>
    <t>Rubber and plastic pipe insulation, mineral and glass wool tubes, fiberglass pipe sections and industrial/building thermal-insulation systems.</t>
  </si>
  <si>
    <t>Tuber 200 Pipe Insulation Thermal Conductivity Tester from ThermCon Scientific</t>
  </si>
  <si>
    <t>HFM 300/600; HFM50/300; HFM1600</t>
  </si>
  <si>
    <t>Tuber 200 Pipe Insulation Thermal Conductivity Tester, Thermal Conductivity, ThermCon Scientific, laboratory instrument, DIWAN</t>
  </si>
  <si>
    <t>https://www.thermconscientific.com/EN%2C36/tuber-200-pipe-insulation-thermal-conductivity-tester.html</t>
  </si>
  <si>
    <t>The SB-850 measures Seebeck coefficient and electrical resistivity of thermoelectric materials under controlled temperatures up to 850°C.</t>
  </si>
  <si>
    <t>SB-850 Seebeck and Electrical Resistivity Test Device from ThermCon Scientific: key capabilities, technical specifications and applications. Request configuration advice and a quotation from DIWAN.</t>
  </si>
  <si>
    <t>ThermCon Scientific's SB-850 combines Seebeck-coefficient and resistivity measurements for thermoelectric material development. The system applies controlled temperature gradients and current measurement to characterize metals and semiconductors.</t>
  </si>
  <si>
    <t>Combined Seebeck and resistivity testing; controlled high-temperature operation; programmable current; software acquisition; suitable for research-scale thermoelectric specimens.</t>
  </si>
  <si>
    <t>Temperature range: room temperature to 850°C; temperature resolution: 0.001°C; control stability: ±0.25 K; current: 0–220 mA; Seebeck range: 0.5 µV/K–25 V/K; resistivity: 0.2 µΩ·mm–2.5 kΩ·mm; repeatability: ±3%; sample: 4 × 4 × 20 to 8 × 8 × 30 mm.</t>
  </si>
  <si>
    <t>Thermoelectric metals, alloys, semiconductors, energy-conversion materials and academic or industrial materials research.</t>
  </si>
  <si>
    <t>SB-850 Seebeck and Electrical Resistivity Test Device from ThermCon Scientific</t>
  </si>
  <si>
    <t>LFA 1600; THS 200; TPS 500</t>
  </si>
  <si>
    <t>SB-850 Seebeck and Electrical Resistivity Test Device, Thermal Conductivity, ThermCon Scientific, laboratory instrument, DIWAN</t>
  </si>
  <si>
    <t>https://www.thermconscientific.com/EN%2C37/sb-850-seebeck-and-electrical-resistivity-test-device.html</t>
  </si>
  <si>
    <t>The THS 200 is an automated transient hot-source instrument for rapid thermal-conductivity testing of solids, liquids, powders, pastes, films and insulation materials.</t>
  </si>
  <si>
    <t>THS 200 Thermal Conductivity Tester from ThermCon Scientific: key capabilities, technical specifications and applications. Request configuration advice and a quotation from DIWAN.</t>
  </si>
  <si>
    <t>The ThermCon Scientific THS 200 applies a transient heat source and monitors the resulting temperature response to calculate thermal conductivity. Automatic power adjustment, dual probes and software analysis support fast tests across diverse sample forms.</t>
  </si>
  <si>
    <t>Transient hot-source method; fully automatic comparison and power adjustment; dual high-precision probes; bidirectional software/device control; direct conductivity calculation; measurement in 160 seconds or less.</t>
  </si>
  <si>
    <t>Conductivity range: 0.00001–50 W/m·K; temperature range: -30°C to 200°C; accuracy: 0.001 W/m·K; repeatability error: 1% or less; two probes; test time: 160 seconds or less; 18 ml holder for liquids and powders.</t>
  </si>
  <si>
    <t>Bulk solids, metals, liquids, powders, colloids, pastes, films, alloys, composites and thermal-insulation materials.</t>
  </si>
  <si>
    <t>THS 200 Thermal Conductivity Tester from ThermCon Scientific</t>
  </si>
  <si>
    <t>TPS 500; HFM50/300; LFA 1600</t>
  </si>
  <si>
    <t>THS 200 Thermal Conductivity Tester, Thermal Conductivity, ThermCon Scientific, laboratory instrument, DIWAN</t>
  </si>
  <si>
    <t>https://www.thermconscientific.com/EN%2C38/ths-200-thermal-conductivity-tester.html</t>
  </si>
  <si>
    <t>The TPS 500 uses transient plane-source technology to measure thermal conductivity, diffusivity and heat capacity across solids, powders, films and coatings.</t>
  </si>
  <si>
    <t>TPS 500 Thermal Conductivity Tester (Transient Plane Heat Source) from ThermCon Scientific: key capabilities, technical specifications and applications. Request configuration advice and a quotation from DIWAN.</t>
  </si>
  <si>
    <t>ThermCon Scientific's TPS 500 is a flexible transient plane heat-source platform for rapid thermal-property measurement. Multiple probes and test modules support bulk, thin-film, anisotropic, single-sided and specific-heat workflows with minimal sample preparation.</t>
  </si>
  <si>
    <t>Transient plane-source method; fast testing in seconds; reduced sensitivity to contact resistance; minimal sample preparation; multiple test modules; automatic analysis and Excel export.</t>
  </si>
  <si>
    <t>Conductivity range: 0.003–500 W/m·K; temperature options: room temperature to 40°C, 200°C or 1000°C; probe diameters: 7.5 mm and 15 mm; sample thickness: 0.05–10 mm; accuracy: ±5%; reproducibility: ±3%; USB data transfer.</t>
  </si>
  <si>
    <t>Metals, alloys, ceramics, ores, composites, silicon wafers, polymers, binders, paper, textiles, printed circuit boards, powders, films and coatings.</t>
  </si>
  <si>
    <t>TPS 500 Thermal Conductivity Tester (Transient Plane Heat Source) from ThermCon Scientific</t>
  </si>
  <si>
    <t>THS 200; HFM50/300; LFA 1600; HFM 300/600</t>
  </si>
  <si>
    <t>TPS 500 Thermal Conductivity Tester (Transient Plane Heat Source), Thermal Conductivity, ThermCon Scientific, laboratory instrument, DIWAN</t>
  </si>
  <si>
    <t>https://www.thermconscientific.com/EN%2C130/tps-500-thermal-conductivity-tester-transient-plane-heat-source.html</t>
  </si>
  <si>
    <t>The HFM 300/600 Series measures thermal conductivity and R-value of full-size insulation and building-material specimens using a calibrated heat-flow-meter method.</t>
  </si>
  <si>
    <t>HFM 300/600 Series Heat Flow Meter from ThermCon Scientific: key capabilities, technical specifications and applications. Request configuration advice and a quotation from DIWAN.</t>
  </si>
  <si>
    <t>ThermCon Scientific's HFM 300/600 Series is designed for larger insulation, construction and panel samples. Guarded plates, automatic thickness measurement and environmental compensation support repeatable conductivity and thermal-resistance testing.</t>
  </si>
  <si>
    <t>Large-format heat-flow-meter method; automatic sample-thickness measurement; guarded measurement area; controlled plate temperatures; calibration and compensation functions; automatic test and reporting software.</t>
  </si>
  <si>
    <t>HFM 300 sample area: up to 300 × 300 mm with thickness 5–100 mm; HFM 600 sample area: up to 600 × 600 mm with thickness up to 200 mm; supports ASTM C518, ISO 8301, DIN EN 12667, EN 12664/12939 and related standards.</t>
  </si>
  <si>
    <t>EPS, XPS, PUR/PIR, mineral wool, rock wool, glass wool, ceramic fiber, vacuum panels, sandwich panels, fiberboard, concrete, drywall and composite building products.</t>
  </si>
  <si>
    <t>HFM 300/600 Series Heat Flow Meter from ThermCon Scientific</t>
  </si>
  <si>
    <t>HFM50/300; Tuber 200; HFM1600</t>
  </si>
  <si>
    <t>HFM 300/600 Series Heat Flow Meter, Thermal Conductivity, ThermCon Scientific, laboratory instrument, DIWAN</t>
  </si>
  <si>
    <t>https://www.thermconscientific.com/EN%2C221/hfm-300600-series-heat-flow-meter.html</t>
  </si>
  <si>
    <t>Exact manufacturer product page verified; confirm configuration-specific measurement range and plate-temperature options before publication. Source reviewed 2026-08-23. Primary image and downloadable brochure assets remain open.</t>
  </si>
  <si>
    <t>The HFM1600 measures thermal conductivity of refractory and carbon-based materials under high temperature, controlled atmosphere and optional vacuum conditions.</t>
  </si>
  <si>
    <t>HFM1600 High Temperature Thermal Conductivity Tester from ThermCon Scientific: key capabilities, technical specifications and applications. Request configuration advice and a quotation from DIWAN.</t>
  </si>
  <si>
    <t>The ThermCon Scientific HFM1600 is a high-temperature heat-flow instrument for large cylindrical specimens. It supports guarded testing of refractory, carbon and insulation materials where conductivity must be measured under elevated-temperature service conditions.</t>
  </si>
  <si>
    <t>High-temperature heat-flow method; protective-gas and vacuum operation; controlled contact pressure; molybdenum heating components; dedicated software analysis.</t>
  </si>
  <si>
    <t>Temperature range: 600–1600°C; conductivity range: 0.01–20 W/m·K; accuracy: ±3%; sample diameter: approximately 119 mm; sample thickness: 30–50 mm; pressure: 0–0.1 MPa; vacuum capability: 1000 Pa or lower.</t>
  </si>
  <si>
    <t>Carbon refractories, carbon felt, gas-diffusion carbon paper, composites, insulation brick and other high-temperature refractory materials.</t>
  </si>
  <si>
    <t>HFM1600 High Temperature Thermal Conductivity Tester from ThermCon Scientific</t>
  </si>
  <si>
    <t>LFA 1600; HFM 300/600; HFM50/300</t>
  </si>
  <si>
    <t>HFM1600 High Temperature Thermal Conductivity Tester, Thermal Conductivity, ThermCon Scientific, laboratory instrument, DIWAN</t>
  </si>
  <si>
    <t>The DIL Series measures dimensional change and coefficient of thermal expansion during programmed heating for materials up to 1000°C, 1400°C or 1600°C.</t>
  </si>
  <si>
    <t>DIL Series Linear Thermal Expansion Coefficient Tester from ThermCon Scientific: key capabilities, technical specifications and applications. Request configuration advice and a quotation from DIWAN.</t>
  </si>
  <si>
    <t>ThermCon Scientific's DIL Series is a horizontal push-rod dilatometer for measuring expansion, shrinkage and coefficient of thermal expansion as a function of temperature or time. Interchangeable high-temperature configurations support research and routine materials testing.</t>
  </si>
  <si>
    <t>Single push-rod measurement; near-zero applied load; programmable heating; air or inert-gas atmosphere; software monitoring and reporting; quartz or alumina sample systems; calibration standards included.</t>
  </si>
  <si>
    <t>Models: DIL-1000, DIL-1400 and DIL-1600; sample diameter: 6–8 mm; sample length: 25 or 50 mm; displacement range: ±5 mm; resolution: 1 µm, optional 0.1 µm; heating rate: 1–30°C/min; power: 220V, 50/60Hz.</t>
  </si>
  <si>
    <t>Polymers, building materials, ceramics, glass and composites; thermal expansion, percent expansion, shrinkage and CTE measurement for research, education and quality control.</t>
  </si>
  <si>
    <t>DIL Series Linear Thermal Expansion Coefficient Tester from ThermCon Scientific</t>
  </si>
  <si>
    <t>DIL Optical; DIL-D; DIL-C; DIL-Q</t>
  </si>
  <si>
    <t>Dilatometry enquiry → website group enquiry form → category owner assignment</t>
  </si>
  <si>
    <t>DIL Series Linear Thermal Expansion Coefficient Tester, Dilatometry, ThermCon Scientific, laboratory instrument, DIWAN</t>
  </si>
  <si>
    <t>https://www.thermconscientific.com/EN%2C63/thermcon-scientific-dil-series--linear-thermal-expansion-coefficient-tester.html</t>
  </si>
  <si>
    <t>The DIL Optical uses high-temperature image analysis to measure sintering, softening, melting, refractoriness and contact-angle behavior without contacting the sample.</t>
  </si>
  <si>
    <t>DIL Optical Sintering Point Tester (Optical Dilatometer) from ThermCon Scientific: key capabilities, technical specifications and applications. Request configuration advice and a quotation from DIWAN.</t>
  </si>
  <si>
    <t>The ThermCon Scientific DIL Optical is a non-contact optical dilatometer and high-temperature microscopy system. A transmitted-image setup tracks specimen shape and dimensional change during heating, making it suitable for materials that soften, deform or melt.</t>
  </si>
  <si>
    <t>Non-contact optical measurement; high-temperature transmitted imaging; automated shape and dimensional analysis; programmable heating; software image capture; suitable for softening and melting materials.</t>
  </si>
  <si>
    <t>Temperature range: approximately 30–1600°C; heating rate: 0.1–80°C/min; high-resolution optical imaging; nitrogen atmosphere and water-cooling provisions; sample dimensions and optical configuration require final confirmation.</t>
  </si>
  <si>
    <t>Sand, glass, compounds, refractories, ceramic raw materials and metals; sintering point, melting point, refractoriness, deformation and surface contact-angle studies.</t>
  </si>
  <si>
    <t>DIL Optical Sintering Point Tester (Optical Dilatometer) from ThermCon Scientific</t>
  </si>
  <si>
    <t>DIL Series; DIL-D; DIL-C</t>
  </si>
  <si>
    <t>DIL Optical Sintering Point Tester (Optical Dilatometer), Dilatometry, ThermCon Scientific, laboratory instrument, DIWAN</t>
  </si>
  <si>
    <t>https://www.thermconscientific.com/EN%2C109/dil-optical---sintering-point-tester-optical-dilatometer.html</t>
  </si>
  <si>
    <t>Exact manufacturer product page verified; confirm final optical specification and sample geometry before publication. Source reviewed 2026-08-23. Primary image and downloadable brochure assets remain open.</t>
  </si>
  <si>
    <t>The DIL-Q is ThermCon Scientific's quenching-deformation dilatometer line for studying dimensional change during controlled heating, cooling and quench cycles.</t>
  </si>
  <si>
    <t>DIL-Q Quenching Deformation Dilatometer from ThermCon Scientific: key capabilities, technical specifications and applications. Request configuration advice and a quotation from DIWAN.</t>
  </si>
  <si>
    <t>ThermCon Scientific lists the DIL-Q as a quenching deformation dilatometer within its dilatometry portfolio. The product is intended for temperature-dependent deformation and transformation studies where rapid cooling or quenching behavior is important.</t>
  </si>
  <si>
    <t>Quenching-deformation measurement; programmed thermal cycles; dimensional-change monitoring; application-specific atmosphere and cooling configuration subject to technical confirmation.</t>
  </si>
  <si>
    <t>Metals, alloys, heat-treatment research, phase-transformation studies and materials-development laboratories.</t>
  </si>
  <si>
    <t>DIL-Q Quenching Deformation Dilatometer from ThermCon Scientific</t>
  </si>
  <si>
    <t>DIL-D; DIL Series; DIL-C</t>
  </si>
  <si>
    <t>DIL-Q Quenching Deformation Dilatometer, Dilatometry, ThermCon Scientific, laboratory instrument, DIWAN</t>
  </si>
  <si>
    <t>Official manufacturer category listing verified, but a model-specific technical page was not reliably indexed. Temperature range, deformation range, quench rate, atmosphere and sample geometry require manufacturer confirmation. Source reviewed 2026-08-23. Primary image and downloadable brochure assets remain open.</t>
  </si>
  <si>
    <t>The DIL-D Series provides high-resolution thermal-expansion and deformation measurement with programmable heating and controlled cooling for advanced materials research.</t>
  </si>
  <si>
    <t>DIL-D Series Thermal Expansion Dilatometer from ThermCon Scientific: key capabilities, technical specifications and applications. Request configuration advice and a quotation from DIWAN.</t>
  </si>
  <si>
    <t>ThermCon Scientific's DIL-D Series is a research dilatometer for precision measurement of dimensional change during heating and cooling. The platform supports controlled atmosphere, optional vacuum and programmable force for thermal-expansion and transformation studies.</t>
  </si>
  <si>
    <t>High-resolution displacement measurement; programmable heating and cooling; air, inert-gas and optional vacuum operation; adjustable sample load; software control and reporting.</t>
  </si>
  <si>
    <t>Temperature range: approximately 20–1400°C; heating rate: 0.1–100°C/min; cooling rate: 0.1–50°C/min; sample diameter: 4–10 mm; sample length: up to 25 or 50 mm; adjustable load: 0.01–1 N; displacement range options: ±2.5 or ±5 mm.</t>
  </si>
  <si>
    <t>Metals, ceramics, glass, polymers and composites; CTE, shrinkage, phase-transformation and thermal-cycle deformation studies.</t>
  </si>
  <si>
    <t>DIL-D Series Thermal Expansion Dilatometer from ThermCon Scientific</t>
  </si>
  <si>
    <t>DIL Series; DIL-Q; DIL-C; DIL Optical</t>
  </si>
  <si>
    <t>DIL-D Series Thermal Expansion Dilatometer, Dilatometry, ThermCon Scientific, laboratory instrument, DIWAN</t>
  </si>
  <si>
    <t>https://www.thermconscientific.com/EN%2C213/dil-d-series-thermal-expansion-dilatometer.html</t>
  </si>
  <si>
    <t>Exact manufacturer product page verified; confirm final configuration, cooling system and vacuum options before publication. Source reviewed 2026-08-23. Primary image and downloadable brochure assets remain open.</t>
  </si>
  <si>
    <t>The DIL-C is ThermCon Scientific's cryogenic thermal-expansion dilatometer line for measuring dimensional change below and above ambient temperature.</t>
  </si>
  <si>
    <t>DIL-C Series Cryogenic Thermal Expansion Dilatometer from ThermCon Scientific: key capabilities, technical specifications and applications. Request configuration advice and a quotation from DIWAN.</t>
  </si>
  <si>
    <t>ThermCon Scientific lists the DIL-C as a cryogenic thermal-expansion dilatometer within its dilatometry portfolio. It is intended for materials whose expansion or contraction must be characterized across sub-ambient thermal cycles.</t>
  </si>
  <si>
    <t>Cryogenic thermal-expansion testing; dimensional-change and CTE measurement; programmed low-temperature cycling; configuration-specific cooling and atmosphere controls require confirmation.</t>
  </si>
  <si>
    <t>Metals, polymers, composites, electronic materials and research applications requiring low-temperature expansion and contraction data.</t>
  </si>
  <si>
    <t>DIL-C Series Cryogenic Thermal Expansion Dilatometer from ThermCon Scientific</t>
  </si>
  <si>
    <t>DIL-D; DIL Series; DIL-Q</t>
  </si>
  <si>
    <t>DIL-C Series Cryogenic Thermal Expansion Dilatometer, Dilatometry, ThermCon Scientific, laboratory instrument, DIWAN</t>
  </si>
  <si>
    <t>Official manufacturer category listing verified, but a model-specific technical page was not reliably indexed. Temperature range, cooling method, displacement resolution and sample geometry require manufacturer confirmation. Source reviewed 2026-08-23. Primary image and downloadable brochure assets remain open.</t>
  </si>
  <si>
    <t>The CRUMPLEFLEX is listed by ThermCon Scientific as a fabric flexing tester for evaluating material durability under repeated crumpling or flexing cycles.</t>
  </si>
  <si>
    <t>CRUMPLEFLEX Fabric Flexing Tester from ThermCon Scientific: key capabilities, technical specifications and applications. Request configuration advice and a quotation from DIWAN.</t>
  </si>
  <si>
    <t>ThermCon Scientific presents CRUMPLEFLEX as a fabric flexing tester within its materials-testing content. The system is intended to assess how flexible sheet or fabric materials withstand repeated mechanical deformation.</t>
  </si>
  <si>
    <t>Repeated flexing or crumpling assessment; laboratory durability screening; method and fixture configuration require technical confirmation.</t>
  </si>
  <si>
    <t>Textiles, coated fabrics, flexible composites and sheet materials requiring comparative flex-durability testing.</t>
  </si>
  <si>
    <t>CRUMPLEFLEX Fabric Flexing Tester from ThermCon Scientific</t>
  </si>
  <si>
    <t>Material Testing enquiry → website group enquiry form → category owner assignment</t>
  </si>
  <si>
    <t>CRUMPLEFLEX Fabric Flexing Tester, Material Testing, ThermCon Scientific, laboratory instrument, DIWAN</t>
  </si>
  <si>
    <t>Only the official manufacturer homepage/video listing was verified. Test method, standards, speed, stroke, specimen size and pass/fail criteria require manufacturer confirmation before a product page is published. Source reviewed 2026-08-23. Primary image and downloadable brochure assets remain open.</t>
  </si>
  <si>
    <t>The UL94 Horizontal/Vertical Flame Chamber is an automated system for evaluating the flammability and flame-retardant behavior of plastic materials in horizontal and vertical orientations.</t>
  </si>
  <si>
    <t>UL94 Horizontal/Vertical Flame Chamber from ThermCon Scientific: key capabilities, technical specifications and applications. Request configuration advice and a quotation from DIWAN.</t>
  </si>
  <si>
    <t>ThermCon Scientific's UL94 Horizontal/Vertical Flame Chamber supports controlled flame testing of plastic specimens. Touchscreen operation and automated test control are intended to improve consistency for horizontal and vertical burning assessments.</t>
  </si>
  <si>
    <t>Horizontal and vertical flame testing; UL 94-oriented test workflow; smart touchscreen control; automated and user-friendly operation; precision flame application.</t>
  </si>
  <si>
    <t>Manufacturer confirms horizontal and vertical testing with touchscreen control; chamber dimensions, burner specification, gas requirements, timer resolution and supported UL 94 classifications require technical confirmation.</t>
  </si>
  <si>
    <t>Plastic materials, polymer components, electrical and electronic products, appliance materials and quality-control laboratories performing flammability screening.</t>
  </si>
  <si>
    <t>UL94 Horizontal/Vertical Flame Chamber from ThermCon Scientific</t>
  </si>
  <si>
    <t>UL94 Horizontal/Vertical Flame Chamber, Material Testing, ThermCon Scientific, laboratory instrument, DIWAN</t>
  </si>
  <si>
    <t>Official manufacturer homepage product feature verified. A dedicated indexed product page and complete technical specification must be confirmed before publication. Source reviewed 2026-08-23. Primary image and downloadable brochure assets remain open.</t>
  </si>
  <si>
    <t>Baseline definition complete - official specifications and assets pending</t>
  </si>
  <si>
    <t>No public downloadable document captured yet; provide the latest approved manufacturer document on request after revision and reuse checks.</t>
  </si>
  <si>
    <t>In Progress - document control rule available; files pending</t>
  </si>
  <si>
    <t>In Progress - routes populated; named owners and CRM destination pending</t>
  </si>
  <si>
    <t>Available - standard availability policy drafted; management approval pending</t>
  </si>
  <si>
    <t>Available - standard lead-time wording drafted; management approval pending</t>
  </si>
  <si>
    <t>In Progress - partner register created; authorization, territory and logos pending</t>
  </si>
  <si>
    <t>In Progress - contact register created; official values pending</t>
  </si>
  <si>
    <t>Available - English-only release scope; Arabic deferred</t>
  </si>
  <si>
    <t>English content selected for current remediation scope</t>
  </si>
  <si>
    <t>In Progress - product metadata populated; SEO review pending</t>
  </si>
  <si>
    <t>Available - alt text populated; image-specific review pending</t>
  </si>
  <si>
    <t>In Progress - approval role populated; named approvers and sign-off pending</t>
  </si>
  <si>
    <t>Products!K:O</t>
  </si>
  <si>
    <t>Extract exact features from official sources</t>
  </si>
  <si>
    <t>Complete exact specifications from official pages or datasheets</t>
  </si>
  <si>
    <t>Validate baseline applications by partner</t>
  </si>
  <si>
    <t>In Progress - field available; approved assets missing</t>
  </si>
  <si>
    <t>Collect approved supporting images and diagrams</t>
  </si>
  <si>
    <t>In Progress - access rule set; public URLs missing</t>
  </si>
  <si>
    <t>Products!U:V and AI:AI</t>
  </si>
  <si>
    <t>Capture current approved brochure or datasheet URLs</t>
  </si>
  <si>
    <t>In Progress - document rule available; controlled files missing</t>
  </si>
  <si>
    <t>Collect manuals, certificates and compliance files</t>
  </si>
  <si>
    <t>Available - category related links populated; refinement pending</t>
  </si>
  <si>
    <t>Replace category links with model-specific related products where useful</t>
  </si>
  <si>
    <t>Assign accountable category owners and destination queues</t>
  </si>
  <si>
    <t>Available - standard policy drafted; management approval pending</t>
  </si>
  <si>
    <t>Approve public availability wording</t>
  </si>
  <si>
    <t>Available - standard wording drafted; management approval pending</t>
  </si>
  <si>
    <t>Approve lead-time and delivery wording</t>
  </si>
  <si>
    <t>In Progress - partner register created; confirmation pending</t>
  </si>
  <si>
    <t>Confirm authorization, territory, logos and relationship wording</t>
  </si>
  <si>
    <t>Provide approved phone, email, address, map and hours</t>
  </si>
  <si>
    <t>Website Content Guide!G35:H35</t>
  </si>
  <si>
    <t>No action for current English-only scope</t>
  </si>
  <si>
    <t>Products!I:L</t>
  </si>
  <si>
    <t>Validate length, search intent and duplicate metadata</t>
  </si>
  <si>
    <t>Available - baseline keywords generated for all products</t>
  </si>
  <si>
    <t>Prioritize SEO validation by category</t>
  </si>
  <si>
    <t>Available - alt text generated; image-specific review pending</t>
  </si>
  <si>
    <t>Validate after final images are selected</t>
  </si>
  <si>
    <t>Implement and test the web form</t>
  </si>
  <si>
    <t>In Progress - approval role and readiness fields added; named approvers pending</t>
  </si>
  <si>
    <t>Products!AB:AD</t>
  </si>
  <si>
    <t>Assign named approvers and complete sign-off batches</t>
  </si>
  <si>
    <t>Product definition records</t>
  </si>
  <si>
    <t>Detailed official-source product records</t>
  </si>
  <si>
    <t>ThermCon Scientific rows Products!2:22</t>
  </si>
  <si>
    <t>Controlled baseline definitions pending model detail</t>
  </si>
  <si>
    <t>Products with feature / selection guidance</t>
  </si>
  <si>
    <t>488 products still use category, catalog or manufacturer-level sources</t>
  </si>
  <si>
    <t>Products with structured technical specifications</t>
  </si>
  <si>
    <t>Products in content-drafted status</t>
  </si>
  <si>
    <t>Products with approved image and document URLs</t>
  </si>
  <si>
    <t>Product content record coverage</t>
  </si>
  <si>
    <t>No product is undefined, but technical depth and differentiators remain uneven.</t>
  </si>
  <si>
    <t>Complete exact official-source content in partner and priority-product batches.</t>
  </si>
  <si>
    <t>Extract exact capabilities and differentiators from official sources.</t>
  </si>
  <si>
    <t>Technical evaluation remains incomplete for most of the catalog.</t>
  </si>
  <si>
    <t>Populate exact specifications and units from official pages or current datasheets.</t>
  </si>
  <si>
    <t>Products are now connected to use cases, but baseline applications require validation.</t>
  </si>
  <si>
    <t>Validate applications in manufacturer and sales-review batches.</t>
  </si>
  <si>
    <t>Document and access-control fields exist; request-only rules are populated, but public brochure and datasheet URLs are still missing.</t>
  </si>
  <si>
    <t>Technical visitors still lack downloadable product evidence.</t>
  </si>
  <si>
    <t>Add current approved document URLs, revision dates and public/request-only rules.</t>
  </si>
  <si>
    <t>Architecture exists, but category pages must still be written and built.</t>
  </si>
  <si>
    <t>Use the category template and routing matrix to complete category landing pages.</t>
  </si>
  <si>
    <t>The structure prevents unsupported claims, but formal evidence is still required.</t>
  </si>
  <si>
    <t>Complete each partner authorization record before publishing relationship claims.</t>
  </si>
  <si>
    <t>Category routing matrix, product route text and form specification are created; named owners, inbox/CRM destination, notifications and auto-response remain open.</t>
  </si>
  <si>
    <t>Lead capture is designed but not operationally assigned.</t>
  </si>
  <si>
    <t>Assign category owners and implement the destination inbox or CRM workflow.</t>
  </si>
  <si>
    <t>An official contact register is created; DIWAN phone, email, address, map and business hours require management input.</t>
  </si>
  <si>
    <t>Visitors still need approved public contact details.</t>
  </si>
  <si>
    <t>Provide and approve official group contact values.</t>
  </si>
  <si>
    <t>Unapproved technical and commercial claims remain blocked by design.</t>
  </si>
  <si>
    <t>Assign named reviewers and approve products in controlled batches.</t>
  </si>
  <si>
    <t>English product copy, meta descriptions and baseline keywords are populated; SEO quality review remains, and Arabic is outside the current English-only scope.</t>
  </si>
  <si>
    <t>English launch content exists, but search optimization still needs review.</t>
  </si>
  <si>
    <t>Complete SEO QA and schedule Arabic only if scope changes.</t>
  </si>
  <si>
    <t>In Progress - access rules available; public URLs pending</t>
  </si>
  <si>
    <t>In Progress - routes and matrix available; named owners/CRM pending</t>
  </si>
  <si>
    <t>In Progress - register created; management confirmation pending</t>
  </si>
  <si>
    <t>In Progress - register created; official values pending</t>
  </si>
  <si>
    <t>In Progress - metadata populated; SEO quality review pending</t>
  </si>
  <si>
    <t>To Prepare - destination inbox or CRM integration pending</t>
  </si>
  <si>
    <t>Website Launch Controls!A20:H112</t>
  </si>
  <si>
    <t>Category Record Available?</t>
  </si>
  <si>
    <t>Remaining Action</t>
  </si>
  <si>
    <t>Yes - routing record</t>
  </si>
  <si>
    <t>Finalize the category definition, intro, filters, SEO and CMS page using the category template and routing matrix.</t>
  </si>
  <si>
    <t>Product Definition Record Available?</t>
  </si>
  <si>
    <t>Current Content Readiness</t>
  </si>
  <si>
    <t>Final evaluation</t>
  </si>
  <si>
    <t>Exact duplicate product-name groups</t>
  </si>
  <si>
    <t>5 exact duplicate groups; 5 additional “+” model-family variants are listed below for naming review.</t>
  </si>
  <si>
    <t>Final Readiness Evaluation</t>
  </si>
  <si>
    <t>Reviewed 2026-08-23</t>
  </si>
  <si>
    <t>Measure</t>
  </si>
  <si>
    <t>Evaluation</t>
  </si>
  <si>
    <t>Product definition coverage</t>
  </si>
  <si>
    <t>All products have a defined website content record.</t>
  </si>
  <si>
    <t>Detailed official-source records</t>
  </si>
  <si>
    <t>Structured technical specifications</t>
  </si>
  <si>
    <t>Approved datasheets / brochures</t>
  </si>
  <si>
    <t>No approved datasheet or brochure URLs are currently loaded.</t>
  </si>
  <si>
    <t>Launch checklist weighted readiness</t>
  </si>
  <si>
    <t>Available items score 100%; in-progress items score 50%; to-prepare items score 0%.</t>
  </si>
  <si>
    <t>Open P0 launch controls</t>
  </si>
  <si>
    <t>Public launch requires all P0 controls to be closed or formally accepted.</t>
  </si>
  <si>
    <t>Final launch decision</t>
  </si>
  <si>
    <t>Continue controlled CMS build and content loading; do not publish the full catalog yet.</t>
  </si>
  <si>
    <t>Launch checklist status mix</t>
  </si>
  <si>
    <t>46 controls reviewed</t>
  </si>
  <si>
    <t>Close images, documents, contact details, CRM, legal, security, access and approvals first.</t>
  </si>
  <si>
    <t>Audit date and integrity check</t>
  </si>
  <si>
    <t>Final workbook audit</t>
  </si>
  <si>
    <t>No common Excel formula errors were detected in the workbook.</t>
  </si>
  <si>
    <t>Duplicate / model-family product names</t>
  </si>
  <si>
    <t>5 exact duplicate groups and 5 closely related “+” model variants are listed for review.</t>
  </si>
  <si>
    <t>Exact duplicates can create conflicting pages; model variants need visibly distinct names and specifications.</t>
  </si>
  <si>
    <t>Consolidate exact duplicates and confirm variant names, specifications and unique URL slugs.</t>
  </si>
  <si>
    <t>Potential Duplicate / Model Family</t>
  </si>
  <si>
    <t>Record Count</t>
  </si>
  <si>
    <t>PE-100 / PE-100+ Floor-Type Tungsten SEM</t>
  </si>
  <si>
    <t>Model variants appear intentional; confirm distinct specifications, naming and unique URL slugs.</t>
  </si>
  <si>
    <t>PE-150 / PE-150+ Floor-Type Tungsten SEM</t>
  </si>
  <si>
    <t>PV-100 / PV-100+ Tabletop Tungsten SEM</t>
  </si>
  <si>
    <t>PV-150 / PV-150+ Tabletop Tungsten SEM</t>
  </si>
  <si>
    <t>aquapuri Essence / aquapuri Essence+</t>
  </si>
  <si>
    <t>NO-GO for public launch — 58.7% weighted readiness with 17 open P0 controls. Product definitions are complete, but detailed technical content, approved images and datasheets, contact and CRM setup, approvals, legal/security controls and launch governance remain incomplete.</t>
  </si>
  <si>
    <t>Whisper Nitrogen Generator (External Compressor)</t>
  </si>
  <si>
    <t>Whisper Nitrogen Generator (External Compressor) | DIWAN Engineering &amp; Technology Company</t>
  </si>
  <si>
    <t>whisper-nitrogen-generator-external-compressor</t>
  </si>
  <si>
    <t>SP930D Solvent Delivery Pump</t>
  </si>
  <si>
    <t>SP930D Solvent Delivery Pump | DIWAN Engineering &amp; Technology Company</t>
  </si>
  <si>
    <t>sp930d-solvent-delivery-pump</t>
  </si>
  <si>
    <t>Whisper Nitrogen Generator (External Compressor) is a laboratory nitrogen gas generator from Young In Chromass for LC/MS supply and solvent-evaporation applications. Its configuration supports high-purity nitrogen delivery, pressure control and instrument gas integration; final capacity must be selected for the connected analyzer.</t>
  </si>
  <si>
    <t>High-purity nitrogen generation; external oil-free compressor configuration; internal storage tank; pressure control; system-status display; safety alarms; optional second nitrogen outlet.</t>
  </si>
  <si>
    <t>Nitrogen purity: up to 99.999% for LC/MS configuration; pressure: up to 8 bar (115 psi); nitrogen flow: up to 64 L/min standard or 14 L/min LC/MS configuration; power: 230 VAC.</t>
  </si>
  <si>
    <t>LC/MS nitrogen supply, solvent evaporation, analytical laboratories and instrument gas support.</t>
  </si>
  <si>
    <t>SP930D Solvent Delivery Pump is a stand-alone liquid chromatography pump from Young In Chromass for accurate and stable solvent delivery. The dual-head design supports low-pulsation flow, high-pressure operation and integration into analytical liquid-chromatography systems.</t>
  </si>
  <si>
    <t>Stand-alone liquid-delivery design; dual-head series configuration; low pulsation; flow calibration; pressure display; leak detection; wash function; GLP-supporting operation.</t>
  </si>
  <si>
    <t>Flow range: 0.01–10.0 mL/min; flow accuracy: ±1.0% or ±2 µL/min; precision: ≤0.1% RSD; maximum pressure: 560 bar; gradient capability: isocratic and high-pressure mixing; dimensions: 400 × 186 × 549 mm.</t>
  </si>
  <si>
    <t>HPLC solvent delivery, analytical liquid chromatography, high-pressure mixing, method development and laboratory instrument integration.</t>
  </si>
  <si>
    <t>https://eng.youngincm.com/goods/view.php?M2_IDX=18659&amp;SC_BOOKMARK=N&amp;SC_SF_IDX=Array&amp;page=6&amp;GS_IDX=20160</t>
  </si>
  <si>
    <t>https://eng.youngincm.com/goods/view.php?M2_IDX=18659&amp;SC_BOOKMARK=N&amp;SC_SF_IDX=Array&amp;page=6&amp;GS_IDX=785</t>
  </si>
  <si>
    <t>Exact official Young In Chromass product page verified for the Whisper nitrogen generator. Technical configuration and public assets require final product-team approval before publication. Source reviewed 2026-08-23.</t>
  </si>
  <si>
    <t>Exact official Young In Chromass product page verified for the SP930D solvent delivery pump. Technical configuration and public assets require final product-team approval before publication. Source reviewed 2026-08-23.</t>
  </si>
  <si>
    <t>Gas Chromatography</t>
  </si>
  <si>
    <t>Liquid Chromatography</t>
  </si>
  <si>
    <t>Water Purification</t>
  </si>
  <si>
    <t>Autosamplers</t>
  </si>
  <si>
    <t>Analyzers</t>
  </si>
  <si>
    <t>Environmental MS</t>
  </si>
  <si>
    <t>Ion Chromatography</t>
  </si>
  <si>
    <t>Mass Spectral Libraries</t>
  </si>
  <si>
    <t>Sample Preparation</t>
  </si>
  <si>
    <t>Chromatography Accessories</t>
  </si>
  <si>
    <t>Chromatography Software</t>
  </si>
  <si>
    <t>Gas Generators</t>
  </si>
  <si>
    <t>Liquid Pumps</t>
  </si>
  <si>
    <t>N2 Tower Plus (High Purity N2) Generator</t>
  </si>
  <si>
    <t>N2 Tower Plus (High Purity N2) Generator | DIWAN Engineering &amp; Technology Company</t>
  </si>
  <si>
    <t>n2-tower-plus-high-purity-n2-generator</t>
  </si>
  <si>
    <t>https://eng.youngincm.com/goods/read.php?M2_IDX=18462&amp;SC_BOOKMARK=N&amp;SC_SC1_IDX=406&amp;SC_SF_IDX=Array&amp;SP_CODE=2306OKKA</t>
  </si>
  <si>
    <t>Air Ultra Zero Generator (Hydrocarbon Trap Type)</t>
  </si>
  <si>
    <t>Air Ultra Zero Generator (Hydrocarbon Trap Type) | DIWAN Engineering &amp; Technology Company</t>
  </si>
  <si>
    <t>air-ultra-zero-generator-hydrocarbon-trap</t>
  </si>
  <si>
    <t>https://eng.youngincm.com/goods/read.php?M2_IDX=18462&amp;SC_BOOKMARK=N&amp;SC_SC1_IDX=406&amp;SC_SF_IDX=Array&amp;SP_CODE=2004BVPH</t>
  </si>
  <si>
    <t>Air Generator (Zero Air GC Series)</t>
  </si>
  <si>
    <t>Air Generator (Zero Air GC Series) | DIWAN Engineering &amp; Technology Company</t>
  </si>
  <si>
    <t>air-generator-zero-air-gc-series</t>
  </si>
  <si>
    <t>https://eng.youngincm.com/goods/read.php?M2_IDX=18462&amp;SC_BOOKMARK=N&amp;SC_SC1_IDX=406&amp;SC_SF_IDX=Array&amp;SP_CODE=2004TOGJ</t>
  </si>
  <si>
    <t>Mistral Evolution (Built-in Compressor)</t>
  </si>
  <si>
    <t>Mistral Evolution (Built-in Compressor) | DIWAN Engineering &amp; Technology Company</t>
  </si>
  <si>
    <t>mistral-evolution-built-in-compressor</t>
  </si>
  <si>
    <t>https://eng.youngincm.com/goods/read.php?M2_IDX=18462&amp;SC_BOOKMARK=N&amp;SC_SC1_IDX=406&amp;SC_SF_IDX=Array&amp;SP_CODE=2305NROA</t>
  </si>
  <si>
    <t>YL9200 Series Single Pump</t>
  </si>
  <si>
    <t>YL9200 Series Single Pump | DIWAN Engineering &amp; Technology Company</t>
  </si>
  <si>
    <t>yl9200-series-single-pump</t>
  </si>
  <si>
    <t>https://eng.youngincm.com/goods/list.php?M2_IDX=18659&amp;SC_BOOKMARK=N&amp;SC_SF_IDX=Array&amp;page=6</t>
  </si>
  <si>
    <t>Mass Spectrometry</t>
  </si>
  <si>
    <t>ACE 3000 ICP-MS</t>
  </si>
  <si>
    <t>ACE 3000 ICP-MS | DIWAN Engineering &amp; Technology Company</t>
  </si>
  <si>
    <t>ace-3000-icp-ms</t>
  </si>
  <si>
    <t>https://eng.youngincm.com/goods/read.php?M2_IDX=18659&amp;SC_BOOKMARK=N&amp;SC_SF_IDX=Array&amp;SP_CODE=2604WLFT</t>
  </si>
  <si>
    <t>Addcomposites, Hiden Analytical</t>
  </si>
  <si>
    <t>Injection Moulding</t>
  </si>
  <si>
    <t>Robot Factory</t>
  </si>
  <si>
    <t>Italy</t>
  </si>
  <si>
    <t>Pneumatic Injection Moulding System</t>
  </si>
  <si>
    <t>https://www.robotfactory.it/en/pneumatic-injection-molding-system/</t>
  </si>
  <si>
    <t>Pneumatic Injection Moulding System | DIWAN Engineering &amp; Technology Company</t>
  </si>
  <si>
    <t>pneumatic-injection-moulding-system</t>
  </si>
  <si>
    <t>Oleodynamic Injection Moulding System</t>
  </si>
  <si>
    <t>https://www.robotfactory.it/en/oleodynamic-injection-moulding/</t>
  </si>
  <si>
    <t>Oleodynamic Injection Moulding System | DIWAN Engineering &amp; Technology Company</t>
  </si>
  <si>
    <t>oleodynamic-injection-moulding-system</t>
  </si>
  <si>
    <t>3D Printing</t>
  </si>
  <si>
    <t>Sliding-3D FFF 3D Printer</t>
  </si>
  <si>
    <t>https://www.robotfactory.it/en/sliding-3d-en/</t>
  </si>
  <si>
    <t>Sliding-3D FFF 3D Printer | DIWAN Engineering &amp; Technology Company</t>
  </si>
  <si>
    <t>sliding-3d-fff-3d-printer</t>
  </si>
  <si>
    <t>Silver Belt 3D FDM-45 Printer All Metal Kit</t>
  </si>
  <si>
    <t>https://www.robotfactory.it/en/silver-belt-3d-printer/</t>
  </si>
  <si>
    <t>Silver Belt 3D FDM-45 Printer All Metal Kit | DIWAN Engineering &amp; Technology Company</t>
  </si>
  <si>
    <t>silver-belt-3d-fdm-45-printer-all-metal-kit</t>
  </si>
  <si>
    <t>3D Printer Upgrades</t>
  </si>
  <si>
    <t>Steel Roller Kit</t>
  </si>
  <si>
    <t>https://www.robotfactory.it/en/</t>
  </si>
  <si>
    <t>Steel Roller Kit | DIWAN Engineering &amp; Technology Company</t>
  </si>
  <si>
    <t>steel-roller-kit</t>
  </si>
  <si>
    <t>Steel Roller 45 Kit</t>
  </si>
  <si>
    <t>https://www.robotfactory.it/en/the-steel-roller-45-kit/</t>
  </si>
  <si>
    <t>Steel Roller 45 Kit | DIWAN Engineering &amp; Technology Company</t>
  </si>
  <si>
    <t>steel-roller-45-kit</t>
  </si>
  <si>
    <t>Thermoforming</t>
  </si>
  <si>
    <t>3D Forming Thermoform Desktop Thermoforming Machine</t>
  </si>
  <si>
    <t>https://www.robotfactory.it/en/3d-forming-thermoform/</t>
  </si>
  <si>
    <t>3D Forming Thermoform Desktop Thermoforming Machine | DIWAN Engineering &amp; Technology Company</t>
  </si>
  <si>
    <t>3d-forming-thermoform-desktop-thermoforming-machine</t>
  </si>
  <si>
    <t>3DL Printer HD 2.0+</t>
  </si>
  <si>
    <t>https://www.robotfactory.it/en/3dl-printer-hd-2-0-en/</t>
  </si>
  <si>
    <t>3DL Printer HD 2.0+ | DIWAN Engineering &amp; Technology Company</t>
  </si>
  <si>
    <t>3dl-printer-hd-2-0-plus</t>
  </si>
  <si>
    <t>Website Launch Controls!A20:H116; Products!X:X</t>
  </si>
  <si>
    <t>Website Launch Controls!A5:K17</t>
  </si>
  <si>
    <t>Website Launch Controls!A119:F127</t>
  </si>
  <si>
    <t>Website Launch Controls!A102:F116</t>
  </si>
  <si>
    <t>Verification quality has improved for ThermCon and Robot Factory but remains broad for other partners.</t>
  </si>
  <si>
    <t>Website Launch Controls!A20:H101; Website Copy!A129:H132</t>
  </si>
  <si>
    <t>A partner register exists for all 12 partners; authorization, territory, approved wording and logos require management confirmation.</t>
  </si>
  <si>
    <t>https://www.thermconscientific.com/Resim/2ffa86104b_20252165327672.jpg</t>
  </si>
  <si>
    <t>https://www.thermconscientific.com/Resim/8268fb1cf5_202432418569359.jpg</t>
  </si>
  <si>
    <t>https://www.thermconscientific.com/Resim/d7cdf5fbde_20255923322294.jpg</t>
  </si>
  <si>
    <t>https://www.thermconscientific.com/Resim/a05b35b702_2025585556764.jpg</t>
  </si>
  <si>
    <t>https://www.thermconscientific.com/Resim/aa8f8e8e7d_2024324185816509.jpg</t>
  </si>
  <si>
    <t>https://www.thermconscientific.com/Resim/a637ae4c86_20255922813016.jpg</t>
  </si>
  <si>
    <t>https://www.thermconscientific.com/Resim/d6d050df5e_2024326131842234.jpg</t>
  </si>
  <si>
    <t>https://www.thermconscientific.com/Resim/a161863b18_20244417457706.jpg</t>
  </si>
  <si>
    <t>https://www.thermconscientific.com/Resim/8ffcfa83e7_2024441821136.jpg</t>
  </si>
  <si>
    <t>https://www.thermconscientific.com/Resim/0a26afe960_20244418445147.jpg</t>
  </si>
  <si>
    <t>https://www.thermconscientific.com/Resim/bb3630583e_202432613258124.jpg</t>
  </si>
  <si>
    <t>https://www.thermconscientific.com/Resim/8c7535927c_202562492630719.jpg</t>
  </si>
  <si>
    <t>https://www.thermconscientific.com/Resim/122153bf0a_20252141426213.jpg</t>
  </si>
  <si>
    <t>https://www.thermconscientific.com/Resim/c631cd3b11_2024326131631156.jpg</t>
  </si>
  <si>
    <t>https://www.thermconscientific.com/Resim/23a15d73d4_2024431411056.jpg</t>
  </si>
  <si>
    <t>https://www.thermconscientific.com/Resim/93c33819fc_202443131745108.jpg</t>
  </si>
  <si>
    <t>https://www.thermconscientific.com/Resim/c2a83a2fe4_20244313181731.jpg</t>
  </si>
  <si>
    <t>https://www.thermconscientific.com/Resim/28501d4c16_20255912498747.jpg</t>
  </si>
  <si>
    <t>https://www.thermconscientific.com/Resim/2d20793701_20244313184672.jpg</t>
  </si>
  <si>
    <t>https://cdn.nxcloud.biz/thumb/720/shop_product/0x0_5e8accea797d5.jpg</t>
  </si>
  <si>
    <t>https://cdn.nxcloud.biz/thumb/720/shop_product/0x0_5e8aa7621b9a3.jpg</t>
  </si>
  <si>
    <t>https://cdn.nxcloud.biz/thumb/720/shop_product/0x0_5e8a9024c2997.jpg</t>
  </si>
  <si>
    <t>https://cdn.nxcloud.biz/thumb/720/shop_product/0x0_5e8a9244f7291.jpg</t>
  </si>
  <si>
    <t>https://cdn.nxcloud.biz/thumb/720/shop_product/0x0_5e8acbe45f6cb.jpg</t>
  </si>
  <si>
    <t>https://cdn.nxcloud.biz/thumb/720/shop_product/0x0_60ee35223a7ea.jpg</t>
  </si>
  <si>
    <t>https://cdn.nxcloud.biz/thumb/720/shop_product/0x0_69ce1f7b04172.jpg</t>
  </si>
  <si>
    <t>https://cdn.prod.website-files.com/65393376169c4956127b5689/67d8cda6b7e909afca0dafc3_winding%201.png</t>
  </si>
  <si>
    <t>https://cdn.prod.website-files.com/65393376169c4956127b5689/675c880f4b5d7bb798db0ab0_pic%201.jpg</t>
  </si>
  <si>
    <t>https://cdn.prod.website-files.com/65393376169c4956127b5689/675ddcd4a0788f204a129edf_generated%20shoot%204.png</t>
  </si>
  <si>
    <t>https://cdn.prod.website-files.com/65393376169c4956127b5689/6739f15abfef58ed9215c4e9_AddX%20Y.png</t>
  </si>
  <si>
    <t>https://cdn.prod.website-files.com/65393376169c4956127b5689/673cdc33469076a25653fb99_laptop.png</t>
  </si>
  <si>
    <t>https://cdn.prod.website-files.com/65393376169c4956127b5689/673ce855991650a47c1aec84_laptop_square.png</t>
  </si>
  <si>
    <t>https://cdn.prod.website-files.com/65393376169c4956127b5689/673cd32915578cda983ba8be_addcell_laptop.png</t>
  </si>
  <si>
    <t>DIWAN Engineering &amp; Technology | Saudi Advanced Composites | Diwan of Excellence Engineering Consultations</t>
  </si>
  <si>
    <t>https://www.youtube.com/watch?v=jJO-bk0nw_c</t>
  </si>
  <si>
    <t>https://www.youtube.com/watch?v=hbZV3pRXF0A</t>
  </si>
  <si>
    <t>https://www.youtube.com/watch?v=tHh3kItDaII</t>
  </si>
  <si>
    <t>https://www.youtube.com/watch?v=0PEbC2o424g</t>
  </si>
  <si>
    <t>https://www.youtube.com/watch?v=pBvTvfdpO4Q</t>
  </si>
  <si>
    <t>https://www.youtube.com/watch?v=sEWyRYZp0bA</t>
  </si>
  <si>
    <t>https://www.youtube.com/watch?v=X1k10Ndrmy8</t>
  </si>
  <si>
    <t>https://www.youtube.com/watch?v=gZXuGhRT6Gg</t>
  </si>
  <si>
    <t>https://www.youtube.com/watch?v=XmgIG50vMFA</t>
  </si>
  <si>
    <t>https://www.youtube.com/watch?v=nQmJK_48lxI</t>
  </si>
  <si>
    <t>https://www.youtube.com/watch?v=jE5DC5-sKTQ</t>
  </si>
  <si>
    <t>https://www.youtube.com/watch?v=OvTOSPee0ow</t>
  </si>
  <si>
    <t>https://www.youtube.com/watch?v=yAzSTKoHZ3g</t>
  </si>
  <si>
    <t>Planned DIWAN Category Page Path</t>
  </si>
  <si>
    <t>Website Page Scope</t>
  </si>
  <si>
    <t>Architecture Updated On</t>
  </si>
  <si>
    <t>Product Listing Title</t>
  </si>
  <si>
    <t>Product Listing / Anchor Slug</t>
  </si>
  <si>
    <t>Short Product Listing Description</t>
  </si>
  <si>
    <t>Product Listing / Category SEO Support Copy</t>
  </si>
  <si>
    <t>Product Listing Call to Action</t>
  </si>
  <si>
    <t>Product Listing Content Status</t>
  </si>
  <si>
    <t>Product Listing Overview</t>
  </si>
  <si>
    <t>Product Listing Content Readiness</t>
  </si>
  <si>
    <t>/products/thermal-analysis</t>
  </si>
  <si>
    <t>/products/thermal-conductivity</t>
  </si>
  <si>
    <t>/products/dilatometry</t>
  </si>
  <si>
    <t>/products/material-testing</t>
  </si>
  <si>
    <t>/products/analyzers</t>
  </si>
  <si>
    <t>/products/autosamplers</t>
  </si>
  <si>
    <t>/products/chromatography-accessories</t>
  </si>
  <si>
    <t>/products/chromatography-software</t>
  </si>
  <si>
    <t>/products/environmental-ms</t>
  </si>
  <si>
    <t>/products/gas-chromatography</t>
  </si>
  <si>
    <t>/products/gas-generators</t>
  </si>
  <si>
    <t>/products/ion-chromatography</t>
  </si>
  <si>
    <t>/products/liquid-chromatography</t>
  </si>
  <si>
    <t>/products/liquid-pumps</t>
  </si>
  <si>
    <t>/products/mass-spectral-libraries</t>
  </si>
  <si>
    <t>/products/mass-spectrometry</t>
  </si>
  <si>
    <t>/products/sample-preparation</t>
  </si>
  <si>
    <t>/products/water-purification</t>
  </si>
  <si>
    <t>/products/gas-analysis</t>
  </si>
  <si>
    <t>/products/catalysis-and-thermal-analysis</t>
  </si>
  <si>
    <t>/products/dissolved-gas-and-fermentation</t>
  </si>
  <si>
    <t>/products/electrochemistry-and-leak-analysis</t>
  </si>
  <si>
    <t>/products/residual-gas-analysis</t>
  </si>
  <si>
    <t>/products/thin-films-and-plasma</t>
  </si>
  <si>
    <t>/products/surface-analysis</t>
  </si>
  <si>
    <t>/products/nanotechnology-and-molecular-beams</t>
  </si>
  <si>
    <t>/products/fusion-diagnostics</t>
  </si>
  <si>
    <t>/products/software</t>
  </si>
  <si>
    <t>/products/lab-scale-systems</t>
  </si>
  <si>
    <t>/products/pilot-scale-systems</t>
  </si>
  <si>
    <t>/products/reactor-applications-and-custom-systems</t>
  </si>
  <si>
    <t>/products/composite-manufacturing</t>
  </si>
  <si>
    <t>/products/automated-fiber-placement</t>
  </si>
  <si>
    <t>/products/continuous-fiber-3d-printing</t>
  </si>
  <si>
    <t>/products/software-and-robotic-cells</t>
  </si>
  <si>
    <t>/products/fa-machine-vision-lenses</t>
  </si>
  <si>
    <t>/products/telecentric-lenses</t>
  </si>
  <si>
    <t>/products/360-degree-inspection-lenses</t>
  </si>
  <si>
    <t>/products/line-scan-lenses</t>
  </si>
  <si>
    <t>/products/swir-lenses</t>
  </si>
  <si>
    <t>/products/industrial-cameras</t>
  </si>
  <si>
    <t>/products/hyperspectral-and-multispectral-cameras</t>
  </si>
  <si>
    <t>/products/high-speed-cameras</t>
  </si>
  <si>
    <t>/products/machine-vision-lighting</t>
  </si>
  <si>
    <t>/products/remote-sensing-cameras</t>
  </si>
  <si>
    <t>/products/star-sensors</t>
  </si>
  <si>
    <t>/products/spaceborne-inertial-sensors</t>
  </si>
  <si>
    <t>/products/laser-communication-terminals</t>
  </si>
  <si>
    <t>/products/satellite-ground-stations</t>
  </si>
  <si>
    <t>/products/satellite-communication-terminals</t>
  </si>
  <si>
    <t>/products/satellite-platforms</t>
  </si>
  <si>
    <t>/products/propulsion-systems</t>
  </si>
  <si>
    <t>/products/ultra-precision-optics</t>
  </si>
  <si>
    <t>/products/high-pressure-syringe-pumps</t>
  </si>
  <si>
    <t>/products/autoclaves-reactors-and-pilot-plants</t>
  </si>
  <si>
    <t>/products/high-pressure-equipment</t>
  </si>
  <si>
    <t>/products/hydrogen-test-systems</t>
  </si>
  <si>
    <t>/products/porous-media-and-geomechanics</t>
  </si>
  <si>
    <t>/products/corrosion-testing</t>
  </si>
  <si>
    <t>/products/supercritical-fluids-and-co2</t>
  </si>
  <si>
    <t>/products/ftir-accessories</t>
  </si>
  <si>
    <t>/products/sample-preparation-equipment</t>
  </si>
  <si>
    <t>/products/nir-uv-process-cells</t>
  </si>
  <si>
    <t>/products/infrared-polarizers</t>
  </si>
  <si>
    <t>/products/tabletop-tungsten-sem</t>
  </si>
  <si>
    <t>/products/floor-type-tungsten-sem</t>
  </si>
  <si>
    <t>/products/entry-level-fe-sem</t>
  </si>
  <si>
    <t>/products/sem-accessories</t>
  </si>
  <si>
    <t>/products/universal-testing-machines</t>
  </si>
  <si>
    <t>/products/impact-testing-machines</t>
  </si>
  <si>
    <t>/products/hardness-testers</t>
  </si>
  <si>
    <t>/products/metallographic-equipment</t>
  </si>
  <si>
    <t>/products/fatigue-testing-machines</t>
  </si>
  <si>
    <t>/products/torsion-testing-machines</t>
  </si>
  <si>
    <t>/products/bending-testing-machines</t>
  </si>
  <si>
    <t>/products/cement-aggregate-concrete-and-soil-testing</t>
  </si>
  <si>
    <t>/products/other-testing-equipment</t>
  </si>
  <si>
    <t>/products/injection-moulding</t>
  </si>
  <si>
    <t>/products/3d-printing</t>
  </si>
  <si>
    <t>/products/3d-printer-upgrades</t>
  </si>
  <si>
    <t>/products/thermoforming</t>
  </si>
  <si>
    <t>One page per product category</t>
  </si>
  <si>
    <t>Identifies the product card or listing within its category page</t>
  </si>
  <si>
    <t>Use the exact manufacturer name and model as the listing title</t>
  </si>
  <si>
    <t>Defines the public website page, navigation, filters, and product grouping</t>
  </si>
  <si>
    <t>One approved page per product category; list all relevant models within it</t>
  </si>
  <si>
    <t>Official manufacturer source link</t>
  </si>
  <si>
    <t>Lets content writers verify technical claims, media, documents, and product updates</t>
  </si>
  <si>
    <t>Keep the best official manufacturer product or category source; this is not the DIWAN page destination</t>
  </si>
  <si>
    <t>Available - manufacturer sources retained in Products Z:AA; DIWAN destinations standardized by category in F:H</t>
  </si>
  <si>
    <t>Products!Z:AA for manufacturer sources; Products!F:H for DIWAN category-page plan</t>
  </si>
  <si>
    <t>Explains each model clearly inside the relevant category page</t>
  </si>
  <si>
    <t>40-80 words for a product card or expandable listing section</t>
  </si>
  <si>
    <t>Helps visitors compare models within the category page</t>
  </si>
  <si>
    <t>Supports engineering evaluation and comparison between models in the category</t>
  </si>
  <si>
    <t>Connects each listed model to customer use cases within the category page</t>
  </si>
  <si>
    <t>Required for category-page product cards, listings, and search results</t>
  </si>
  <si>
    <t>Shows operation, installation, or results beside the relevant product listing</t>
  </si>
  <si>
    <t>Improves navigation and cross-selling within and between category pages</t>
  </si>
  <si>
    <t>Approved menu with one page per product category and product listings within each category page</t>
  </si>
  <si>
    <t>Category page URL path</t>
  </si>
  <si>
    <t>Creates one clean, stable URL for each product category</t>
  </si>
  <si>
    <t>Use /products/category-name with lowercase words separated by hyphens</t>
  </si>
  <si>
    <t>Available - 81 category page paths generated</t>
  </si>
  <si>
    <t>Products!B:B and F:F</t>
  </si>
  <si>
    <t>Category SEO title and meta description</t>
  </si>
  <si>
    <t>Improves category-page search visibility and click-through rate</t>
  </si>
  <si>
    <t>In Progress - product support copy exists; consolidate and approve one SEO set per category</t>
  </si>
  <si>
    <t>Website Gap Review category section; Products!K:L as supporting source copy</t>
  </si>
  <si>
    <t>Category and product-listing search keywords</t>
  </si>
  <si>
    <t>Aligns category pages and model listings with customer search terms</t>
  </si>
  <si>
    <t>Available - baseline product keywords populated; category keyword consolidation pending</t>
  </si>
  <si>
    <t>Remaining Product Listing / Category Content</t>
  </si>
  <si>
    <t>Explore specialized technologies, instruments, equipment, and systems available through DIWAN Engineering &amp; Technology Company. Each product category page should group the relevant models and provide clear manufacturer information, official source references, technical-document requests, and an enquiry path for specifications and quotation.</t>
  </si>
  <si>
    <t>Use above the product catalog and link visitors to the 81 category pages.</t>
  </si>
  <si>
    <t>Product Listing Component</t>
  </si>
  <si>
    <t>Card / Section</t>
  </si>
  <si>
    <t>Category context</t>
  </si>
  <si>
    <t>Product listing title</t>
  </si>
  <si>
    <t>Expandable Content</t>
  </si>
  <si>
    <t>Product overview</t>
  </si>
  <si>
    <t>Listing Media</t>
  </si>
  <si>
    <t>Listing Downloads</t>
  </si>
  <si>
    <t>Related Listings</t>
  </si>
  <si>
    <t>Related models or categories</t>
  </si>
  <si>
    <t>Listing Conversion</t>
  </si>
  <si>
    <t>On-Page Search</t>
  </si>
  <si>
    <t>Listing heading and anchor</t>
  </si>
  <si>
    <t>[Product Listing Title] | #[Product Listing / Anchor Slug]</t>
  </si>
  <si>
    <t>SEO Support</t>
  </si>
  <si>
    <t>Product support copy for category SEO</t>
  </si>
  <si>
    <t>[Product Listing / Category SEO Support Copy]</t>
  </si>
  <si>
    <t>Category pages with product listings</t>
  </si>
  <si>
    <t>The CMS can build 81 category pages and repeat the product-listing component for each model in the selected category.</t>
  </si>
  <si>
    <t>Map Products columns I:AI into listing cards or expandable sections within each category page and test representative imports.</t>
  </si>
  <si>
    <t>Products!I2:AI525; Website Copy!A115:H132</t>
  </si>
  <si>
    <t>36 products now use exact official manufacturer product sources; 488 rely on category, catalog, or manufacturer-level sources.</t>
  </si>
  <si>
    <t>Replace broad manufacturer sources with exact official product sources in priority order; keep DIWAN website destinations at category level.</t>
  </si>
  <si>
    <t>Products!Z2:AA525 for manufacturer sources; Products!F2:H525 for DIWAN category paths</t>
  </si>
  <si>
    <t>In Progress - exact manufacturer sources expanded for priority products; broad sources remain</t>
  </si>
  <si>
    <t>Best official manufacturer product source preferred; category or catalog source if exact page is unavailable</t>
  </si>
  <si>
    <t>Products!Z:AA (sources) and Products!F:H (DIWAN category-page plan)</t>
  </si>
  <si>
    <t>Products!E2:E525</t>
  </si>
  <si>
    <t>Products!O2:O525</t>
  </si>
  <si>
    <t>Products!O23:O525</t>
  </si>
  <si>
    <t>Products!P2:P525</t>
  </si>
  <si>
    <t>Exact official manufacturer product sources</t>
  </si>
  <si>
    <t>Products!AC2:AC525</t>
  </si>
  <si>
    <t>Products!S2:S525 and U2:U525 remain open</t>
  </si>
  <si>
    <t>Products!K2:AI525</t>
  </si>
  <si>
    <t>Products!K2:P525</t>
  </si>
  <si>
    <t>Products!Q2:Q525</t>
  </si>
  <si>
    <t>Products!R2:R525</t>
  </si>
  <si>
    <t>Products!U2:V525 and AI2:AI525</t>
  </si>
  <si>
    <t>Website Launch Controls!A20:H116; Products!X2:X525</t>
  </si>
  <si>
    <t>Products!AB2:AD525</t>
  </si>
  <si>
    <t>Products!I2:L525 and Y2:Y525; Website Content Guide!G35:H39</t>
  </si>
  <si>
    <t>Use this guide with the Products catalog and Website Copy sheet. The website uses 81 approved product-category pages for 524 catalog models; individual models appear as product cards, listings, or expandable sections within the relevant category page. Product media currently includes 33 manufacturer-hosted image URLs and 18 video links, used only where rights-approved. Updated 2026-08-23.</t>
  </si>
  <si>
    <t>Useful for product-listing context, compliance, and sourcing information</t>
  </si>
  <si>
    <t>Approved JPG/WebP; clean background; confirm reuse rights before publication</t>
  </si>
  <si>
    <t>Approved YouTube/Vimeo link or MP4; show only where available and rights-approved</t>
  </si>
  <si>
    <t>Master brand: DIWAN | Business arms: Engineering &amp; Technology, Saudi Advanced Composites, and Engineering Consultations | Product architecture: 81 category pages containing 524 product listings | Updated 2026-08-23</t>
  </si>
  <si>
    <t>Template ready - 81 category contexts available</t>
  </si>
  <si>
    <t>Bind to Products!B:B and group by Products!F:F category path</t>
  </si>
  <si>
    <t>Bind listing title/model to Products!E:E and I:I</t>
  </si>
  <si>
    <t>Bind to Products!O2:O525</t>
  </si>
  <si>
    <t>Bind to Products!P2:P525</t>
  </si>
  <si>
    <t>Bind to Products!Q2:Q525; display only verified specifications</t>
  </si>
  <si>
    <t>Bind to Products!R2:R525</t>
  </si>
  <si>
    <t>Primary image, alt text, and optional video</t>
  </si>
  <si>
    <t>[Primary Image URL] | [Image Alt Text] | [Product Video URL when available]</t>
  </si>
  <si>
    <t>Bind to Products!S:T and AF:AF; show only rights-approved assets</t>
  </si>
  <si>
    <t>Bind to Products!U2:U525; omit download when no approved public document exists</t>
  </si>
  <si>
    <t>Bind to Products!V2:V525 and AI2:AI525</t>
  </si>
  <si>
    <t>Bind to Products!W2:W525</t>
  </si>
  <si>
    <t>Use Products!M2:M525 and route using Products!X2:X525</t>
  </si>
  <si>
    <t>Bind to Products!I2:J525; anchors remain within the category page</t>
  </si>
  <si>
    <t>Bind to Products!L2:L525 and consolidate at category level</t>
  </si>
  <si>
    <t>To prepare - 81 category introductions required</t>
  </si>
  <si>
    <t>Create one category introduction for each of the 81 category paths</t>
  </si>
  <si>
    <t>In Progress - 81 category paths available; unique category metadata pending</t>
  </si>
  <si>
    <t>Use Products!B:B, F:F and Y:Y; consolidate keywords and metadata by category</t>
  </si>
  <si>
    <t>English remediation plan | 81 category pages with 524 product listings | Official sources and media rights required | Updated 2026-08-23</t>
  </si>
  <si>
    <t>Use the exact manufacturer name/model as the category-page listing title</t>
  </si>
  <si>
    <t>Verify listing titles and anchors within each category page</t>
  </si>
  <si>
    <t>One approved category and one shared public category page for related models</t>
  </si>
  <si>
    <t>Products!B:B and Products!F:H</t>
  </si>
  <si>
    <t>Verify all 81 category routes; do not create standalone DIWAN product pages</t>
  </si>
  <si>
    <t>Show country of origin within the listing where relevant</t>
  </si>
  <si>
    <t>Improve manufacturer source precision by priority; keep DIWAN destinations at category-page level</t>
  </si>
  <si>
    <t>Review and approve listing copy in partner and category batches</t>
  </si>
  <si>
    <t>Confirm image reuse rights and load only approved product-listing images</t>
  </si>
  <si>
    <t>Confirm video embed/reuse rights and show links only where available</t>
  </si>
  <si>
    <t>Product-listing enquiry call-to-action</t>
  </si>
  <si>
    <t>Verify the CTA within each category-page product listing</t>
  </si>
  <si>
    <t>Enquiry routing by product listing or category</t>
  </si>
  <si>
    <t>In Progress - listing routes and category matrix available; named owners/CRM pending</t>
  </si>
  <si>
    <t>Approved menu with one page per product category and on-page product listings</t>
  </si>
  <si>
    <t>Verify all 81 category paths and product-listing navigation</t>
  </si>
  <si>
    <t>Primary image links identified</t>
  </si>
  <si>
    <t>Products contains 524 structured product-listing records; Website Copy contains a reusable listing component and category-page template.</t>
  </si>
  <si>
    <t>Product images and demonstration videos</t>
  </si>
  <si>
    <t>Media coverage is partial; publish only rights-approved assets beside the relevant product listing.</t>
  </si>
  <si>
    <t>Products!S2:T525 and AF2:AF525</t>
  </si>
  <si>
    <t>An 81-category routing matrix and category landing-page template exist for 524 product listings; final category introductions, filters and SEO metadata still require implementation.</t>
  </si>
  <si>
    <t>Primary images and optional product videos</t>
  </si>
  <si>
    <t>Products!S:T and AF:AF</t>
  </si>
  <si>
    <t>Website Content Guide!A14:H18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</si>
</sst>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yyyy\-mm\-dd"/>
    <numFmt numFmtId="169" formatCode="0.0%"/>
  </numFmts>
  <fonts count="32" x14ac:knownFonts="1">
    <font>
      <sz val="11"/>
      <color theme="1"/>
      <name val="Aptos Narrow"/>
      <family val="2"/>
      <scheme val="minor"/>
    </font>
    <font>
      <u/>
      <sz val="11"/>
      <color theme="10"/>
      <name val="Aptos Narrow"/>
      <family val="2"/>
      <scheme val="minor"/>
    </font>
    <font>
      <sz val="9"/>
      <color indexed="81"/>
      <name val="Tahoma"/>
      <family val="2"/>
    </font>
    <font>
      <b/>
      <sz val="9"/>
      <color indexed="81"/>
      <name val="Tahoma"/>
      <family val="2"/>
    </font>
    <font>
      <sz val="10"/>
      <color theme="1"/>
      <name val="Aptos"/>
      <family val="2"/>
    </font>
    <font>
      <sz val="10"/>
      <color theme="1"/>
      <name val="Calibri"/>
      <family val="2"/>
    </font>
    <font>
      <b/>
      <sz val="16"/>
      <color rgb="FFFFFFFF"/>
      <name val="Aptos Narrow"/>
      <family val="2"/>
      <scheme val="minor"/>
    </font>
    <font>
      <i/>
      <sz val="11"/>
      <color rgb="FF1D2330"/>
      <name val="Aptos Narrow"/>
      <family val="2"/>
      <scheme val="minor"/>
    </font>
    <font>
      <sz val="10"/>
      <color rgb="FF006100"/>
      <name val="Calibri"/>
      <family val="2"/>
    </font>
    <font>
      <sz val="10"/>
      <color rgb="FF9C6500"/>
      <name val="Calibri"/>
      <family val="2"/>
    </font>
    <font>
      <b/>
      <sz val="16"/>
      <color rgb="FFFFFFFF"/>
      <name val="Calibri"/>
      <family val="2"/>
    </font>
    <font>
      <i/>
      <sz val="10"/>
      <color rgb="FF1D2330"/>
      <name val="Calibri"/>
      <family val="2"/>
    </font>
    <font>
      <b/>
      <sz val="10"/>
      <color rgb="FFFFFFFF"/>
      <name val="Aptos"/>
      <family val="2"/>
    </font>
    <font>
      <b/>
      <sz val="16"/>
      <color rgb="FFFFFFFF"/>
      <name val="Aptos"/>
      <family val="2"/>
    </font>
    <font>
      <i/>
      <sz val="10"/>
      <color theme="1"/>
      <name val="Aptos"/>
      <family val="2"/>
    </font>
    <font>
      <b/>
      <sz val="10"/>
      <color theme="1"/>
      <name val="Aptos"/>
      <family val="2"/>
    </font>
    <font>
      <b/>
      <sz val="10"/>
      <color rgb="FFFFFFFF"/>
      <name val="Calibri"/>
      <family val="2"/>
    </font>
    <font>
      <sz val="10"/>
      <color rgb="FF000000"/>
      <name val="Calibri"/>
      <family val="2"/>
    </font>
    <font>
      <sz val="10"/>
      <color rgb="FF000000"/>
      <name val="Aptos"/>
      <family val="2"/>
    </font>
    <font>
      <b/>
      <sz val="11"/>
      <color rgb="FFFFFFFF"/>
      <name val="Aptos"/>
      <family val="2"/>
    </font>
    <font>
      <b/>
      <sz val="10"/>
      <color rgb="FF000000"/>
      <name val="Aptos"/>
      <family val="2"/>
    </font>
    <font>
      <b/>
      <sz val="10"/>
      <color rgb="FF006100"/>
      <name val="Aptos"/>
      <family val="2"/>
    </font>
    <font>
      <b/>
      <sz val="10"/>
      <color rgb="FF9C0006"/>
      <name val="Aptos"/>
      <family val="2"/>
    </font>
    <font>
      <b/>
      <sz val="10"/>
      <color rgb="FF1F4E78"/>
      <name val="Aptos"/>
      <family val="2"/>
    </font>
    <font>
      <sz val="10"/>
      <color rgb="FF1F4E78"/>
      <name val="Calibri"/>
      <family val="2"/>
    </font>
    <font>
      <b/>
      <sz val="10"/>
      <color rgb="FF1F4E78"/>
      <name val="Calibri"/>
      <family val="2"/>
    </font>
    <font>
      <sz val="10"/>
      <color rgb="FF375623"/>
      <name val="Calibri"/>
      <family val="2"/>
    </font>
    <font>
      <b/>
      <sz val="10"/>
      <color rgb="FF375623"/>
      <name val="Calibri"/>
      <family val="2"/>
    </font>
    <font>
      <sz val="10"/>
      <color rgb="FF7F6000"/>
      <name val="Calibri"/>
      <family val="2"/>
    </font>
    <font>
      <b/>
      <sz val="10"/>
      <color rgb="FF7F6000"/>
      <name val="Calibri"/>
      <family val="2"/>
    </font>
    <font>
      <u/>
      <sz val="11"/>
      <color rgb="FF000000"/>
      <name val="Aptos Narrow"/>
      <family val="2"/>
      <scheme val="minor"/>
    </font>
    <font>
      <u/>
      <sz val="10"/>
      <color rgb="FF000000"/>
      <name val="Calibri"/>
      <family val="2"/>
    </font>
  </fonts>
  <fills count="26">
    <fill>
      <patternFill patternType="none"/>
    </fill>
    <fill>
      <patternFill patternType="gray125"/>
    </fill>
    <fill>
      <patternFill patternType="solid">
        <fgColor rgb="FFFFFFFF"/>
        <bgColor indexed="64"/>
      </patternFill>
    </fill>
    <fill>
      <patternFill patternType="solid">
        <fgColor rgb="FFFFF2CC"/>
        <bgColor indexed="64"/>
      </patternFill>
    </fill>
    <fill>
      <patternFill patternType="solid">
        <fgColor rgb="FF1D2330"/>
        <bgColor indexed="64"/>
      </patternFill>
    </fill>
    <fill>
      <patternFill patternType="solid">
        <fgColor rgb="FFD9EAF7"/>
        <bgColor indexed="64"/>
      </patternFill>
    </fill>
    <fill>
      <patternFill patternType="solid">
        <fgColor rgb="FFE2F0D9"/>
        <bgColor indexed="64"/>
      </patternFill>
    </fill>
    <fill>
      <patternFill patternType="solid">
        <fgColor rgb="FFD9E2F3"/>
        <bgColor indexed="64"/>
      </patternFill>
    </fill>
    <fill>
      <patternFill patternType="solid">
        <fgColor rgb="FFF4B183"/>
        <bgColor indexed="64"/>
      </patternFill>
    </fill>
    <fill>
      <patternFill patternType="solid">
        <fgColor rgb="FF4472C4"/>
        <bgColor indexed="64"/>
      </patternFill>
    </fill>
    <fill>
      <patternFill patternType="solid">
        <fgColor rgb="FFFCE4D6"/>
        <bgColor indexed="64"/>
      </patternFill>
    </fill>
    <fill>
      <patternFill patternType="solid">
        <fgColor rgb="FFF4CCCC"/>
        <bgColor indexed="64"/>
      </patternFill>
    </fill>
    <fill>
      <patternFill patternType="solid">
        <fgColor rgb="FFD9EAD3"/>
        <bgColor indexed="64"/>
      </patternFill>
    </fill>
    <fill>
      <patternFill patternType="solid">
        <fgColor rgb="FFF3F6FA"/>
        <bgColor indexed="64"/>
      </patternFill>
    </fill>
    <fill>
      <patternFill patternType="solid">
        <fgColor rgb="FF70AD47"/>
        <bgColor indexed="64"/>
      </patternFill>
    </fill>
    <fill>
      <patternFill patternType="solid">
        <fgColor rgb="FFEAF2F8"/>
        <bgColor indexed="64"/>
      </patternFill>
    </fill>
    <fill>
      <patternFill patternType="solid">
        <fgColor rgb="FFC6EFCE"/>
        <bgColor indexed="64"/>
      </patternFill>
    </fill>
    <fill>
      <patternFill patternType="solid">
        <fgColor rgb="FFFFC7CE"/>
        <bgColor indexed="64"/>
      </patternFill>
    </fill>
    <fill>
      <patternFill patternType="solid">
        <fgColor rgb="FFC00000"/>
        <bgColor indexed="64"/>
      </patternFill>
    </fill>
    <fill>
      <patternFill patternType="solid">
        <fgColor rgb="FFDDEBF7"/>
        <bgColor indexed="64"/>
      </patternFill>
    </fill>
    <fill>
      <patternFill patternType="solid">
        <fgColor rgb="FF1F4E78"/>
        <bgColor indexed="64"/>
      </patternFill>
    </fill>
    <fill>
      <patternFill patternType="solid">
        <fgColor rgb="FF2F75B5"/>
        <bgColor indexed="64"/>
      </patternFill>
    </fill>
    <fill>
      <patternFill patternType="solid">
        <fgColor rgb="FF0F6B78"/>
        <bgColor indexed="64"/>
      </patternFill>
    </fill>
    <fill>
      <patternFill patternType="solid">
        <fgColor rgb="FF44546A"/>
        <bgColor indexed="64"/>
      </patternFill>
    </fill>
    <fill>
      <patternFill patternType="solid">
        <fgColor rgb="FFF1F8F8"/>
        <bgColor indexed="64"/>
      </patternFill>
    </fill>
    <fill>
      <patternFill patternType="solid">
        <fgColor rgb="FFF2F3F5"/>
        <bgColor indexed="64"/>
      </patternFill>
    </fill>
  </fills>
  <borders count="2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rgb="FF1D2330"/>
      </top>
      <bottom style="thin">
        <color rgb="FF9FBAD0"/>
      </bottom>
      <diagonal/>
    </border>
    <border>
      <left style="thin">
        <color rgb="FFB4C6E7"/>
      </left>
      <right/>
      <top/>
      <bottom/>
      <diagonal/>
    </border>
    <border>
      <left style="thin">
        <color rgb="FFB4C6E7"/>
      </left>
      <right/>
      <top/>
      <bottom style="thin">
        <color rgb="FFB4C6E7"/>
      </bottom>
      <diagonal/>
    </border>
    <border>
      <left style="thin">
        <color rgb="FFB4C6E7"/>
      </left>
      <right style="thin">
        <color rgb="FFB4C6E7"/>
      </right>
      <top style="thin">
        <color rgb="FFB4C6E7"/>
      </top>
      <bottom style="thin">
        <color rgb="FFB4C6E7"/>
      </bottom>
      <diagonal/>
    </border>
    <border>
      <left/>
      <right style="thin">
        <color rgb="FFB4C6E7"/>
      </right>
      <top/>
      <bottom/>
      <diagonal/>
    </border>
    <border>
      <left/>
      <right style="thin">
        <color rgb="FFB4C6E7"/>
      </right>
      <top/>
      <bottom style="thin">
        <color rgb="FFB4C6E7"/>
      </bottom>
      <diagonal/>
    </border>
    <border>
      <left/>
      <right/>
      <top style="thin">
        <color rgb="FF2F5597"/>
      </top>
      <bottom/>
      <diagonal/>
    </border>
    <border>
      <left/>
      <right style="thin">
        <color rgb="FF9FBAD0"/>
      </right>
      <top style="thin">
        <color rgb="FF2F5597"/>
      </top>
      <bottom style="thin">
        <color rgb="FF9FBAD0"/>
      </bottom>
      <diagonal/>
    </border>
    <border>
      <left style="thin">
        <color rgb="FF9FBAD0"/>
      </left>
      <right/>
      <top style="thin">
        <color rgb="FF2F5597"/>
      </top>
      <bottom/>
      <diagonal/>
    </border>
    <border>
      <left style="thin">
        <color rgb="FFB4C6E7"/>
      </left>
      <right/>
      <top style="thin">
        <color rgb="FF9FBAD0"/>
      </top>
      <bottom/>
      <diagonal/>
    </border>
    <border>
      <left style="thin">
        <color rgb="FFB4C6E7"/>
      </left>
      <right style="thin">
        <color rgb="FFB4C6E7"/>
      </right>
      <top/>
      <bottom/>
      <diagonal/>
    </border>
    <border>
      <left style="thin">
        <color rgb="FF70AD47"/>
      </left>
      <right style="thin">
        <color rgb="FF70AD47"/>
      </right>
      <top style="thin">
        <color rgb="FF70AD47"/>
      </top>
      <bottom/>
      <diagonal/>
    </border>
    <border>
      <left style="thin">
        <color rgb="FFC00000"/>
      </left>
      <right style="thin">
        <color rgb="FFC00000"/>
      </right>
      <top style="thin">
        <color rgb="FFC00000"/>
      </top>
      <bottom/>
      <diagonal/>
    </border>
    <border>
      <left style="thin">
        <color rgb="FFC00000"/>
      </left>
      <right style="thin">
        <color rgb="FFC00000"/>
      </right>
      <top/>
      <bottom/>
      <diagonal/>
    </border>
    <border>
      <left style="thick">
        <color rgb="FF7F0000"/>
      </left>
      <right/>
      <top style="thick">
        <color rgb="FF7F0000"/>
      </top>
      <bottom style="thick">
        <color rgb="FF7F0000"/>
      </bottom>
      <diagonal/>
    </border>
    <border>
      <left/>
      <right style="thick">
        <color rgb="FF7F0000"/>
      </right>
      <top style="thick">
        <color rgb="FF7F0000"/>
      </top>
      <bottom/>
      <diagonal/>
    </border>
    <border>
      <left style="thin">
        <color rgb="FF5B9BD5"/>
      </left>
      <right style="thin">
        <color rgb="FF5B9BD5"/>
      </right>
      <top style="thin">
        <color rgb="FF7F0000"/>
      </top>
      <bottom/>
      <diagonal/>
    </border>
    <border>
      <left/>
      <right style="thin">
        <color rgb="FF5B9BD5"/>
      </right>
      <top/>
      <bottom style="thin">
        <color rgb="FF5B9BD5"/>
      </bottom>
      <diagonal/>
    </border>
    <border>
      <left/>
      <right/>
      <top style="thin">
        <color theme="4" tint="0.39997558519241921"/>
      </top>
      <bottom/>
      <diagonal/>
    </border>
    <border>
      <left/>
      <right/>
      <top style="medium">
        <color rgb="FF5B9BD5"/>
      </top>
      <bottom style="thin">
        <color theme="4" tint="0.39997558519241921"/>
      </bottom>
      <diagonal/>
    </border>
    <border>
      <left/>
      <right/>
      <top style="medium">
        <color rgb="FF5B9BD5"/>
      </top>
      <bottom/>
      <diagonal/>
    </border>
    <border>
      <left/>
      <right style="thin">
        <color theme="4" tint="0.39997558519241921"/>
      </right>
      <top style="medium">
        <color rgb="FF5B9BD5"/>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09">
    <xf numFmtId="0" fontId="0" fillId="0" borderId="0" xfId="0"/>
    <xf numFmtId="0" fontId="6" fillId="4" borderId="0" xfId="0" applyFont="1" applyFill="1" applyAlignment="1">
      <alignment vertical="center"/>
    </xf>
    <xf numFmtId="0" fontId="7" fillId="5"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0" fontId="5" fillId="0" borderId="0" xfId="0" applyFont="1" applyAlignment="1">
      <alignment horizontal="center" vertical="top"/>
    </xf>
    <xf numFmtId="0" fontId="8" fillId="6" borderId="0" xfId="0" applyFont="1" applyFill="1" applyAlignment="1">
      <alignment horizontal="center" vertical="top"/>
    </xf>
    <xf numFmtId="0" fontId="9" fillId="3" borderId="0" xfId="0" applyFont="1" applyFill="1" applyAlignment="1">
      <alignment horizontal="center" vertical="top"/>
    </xf>
    <xf numFmtId="0" fontId="11" fillId="5" borderId="3" xfId="0" applyNumberFormat="1" applyFont="1" applyFill="1" applyBorder="1" applyAlignment="1">
      <alignment horizontal="left"/>
    </xf>
    <xf numFmtId="0" fontId="10" fillId="4" borderId="0" xfId="0" applyNumberFormat="1" applyFont="1" applyFill="1" applyBorder="1" applyAlignment="1">
      <alignment horizontal="left"/>
    </xf>
    <xf numFmtId="0" fontId="5" fillId="0" borderId="0" xfId="0" applyFont="1" applyAlignment="1">
      <alignment horizontal="center" vertical="top" wrapText="1"/>
    </xf>
    <xf numFmtId="0" fontId="4" fillId="0" borderId="0" xfId="0" applyFont="1" applyAlignment="1">
      <alignment vertical="top" wrapText="1"/>
    </xf>
    <xf numFmtId="0" fontId="13" fillId="4" borderId="0" xfId="0" applyFont="1" applyFill="1" applyAlignment="1">
      <alignment vertical="top" wrapText="1"/>
    </xf>
    <xf numFmtId="0" fontId="14" fillId="7" borderId="0" xfId="0" applyFont="1" applyFill="1" applyAlignment="1">
      <alignment vertical="top" wrapText="1"/>
    </xf>
    <xf numFmtId="0" fontId="15" fillId="8" borderId="0" xfId="0" applyFont="1" applyFill="1" applyAlignment="1">
      <alignment vertical="top" wrapText="1"/>
    </xf>
    <xf numFmtId="0" fontId="4" fillId="3" borderId="0" xfId="0" applyFont="1" applyFill="1" applyAlignment="1">
      <alignment vertical="top" wrapText="1"/>
    </xf>
    <xf numFmtId="0" fontId="15" fillId="3" borderId="0" xfId="0" applyFont="1" applyFill="1" applyAlignment="1">
      <alignment vertical="top" wrapText="1"/>
    </xf>
    <xf numFmtId="0" fontId="12" fillId="9" borderId="0" xfId="0" applyFont="1" applyFill="1" applyAlignment="1">
      <alignment horizontal="center" vertical="top" wrapText="1"/>
    </xf>
    <xf numFmtId="0" fontId="15" fillId="10" borderId="0" xfId="0" applyFont="1" applyFill="1" applyAlignment="1">
      <alignment vertical="top" wrapText="1"/>
    </xf>
    <xf numFmtId="0" fontId="4" fillId="11" borderId="0" xfId="0" applyFont="1" applyFill="1" applyAlignment="1">
      <alignment vertical="top" wrapText="1"/>
    </xf>
    <xf numFmtId="0" fontId="15" fillId="12" borderId="0" xfId="0" applyFont="1" applyFill="1" applyAlignment="1">
      <alignment vertical="top" wrapText="1"/>
    </xf>
    <xf numFmtId="0" fontId="15" fillId="13" borderId="0" xfId="0" applyFont="1" applyFill="1" applyAlignment="1">
      <alignment vertical="top" wrapText="1"/>
    </xf>
    <xf numFmtId="0" fontId="4" fillId="12" borderId="0" xfId="0" applyFont="1" applyFill="1" applyAlignment="1">
      <alignment vertical="top" wrapText="1"/>
    </xf>
    <xf numFmtId="0" fontId="12" fillId="14" borderId="0" xfId="0" applyFont="1" applyFill="1" applyAlignment="1">
      <alignment vertical="top" wrapText="1"/>
    </xf>
    <xf numFmtId="0" fontId="15" fillId="6" borderId="0" xfId="0" applyFont="1" applyFill="1" applyAlignment="1">
      <alignment vertical="top" wrapText="1"/>
    </xf>
    <xf numFmtId="0" fontId="18" fillId="2" borderId="0" xfId="0" applyNumberFormat="1" applyFont="1" applyFill="1" applyBorder="1" applyAlignment="1">
      <alignment horizontal="left" vertical="top" wrapText="1"/>
    </xf>
    <xf numFmtId="0" fontId="18" fillId="2" borderId="7" xfId="0" applyNumberFormat="1" applyFont="1" applyFill="1" applyBorder="1" applyAlignment="1">
      <alignment horizontal="left" vertical="top" wrapText="1"/>
    </xf>
    <xf numFmtId="0" fontId="18" fillId="2" borderId="8" xfId="0" applyNumberFormat="1" applyFont="1" applyFill="1" applyBorder="1" applyAlignment="1">
      <alignment horizontal="left" vertical="top" wrapText="1"/>
    </xf>
    <xf numFmtId="0" fontId="19" fillId="9" borderId="0" xfId="0" applyNumberFormat="1" applyFont="1" applyFill="1" applyBorder="1" applyAlignment="1">
      <alignment horizontal="center" vertical="top" wrapText="1"/>
    </xf>
    <xf numFmtId="0" fontId="20" fillId="7" borderId="9" xfId="0" applyNumberFormat="1" applyFont="1" applyFill="1" applyBorder="1" applyAlignment="1">
      <alignment horizontal="center" vertical="top" wrapText="1"/>
    </xf>
    <xf numFmtId="0" fontId="20" fillId="7" borderId="10" xfId="0" applyNumberFormat="1" applyFont="1" applyFill="1" applyBorder="1" applyAlignment="1">
      <alignment horizontal="center" vertical="top" wrapText="1"/>
    </xf>
    <xf numFmtId="0" fontId="20" fillId="15" borderId="4" xfId="0" applyNumberFormat="1" applyFont="1" applyFill="1" applyBorder="1" applyAlignment="1">
      <alignment horizontal="left" vertical="top" wrapText="1"/>
    </xf>
    <xf numFmtId="0" fontId="20" fillId="15" borderId="5" xfId="0" applyNumberFormat="1" applyFont="1" applyFill="1" applyBorder="1" applyAlignment="1">
      <alignment horizontal="left" vertical="top" wrapText="1"/>
    </xf>
    <xf numFmtId="0" fontId="20" fillId="7" borderId="11" xfId="0" applyNumberFormat="1" applyFont="1" applyFill="1" applyBorder="1" applyAlignment="1">
      <alignment horizontal="center" vertical="top" wrapText="1"/>
    </xf>
    <xf numFmtId="0" fontId="20" fillId="15" borderId="12" xfId="0" applyNumberFormat="1" applyFont="1" applyFill="1" applyBorder="1" applyAlignment="1">
      <alignment horizontal="left" vertical="top" wrapText="1"/>
    </xf>
    <xf numFmtId="0" fontId="20" fillId="15" borderId="13" xfId="0" applyNumberFormat="1" applyFont="1" applyFill="1" applyBorder="1" applyAlignment="1">
      <alignment horizontal="left" vertical="top" wrapText="1"/>
    </xf>
    <xf numFmtId="169" fontId="20" fillId="2" borderId="5" xfId="0" applyNumberFormat="1" applyFont="1" applyFill="1" applyBorder="1" applyAlignment="1">
      <alignment horizontal="right" vertical="top" wrapText="1"/>
    </xf>
    <xf numFmtId="0" fontId="21" fillId="16" borderId="14" xfId="0" applyNumberFormat="1" applyFont="1" applyFill="1" applyBorder="1" applyAlignment="1">
      <alignment horizontal="center" vertical="top" wrapText="1"/>
    </xf>
    <xf numFmtId="0" fontId="22" fillId="17" borderId="15" xfId="0" applyNumberFormat="1" applyFont="1" applyFill="1" applyBorder="1" applyAlignment="1">
      <alignment horizontal="center" vertical="top" wrapText="1"/>
    </xf>
    <xf numFmtId="0" fontId="22" fillId="17" borderId="16" xfId="0" applyNumberFormat="1" applyFont="1" applyFill="1" applyBorder="1" applyAlignment="1">
      <alignment horizontal="center" vertical="top" wrapText="1"/>
    </xf>
    <xf numFmtId="0" fontId="19" fillId="18" borderId="17" xfId="0" applyNumberFormat="1" applyFont="1" applyFill="1" applyBorder="1" applyAlignment="1">
      <alignment horizontal="center" vertical="top" wrapText="1"/>
    </xf>
    <xf numFmtId="0" fontId="19" fillId="18" borderId="18" xfId="0" applyNumberFormat="1" applyFont="1" applyFill="1" applyBorder="1" applyAlignment="1">
      <alignment horizontal="center" vertical="top" wrapText="1"/>
    </xf>
    <xf numFmtId="0" fontId="23" fillId="19" borderId="19" xfId="0" applyNumberFormat="1" applyFont="1" applyFill="1" applyBorder="1" applyAlignment="1">
      <alignment horizontal="center" vertical="top" wrapText="1"/>
    </xf>
    <xf numFmtId="0" fontId="23" fillId="19" borderId="20" xfId="0" applyNumberFormat="1" applyFont="1" applyFill="1" applyBorder="1" applyAlignment="1">
      <alignment horizontal="center" vertical="top" wrapText="1"/>
    </xf>
    <xf numFmtId="168" fontId="18" fillId="2" borderId="6" xfId="0" applyNumberFormat="1" applyFont="1" applyFill="1" applyBorder="1" applyAlignment="1">
      <alignment horizontal="center" vertical="top" wrapText="1"/>
    </xf>
    <xf numFmtId="0" fontId="17" fillId="2" borderId="21" xfId="0" applyFont="1" applyFill="1" applyBorder="1" applyAlignment="1">
      <alignment vertical="center" wrapText="1"/>
    </xf>
    <xf numFmtId="0" fontId="30" fillId="2" borderId="21" xfId="1" applyFont="1" applyFill="1" applyBorder="1" applyAlignment="1">
      <alignment vertical="center"/>
    </xf>
    <xf numFmtId="168" fontId="17" fillId="2" borderId="21" xfId="0" applyNumberFormat="1" applyFont="1" applyFill="1" applyBorder="1" applyAlignment="1">
      <alignment vertical="center"/>
    </xf>
    <xf numFmtId="168" fontId="17" fillId="2" borderId="21" xfId="0" applyNumberFormat="1" applyFont="1" applyFill="1" applyBorder="1" applyAlignment="1">
      <alignment vertical="center" wrapText="1"/>
    </xf>
    <xf numFmtId="0" fontId="31" fillId="2" borderId="21" xfId="1" applyFont="1" applyFill="1" applyBorder="1" applyAlignment="1">
      <alignment vertical="center"/>
    </xf>
    <xf numFmtId="0" fontId="17" fillId="2" borderId="1" xfId="0" applyFont="1" applyFill="1" applyBorder="1" applyAlignment="1">
      <alignment vertical="center" wrapText="1"/>
    </xf>
    <xf numFmtId="0" fontId="31" fillId="2" borderId="1" xfId="1" applyFont="1" applyFill="1" applyBorder="1" applyAlignment="1">
      <alignment vertical="center"/>
    </xf>
    <xf numFmtId="168" fontId="17" fillId="2" borderId="1" xfId="0" applyNumberFormat="1" applyFont="1" applyFill="1" applyBorder="1" applyAlignment="1">
      <alignment vertical="center"/>
    </xf>
    <xf numFmtId="168" fontId="17" fillId="2" borderId="1" xfId="0" applyNumberFormat="1" applyFont="1" applyFill="1" applyBorder="1" applyAlignment="1">
      <alignment vertical="center" wrapText="1"/>
    </xf>
    <xf numFmtId="0" fontId="17" fillId="24" borderId="21" xfId="0" applyFont="1" applyFill="1" applyBorder="1" applyAlignment="1">
      <alignment vertical="center" wrapText="1"/>
    </xf>
    <xf numFmtId="168" fontId="17" fillId="24" borderId="21" xfId="0" applyNumberFormat="1" applyFont="1" applyFill="1" applyBorder="1" applyAlignment="1">
      <alignment vertical="center" wrapText="1"/>
    </xf>
    <xf numFmtId="0" fontId="17" fillId="24" borderId="1" xfId="0" applyFont="1" applyFill="1" applyBorder="1" applyAlignment="1">
      <alignment vertical="center" wrapText="1"/>
    </xf>
    <xf numFmtId="168" fontId="17" fillId="24" borderId="1" xfId="0" applyNumberFormat="1" applyFont="1" applyFill="1" applyBorder="1" applyAlignment="1">
      <alignment vertical="center" wrapText="1"/>
    </xf>
    <xf numFmtId="0" fontId="17" fillId="25" borderId="21" xfId="0" applyFont="1" applyFill="1" applyBorder="1" applyAlignment="1">
      <alignment vertical="center" wrapText="1"/>
    </xf>
    <xf numFmtId="0" fontId="17" fillId="25" borderId="1" xfId="0" applyFont="1" applyFill="1" applyBorder="1" applyAlignment="1">
      <alignment vertical="center" wrapText="1"/>
    </xf>
    <xf numFmtId="0" fontId="17" fillId="25" borderId="2" xfId="0" applyFont="1" applyFill="1" applyBorder="1" applyAlignment="1">
      <alignment vertical="center" wrapText="1"/>
    </xf>
    <xf numFmtId="168" fontId="29" fillId="3" borderId="21" xfId="0" applyNumberFormat="1" applyFont="1" applyFill="1" applyBorder="1" applyAlignment="1">
      <alignment vertical="center" wrapText="1"/>
    </xf>
    <xf numFmtId="168" fontId="29" fillId="3" borderId="1" xfId="0" applyNumberFormat="1" applyFont="1" applyFill="1" applyBorder="1" applyAlignment="1">
      <alignment vertical="center" wrapText="1"/>
    </xf>
    <xf numFmtId="0" fontId="27" fillId="6" borderId="21" xfId="0" applyFont="1" applyFill="1" applyBorder="1" applyAlignment="1">
      <alignment vertical="center" wrapText="1"/>
    </xf>
    <xf numFmtId="0" fontId="27" fillId="6" borderId="1" xfId="0" applyFont="1" applyFill="1" applyBorder="1" applyAlignment="1">
      <alignment vertical="center" wrapText="1"/>
    </xf>
    <xf numFmtId="0" fontId="16" fillId="20" borderId="0" xfId="0" applyFont="1" applyFill="1" applyBorder="1" applyAlignment="1">
      <alignment horizontal="center" vertical="center" wrapText="1"/>
    </xf>
    <xf numFmtId="0" fontId="16" fillId="21" borderId="0" xfId="0" applyFont="1" applyFill="1" applyBorder="1" applyAlignment="1">
      <alignment horizontal="center" vertical="center" wrapText="1"/>
    </xf>
    <xf numFmtId="0" fontId="16" fillId="22" borderId="0" xfId="0" applyFont="1" applyFill="1" applyBorder="1" applyAlignment="1">
      <alignment horizontal="center" vertical="center" wrapText="1"/>
    </xf>
    <xf numFmtId="0" fontId="16" fillId="23" borderId="0" xfId="0" applyFont="1" applyFill="1" applyBorder="1" applyAlignment="1">
      <alignment horizontal="center" vertical="center" wrapText="1"/>
    </xf>
    <xf numFmtId="0" fontId="24" fillId="5" borderId="0" xfId="0" applyFont="1" applyFill="1" applyBorder="1" applyAlignment="1">
      <alignment horizontal="center" vertical="center"/>
    </xf>
    <xf numFmtId="0" fontId="24" fillId="15" borderId="0" xfId="0" applyFont="1" applyFill="1" applyBorder="1" applyAlignment="1">
      <alignment vertical="center" wrapText="1"/>
    </xf>
    <xf numFmtId="0" fontId="26" fillId="6" borderId="0" xfId="0" applyFont="1" applyFill="1" applyBorder="1" applyAlignment="1">
      <alignment vertical="center"/>
    </xf>
    <xf numFmtId="0" fontId="28" fillId="3" borderId="0" xfId="0" applyFont="1" applyFill="1" applyBorder="1" applyAlignment="1">
      <alignment horizontal="center" vertical="center"/>
    </xf>
    <xf numFmtId="0" fontId="25" fillId="5" borderId="23" xfId="0" applyFont="1" applyFill="1" applyBorder="1" applyAlignment="1">
      <alignment horizontal="center" vertical="center"/>
    </xf>
    <xf numFmtId="0" fontId="25" fillId="15" borderId="23" xfId="0" applyFont="1" applyFill="1" applyBorder="1" applyAlignment="1">
      <alignment vertical="center" wrapText="1"/>
    </xf>
    <xf numFmtId="0" fontId="27" fillId="6" borderId="23" xfId="0" applyFont="1" applyFill="1" applyBorder="1" applyAlignment="1">
      <alignment vertical="center"/>
    </xf>
    <xf numFmtId="0" fontId="29" fillId="3" borderId="23" xfId="0" applyFont="1" applyFill="1" applyBorder="1" applyAlignment="1">
      <alignment horizontal="center" vertical="center"/>
    </xf>
    <xf numFmtId="0" fontId="17" fillId="2" borderId="23" xfId="0" applyFont="1" applyFill="1" applyBorder="1" applyAlignment="1">
      <alignment vertical="center" wrapText="1"/>
    </xf>
    <xf numFmtId="0" fontId="30" fillId="2" borderId="23" xfId="1" applyFont="1" applyFill="1" applyBorder="1" applyAlignment="1">
      <alignment vertical="center"/>
    </xf>
    <xf numFmtId="168" fontId="17" fillId="2" borderId="23" xfId="0" applyNumberFormat="1" applyFont="1" applyFill="1" applyBorder="1" applyAlignment="1">
      <alignment vertical="center"/>
    </xf>
    <xf numFmtId="168" fontId="17" fillId="2" borderId="23" xfId="0" applyNumberFormat="1" applyFont="1" applyFill="1" applyBorder="1" applyAlignment="1">
      <alignment vertical="center" wrapText="1"/>
    </xf>
    <xf numFmtId="168" fontId="29" fillId="3" borderId="23" xfId="0" applyNumberFormat="1" applyFont="1" applyFill="1" applyBorder="1" applyAlignment="1">
      <alignment vertical="center" wrapText="1"/>
    </xf>
    <xf numFmtId="0" fontId="17" fillId="24" borderId="23" xfId="0" applyFont="1" applyFill="1" applyBorder="1" applyAlignment="1">
      <alignment vertical="center" wrapText="1"/>
    </xf>
    <xf numFmtId="168" fontId="17" fillId="24" borderId="23" xfId="0" applyNumberFormat="1" applyFont="1" applyFill="1" applyBorder="1" applyAlignment="1">
      <alignment vertical="center" wrapText="1"/>
    </xf>
    <xf numFmtId="0" fontId="27" fillId="6" borderId="23" xfId="0" applyFont="1" applyFill="1" applyBorder="1" applyAlignment="1">
      <alignment vertical="center" wrapText="1"/>
    </xf>
    <xf numFmtId="0" fontId="17" fillId="25" borderId="23" xfId="0" applyFont="1" applyFill="1" applyBorder="1" applyAlignment="1">
      <alignment vertical="center" wrapText="1"/>
    </xf>
    <xf numFmtId="0" fontId="31" fillId="2" borderId="23" xfId="1" applyFont="1" applyFill="1" applyBorder="1" applyAlignment="1">
      <alignment vertical="center"/>
    </xf>
    <xf numFmtId="0" fontId="25" fillId="15" borderId="22" xfId="0" applyFont="1" applyFill="1" applyBorder="1" applyAlignment="1">
      <alignment vertical="center" wrapText="1"/>
    </xf>
    <xf numFmtId="0" fontId="27" fillId="6" borderId="22" xfId="0" applyFont="1" applyFill="1" applyBorder="1" applyAlignment="1">
      <alignment vertical="center"/>
    </xf>
    <xf numFmtId="0" fontId="29" fillId="3" borderId="22" xfId="0" applyFont="1" applyFill="1" applyBorder="1" applyAlignment="1">
      <alignment horizontal="center" vertical="center"/>
    </xf>
    <xf numFmtId="0" fontId="17" fillId="2" borderId="22" xfId="0" applyFont="1" applyFill="1" applyBorder="1" applyAlignment="1">
      <alignment vertical="center" wrapText="1"/>
    </xf>
    <xf numFmtId="0" fontId="31" fillId="2" borderId="22" xfId="1" applyFont="1" applyFill="1" applyBorder="1" applyAlignment="1">
      <alignment vertical="center"/>
    </xf>
    <xf numFmtId="168" fontId="17" fillId="2" borderId="22" xfId="0" applyNumberFormat="1" applyFont="1" applyFill="1" applyBorder="1" applyAlignment="1">
      <alignment vertical="center"/>
    </xf>
    <xf numFmtId="168" fontId="17" fillId="2" borderId="22" xfId="0" applyNumberFormat="1" applyFont="1" applyFill="1" applyBorder="1" applyAlignment="1">
      <alignment vertical="center" wrapText="1"/>
    </xf>
    <xf numFmtId="168" fontId="29" fillId="3" borderId="22" xfId="0" applyNumberFormat="1" applyFont="1" applyFill="1" applyBorder="1" applyAlignment="1">
      <alignment vertical="center" wrapText="1"/>
    </xf>
    <xf numFmtId="0" fontId="17" fillId="24" borderId="22" xfId="0" applyFont="1" applyFill="1" applyBorder="1" applyAlignment="1">
      <alignment vertical="center" wrapText="1"/>
    </xf>
    <xf numFmtId="168" fontId="17" fillId="24" borderId="22" xfId="0" applyNumberFormat="1" applyFont="1" applyFill="1" applyBorder="1" applyAlignment="1">
      <alignment vertical="center" wrapText="1"/>
    </xf>
    <xf numFmtId="0" fontId="27" fillId="6" borderId="22" xfId="0" applyFont="1" applyFill="1" applyBorder="1" applyAlignment="1">
      <alignment vertical="center" wrapText="1"/>
    </xf>
    <xf numFmtId="0" fontId="17" fillId="25" borderId="22" xfId="0" applyFont="1" applyFill="1" applyBorder="1" applyAlignment="1">
      <alignment vertical="center" wrapText="1"/>
    </xf>
    <xf numFmtId="0" fontId="1" fillId="2" borderId="21" xfId="1" applyFill="1" applyBorder="1" applyAlignment="1">
      <alignment vertical="center"/>
    </xf>
    <xf numFmtId="169" fontId="0" fillId="2" borderId="4" xfId="0" applyNumberFormat="1" applyFont="1" applyFill="1" applyBorder="1" applyAlignment="1">
      <alignment horizontal="right" vertical="top" wrapText="1"/>
    </xf>
    <xf numFmtId="169" fontId="0" fillId="2" borderId="12" xfId="0" applyNumberFormat="1" applyFont="1" applyFill="1" applyBorder="1" applyAlignment="1">
      <alignment horizontal="right" vertical="top" wrapText="1"/>
    </xf>
    <xf numFmtId="0" fontId="0" fillId="13" borderId="0" xfId="0" applyFont="1" applyFill="1" applyAlignment="1">
      <alignment vertical="top" wrapText="1"/>
    </xf>
    <xf numFmtId="0" fontId="24" fillId="15" borderId="1" xfId="0" applyFont="1" applyFill="1" applyBorder="1" applyAlignment="1">
      <alignment vertical="center" wrapText="1"/>
    </xf>
    <xf numFmtId="0" fontId="26" fillId="6" borderId="1" xfId="0" applyFont="1" applyFill="1" applyBorder="1" applyAlignment="1">
      <alignment vertical="center"/>
    </xf>
    <xf numFmtId="0" fontId="28" fillId="3" borderId="1" xfId="0" applyFont="1" applyFill="1" applyBorder="1" applyAlignment="1">
      <alignment horizontal="center" vertical="center"/>
    </xf>
    <xf numFmtId="0" fontId="17" fillId="25" borderId="24" xfId="0" applyFont="1" applyFill="1" applyBorder="1" applyAlignment="1">
      <alignment vertical="center" wrapText="1"/>
    </xf>
    <xf numFmtId="0" fontId="1" fillId="2" borderId="1" xfId="1" applyFont="1" applyFill="1" applyBorder="1" applyAlignment="1">
      <alignment vertical="center"/>
    </xf>
    <xf numFmtId="0" fontId="16" fillId="21" borderId="0" xfId="0" applyFont="1" applyFill="1" applyBorder="1" applyAlignment="1">
      <alignment horizontal="center" vertical="center"/>
    </xf>
  </cellXfs>
  <cellStyles count="2">
    <cellStyle name="Hyperlink" xfId="1" builtinId="8"/>
    <cellStyle name="Normal" xfId="0" builtinId="0"/>
  </cellStyles>
  <dxfs count="105">
    <dxf>
      <font>
        <b val="0"/>
        <i val="0"/>
        <strike val="0"/>
        <condense val="0"/>
        <extend val="0"/>
        <outline val="0"/>
        <shadow val="0"/>
        <u val="none"/>
        <vertAlign val="baseline"/>
        <sz val="10"/>
        <color rgb="FF7F6000"/>
        <name val="Calibri"/>
        <family val="2"/>
        <scheme val="none"/>
      </font>
      <fill>
        <patternFill patternType="solid">
          <fgColor indexed="64"/>
          <bgColor rgb="FFFFF2CC"/>
        </patternFill>
      </fill>
      <alignment horizontal="center" vertical="center" textRotation="0" wrapText="0" indent="0" justifyLastLine="0" shrinkToFit="0" readingOrder="0"/>
    </dxf>
    <dxf>
      <font>
        <b val="0"/>
        <i val="0"/>
        <strike val="0"/>
        <condense val="0"/>
        <extend val="0"/>
        <outline val="0"/>
        <shadow val="0"/>
        <u val="none"/>
        <vertAlign val="baseline"/>
        <sz val="10"/>
        <color rgb="FF375623"/>
        <name val="Calibri"/>
        <family val="2"/>
        <scheme val="none"/>
      </font>
      <fill>
        <patternFill patternType="solid">
          <fgColor indexed="64"/>
          <bgColor rgb="FFE2F0D9"/>
        </patternFill>
      </fill>
      <alignment horizontal="general" vertical="center" textRotation="0" wrapText="0" indent="0" justifyLastLine="0" shrinkToFit="0" readingOrder="0"/>
    </dxf>
    <dxf>
      <font>
        <b val="0"/>
        <i val="0"/>
        <strike val="0"/>
        <condense val="0"/>
        <extend val="0"/>
        <outline val="0"/>
        <shadow val="0"/>
        <u val="none"/>
        <vertAlign val="baseline"/>
        <sz val="10"/>
        <color rgb="FF1F4E78"/>
        <name val="Calibri"/>
        <family val="2"/>
        <scheme val="none"/>
      </font>
      <fill>
        <patternFill patternType="solid">
          <fgColor indexed="64"/>
          <bgColor rgb="FFEAF2F8"/>
        </patternFill>
      </fill>
      <alignment horizontal="general" vertical="center" textRotation="0" wrapText="1" indent="0" justifyLastLine="0" shrinkToFit="0" readingOrder="0"/>
    </dxf>
    <dxf>
      <font>
        <b val="0"/>
        <i val="0"/>
        <strike val="0"/>
        <condense val="0"/>
        <extend val="0"/>
        <outline val="0"/>
        <shadow val="0"/>
        <u val="none"/>
        <vertAlign val="baseline"/>
        <sz val="10"/>
        <color rgb="FF1F4E78"/>
        <name val="Calibri"/>
        <family val="2"/>
        <scheme val="none"/>
      </font>
      <fill>
        <patternFill patternType="solid">
          <fgColor indexed="64"/>
          <bgColor rgb="FFD9EAF7"/>
        </patternFill>
      </fill>
      <alignment horizontal="center" vertical="center" textRotation="0" wrapText="0" indent="0" justifyLastLine="0" shrinkToFit="0" readingOrder="0"/>
    </dxf>
    <dxf>
      <font>
        <b/>
        <i val="0"/>
        <strike val="0"/>
        <condense val="0"/>
        <extend val="0"/>
        <outline val="0"/>
        <shadow val="0"/>
        <u val="none"/>
        <vertAlign val="baseline"/>
        <sz val="10"/>
        <color rgb="FF375623"/>
        <name val="Calibri"/>
        <family val="2"/>
        <scheme val="none"/>
      </font>
      <fill>
        <patternFill patternType="solid">
          <fgColor indexed="64"/>
          <bgColor rgb="FFE2F0D9"/>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i val="0"/>
        <strike val="0"/>
        <condense val="0"/>
        <extend val="0"/>
        <outline val="0"/>
        <shadow val="0"/>
        <u val="none"/>
        <vertAlign val="baseline"/>
        <sz val="10"/>
        <color rgb="FF7F6000"/>
        <name val="Calibri"/>
        <family val="2"/>
        <scheme val="none"/>
      </font>
      <numFmt numFmtId="168" formatCode="yyyy\-mm\-dd"/>
      <fill>
        <patternFill patternType="solid">
          <fgColor indexed="64"/>
          <bgColor rgb="FFFFF2CC"/>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i val="0"/>
        <strike val="0"/>
        <condense val="0"/>
        <extend val="0"/>
        <outline val="0"/>
        <shadow val="0"/>
        <u val="none"/>
        <vertAlign val="baseline"/>
        <sz val="10"/>
        <color rgb="FFFFFFFF"/>
        <name val="Calibri"/>
        <family val="2"/>
        <scheme val="none"/>
      </font>
      <fill>
        <patternFill patternType="solid">
          <fgColor indexed="64"/>
          <bgColor rgb="FF44546A"/>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2F3F5"/>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1F8F8"/>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numFmt numFmtId="168" formatCode="yyyy\-mm\-dd"/>
      <fill>
        <patternFill patternType="solid">
          <fgColor indexed="64"/>
          <bgColor rgb="FFFFFFFF"/>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ertAlign val="baseline"/>
        <sz val="10"/>
        <color rgb="FF000000"/>
        <name val="Calibri"/>
        <family val="2"/>
        <scheme val="none"/>
      </font>
      <fill>
        <patternFill patternType="solid">
          <fgColor indexed="64"/>
          <bgColor rgb="FFFFFFFF"/>
        </patternFill>
      </fill>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rgb="FF000000"/>
        <name val="Calibri"/>
        <family val="2"/>
        <scheme val="none"/>
      </font>
      <fill>
        <patternFill patternType="solid">
          <fgColor indexed="64"/>
          <bgColor rgb="FFFFFFFF"/>
        </patternFill>
      </fill>
      <alignment horizontal="general" vertical="center"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0"/>
        <color theme="1"/>
        <name val="Aptos"/>
        <family val="2"/>
        <scheme val="none"/>
      </font>
      <fill>
        <patternFill patternType="solid">
          <fgColor indexed="64"/>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ptos"/>
        <family val="2"/>
        <scheme val="none"/>
      </font>
      <fill>
        <patternFill patternType="solid">
          <fgColor indexed="64"/>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ptos"/>
        <family val="2"/>
        <scheme val="none"/>
      </font>
      <fill>
        <patternFill patternType="solid">
          <fgColor indexed="64"/>
          <bgColor rgb="FFE2F0D9"/>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4472C4"/>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rgb="FFFFFFFF"/>
        <name val="Aptos"/>
        <family val="2"/>
        <scheme val="none"/>
      </font>
      <fill>
        <patternFill patternType="solid">
          <fgColor indexed="64"/>
          <bgColor rgb="FF4472C4"/>
        </patternFill>
      </fill>
      <alignment horizontal="center"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FF2CC"/>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solid">
          <fgColor indexed="64"/>
          <bgColor rgb="FFF4CCCC"/>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ptos"/>
        <family val="2"/>
        <scheme val="none"/>
      </font>
      <alignment horizontal="general" vertical="top" textRotation="0" wrapText="1" indent="0" justifyLastLine="0" shrinkToFit="0" readingOrder="0"/>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horizontal="center" vertical="top"/>
    </dxf>
    <dxf>
      <font>
        <sz val="10"/>
        <name val="Calibri"/>
      </font>
      <alignment horizontal="center" vertical="top"/>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wrapText="1"/>
    </dxf>
    <dxf>
      <font>
        <sz val="10"/>
        <name val="Calibri"/>
      </font>
      <alignment vertical="top"/>
    </dxf>
    <dxf>
      <font>
        <sz val="10"/>
        <name val="Calibri"/>
      </font>
      <alignment vertical="top"/>
    </dxf>
    <dxf>
      <font>
        <sz val="10"/>
        <name val="Calibri"/>
      </font>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A8AEC2-4ABD-43E0-94AD-3AC8ECD6F094}" name="ProductList" displayName="ProductList" ref="A1:AI525" totalsRowShown="0" headerRowDxfId="6" dataDxfId="7" tableBorderDxfId="37">
  <autoFilter ref="A1:AI525" xr:uid="{4EA8AEC2-4ABD-43E0-94AD-3AC8ECD6F094}"/>
  <tableColumns count="35">
    <tableColumn id="1" xr3:uid="{6A5E20AA-9393-4DC3-8241-C7E52B1B18CD}" name="Source SI No." dataDxfId="3"/>
    <tableColumn id="2" xr3:uid="{009D67FF-DC7E-4627-8041-99E820C425E2}" name="Product Category" dataDxfId="2"/>
    <tableColumn id="3" xr3:uid="{28BD4097-51E5-4A71-A53A-A96B22714482}" name="Partner Company" dataDxfId="1"/>
    <tableColumn id="4" xr3:uid="{975D3901-3CD4-4518-8F1E-3CCD3CB0AB64}" name="Country" dataDxfId="0"/>
    <tableColumn id="5" xr3:uid="{153CC26B-51D9-46B8-A766-03D8B17513A5}" name="Product / Model" dataDxfId="36"/>
    <tableColumn id="6" xr3:uid="{50D93CBB-D9A4-4565-972A-DD6A4AE568AE}" name="Planned DIWAN Category Page Path" dataDxfId="35" dataCellStyle="Hyperlink"/>
    <tableColumn id="7" xr3:uid="{DEFA1A6B-B458-480A-81F2-92A678B0187B}" name="Website Page Scope" dataDxfId="34"/>
    <tableColumn id="8" xr3:uid="{E41FC63C-4A20-41F8-97FD-2CF9BAFB7B2D}" name="Architecture Updated On" dataDxfId="33"/>
    <tableColumn id="9" xr3:uid="{5F666EBA-04F6-48F1-ADD1-7DEAA3E1C5E2}" name="Product Listing Title" dataDxfId="32"/>
    <tableColumn id="10" xr3:uid="{734A1915-FE00-4AA8-AC4E-79900E27441A}" name="Product Listing / Anchor Slug" dataDxfId="31"/>
    <tableColumn id="11" xr3:uid="{186659BD-D931-4699-832B-0007B5BE6517}" name="Short Product Listing Description" dataDxfId="30">
      <calculatedColumnFormula>E2&amp;" is "&amp;IF(ISNUMBER(SEARCH(LEFT(LOWER(B2),1),"aeiou")),"an ","a ")&amp;LOWER(B2)&amp;" product from "&amp;C2&amp;" for application-specific laboratory, engineering or industrial use."</calculatedColumnFormula>
    </tableColumn>
    <tableColumn id="12" xr3:uid="{15EE2B74-DC83-4D15-86CA-83BCD65825E0}" name="Product Listing / Category SEO Support Copy" dataDxfId="29">
      <calculatedColumnFormula>E2&amp;" from "&amp;C2&amp;" for "&amp;LOWER(B2)&amp;" applications. Review configuration requirements and request technical information or a quotation from DIWAN."</calculatedColumnFormula>
    </tableColumn>
    <tableColumn id="13" xr3:uid="{CD015E01-AF67-4C17-AE91-CB6F91E214D2}" name="Product Listing Call to Action" dataDxfId="28"/>
    <tableColumn id="14" xr3:uid="{A6E0A6F7-40CE-4192-89F7-D529E9DD6A4E}" name="Product Listing Content Status" dataDxfId="5"/>
    <tableColumn id="15" xr3:uid="{4019E102-03F8-4832-BA02-549EF2D30A86}" name="Product Listing Overview" dataDxfId="27">
      <calculatedColumnFormula array="1">_xlfn.LET(_xlpm.n,LOWER(E2),_xlpm.c,LOWER(B2),_xlpm.t,_xlfn.IFS(OR(ISNUMBER(SEARCH("lens",_xlpm.n)),ISNUMBER(SEARCH("optic",_xlpm.n)),ISNUMBER(SEARCH("polarizer",_xlpm.n))),"precision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"),E2&amp;" is "&amp;_xlpm.art&amp;_xlpm.t&amp;" from "&amp;C2&amp;" designed for application-specific laboratory, engineering or industrial use. It belongs to DIWAN's "&amp;B2&amp;" portfolio; final configuration must be selected against performance, integration and compliance requirements.")</calculatedColumnFormula>
    </tableColumn>
    <tableColumn id="16" xr3:uid="{F80FEA8B-A55F-42F3-B33F-14D01391264E}" name="Key Features &amp; Benefits" dataDxfId="26">
      <calculatedColumnFormula>"Selection should confirm the model-specific operating range, capacity, accuracy, interfaces, utilities, accessories, standards, environmental limits and service requirements. Final capabilities depend on the approved "&amp;E2&amp;" configuration."</calculatedColumnFormula>
    </tableColumn>
    <tableColumn id="17" xr3:uid="{694ECADF-3DE3-4C52-A80E-4CE6A906CEA5}" name="Technical Specifications" dataDxfId="25"/>
    <tableColumn id="18" xr3:uid="{E52D45F3-3290-409B-B309-E0ACE1BAD7D5}" name="Applications &amp; Industries" dataDxfId="24">
      <calculatedColumnFormula>B2&amp;" applications; laboratory research, engineering development, quality control and industrial deployment where applicable. Suitability must be confirmed against the user's sample, process, environment and required standards."</calculatedColumnFormula>
    </tableColumn>
    <tableColumn id="19" xr3:uid="{7586EAA1-D8E8-4D94-9EB4-795E9E1A3322}" name="Primary Image URL" dataDxfId="23"/>
    <tableColumn id="20" xr3:uid="{1FEAF095-CE0C-43D6-B35D-6432B7A0C720}" name="Image Alt Text" dataDxfId="22">
      <calculatedColumnFormula>E2&amp;" from "&amp;C2</calculatedColumnFormula>
    </tableColumn>
    <tableColumn id="21" xr3:uid="{ECC05F77-079D-463C-BEAC-29C5D9B4CDB7}" name="Datasheet / Brochure URL" dataDxfId="21"/>
    <tableColumn id="22" xr3:uid="{0B6ACBE6-84A9-4F80-9D0F-9C154B66F61F}" name="Additional Documents" dataDxfId="20"/>
    <tableColumn id="23" xr3:uid="{E2296B32-1B84-4FA4-8C56-9E05F70BC1AE}" name="Related Products" dataDxfId="19">
      <calculatedColumnFormula>"See other "&amp;B2&amp;" products"</calculatedColumnFormula>
    </tableColumn>
    <tableColumn id="24" xr3:uid="{B013E77B-2440-480B-B0B7-F6A6A00F95BB}" name="Enquiry Route" dataDxfId="18">
      <calculatedColumnFormula>B2&amp;" enquiry → website group enquiry form → category owner assignment"</calculatedColumnFormula>
    </tableColumn>
    <tableColumn id="25" xr3:uid="{D8A9A79F-E230-4931-9B9A-E582935614A1}" name="Target SEO Keywords" dataDxfId="17">
      <calculatedColumnFormula>E2&amp;", "&amp;B2&amp;", "&amp;C2&amp;", technical equipment, DIWAN"</calculatedColumnFormula>
    </tableColumn>
    <tableColumn id="26" xr3:uid="{58A6FDE5-7DA6-4387-870C-5929030DE1A9}" name="Verified Content Source URL" dataDxfId="16"/>
    <tableColumn id="27" xr3:uid="{A7604B05-2DD8-4513-B841-D37EA4551936}" name="Source Verified On" dataDxfId="15"/>
    <tableColumn id="28" xr3:uid="{65208B9E-803D-4AF4-A3D0-DE7F47DE3A94}" name="Approval Owner" dataDxfId="14"/>
    <tableColumn id="29" xr3:uid="{637D2B33-530B-4425-8331-F7F9953BAF46}" name="Product Listing Content Readiness" dataDxfId="4">
      <calculatedColumnFormula>IF(AND(O2&lt;&gt;"",P2&lt;&gt;"",R2&lt;&gt;"",T2&lt;&gt;"",X2&lt;&gt;"",Y2&lt;&gt;"",Z2&lt;&gt;"",AA2&lt;&gt;"",AB2&lt;&gt;""),IF(AND(Q2&lt;&gt;"",S2&lt;&gt;"",U2&lt;&gt;""),"Ready for approval","Content drafted - assets/specs pending"),IF(COUNTA(O2:AB2)=0,"Not started","In progress"))</calculatedColumnFormula>
    </tableColumn>
    <tableColumn id="30" xr3:uid="{ED91A4E7-3FE2-48B0-8FB1-52DEAAF79216}" name="Review Notes" dataDxfId="13">
      <calculatedColumnFormula>"Baseline definition created from the official catalog name, partner and category classification ("&amp;G2&amp;"). Model-specific specifications, images and downloadable documents must be extracted from the linked official source and technically approved before publication. Source register reviewed 2026-08-23."</calculatedColumnFormula>
    </tableColumn>
    <tableColumn id="31" xr3:uid="{38B6F7B2-BFCA-4206-A289-25C9DBAA9328}" name="Additional Image URLs" dataDxfId="12"/>
    <tableColumn id="32" xr3:uid="{F9F67B8C-1208-42BC-8D4E-ACAC9360AC98}" name="Product Video URL" dataDxfId="11"/>
    <tableColumn id="33" xr3:uid="{0DAFF7B6-7D48-453E-AA54-C9A9AB5E9C5D}" name="Commercial Availability Policy" dataDxfId="10"/>
    <tableColumn id="34" xr3:uid="{406B6EE6-809C-4475-8C9E-0483A808F4CF}" name="Lead Time / Delivery Wording" dataDxfId="9"/>
    <tableColumn id="35" xr3:uid="{0DFC8AE7-A6FA-42C0-BDE7-64AB5556C998}" name="Public Document Access Rule" dataDxfId="8"/>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4591FF-7BD6-4241-B5AC-C966F340FFCF}" name="WebsiteContentChecklist" displayName="WebsiteContentChecklist" ref="A4:H50" totalsRowShown="0" dataDxfId="102">
  <autoFilter ref="A4:H50" xr:uid="{274591FF-7BD6-4241-B5AC-C966F340FFCF}"/>
  <tableColumns count="8">
    <tableColumn id="1" xr3:uid="{F9F6ECAE-85C5-44EC-BAF8-896B4557F0C7}" name="Priority" dataDxfId="97"/>
    <tableColumn id="2" xr3:uid="{EB44BD9E-DCE5-4B87-A1B4-4972D2C28873}" name="Area" dataDxfId="104"/>
    <tableColumn id="3" xr3:uid="{E2E0DFD9-F29E-4814-9598-BFDC8817A608}" name="Information Needed" dataDxfId="101"/>
    <tableColumn id="4" xr3:uid="{B82A45D2-C5D9-42FF-895C-3EF69A6964E7}" name="Why It Matters" dataDxfId="100"/>
    <tableColumn id="5" xr3:uid="{25C788EB-3724-472F-8FBB-9B272C42E978}" name="Recommended Format" dataDxfId="99"/>
    <tableColumn id="6" xr3:uid="{E90B4803-D6FA-41EE-A9EF-924ACED81C58}" name="Suggested Owner" dataDxfId="103"/>
    <tableColumn id="7" xr3:uid="{E3FD00DB-41B4-4939-9E5A-979AA786BAB9}" name="Status" dataDxfId="96"/>
    <tableColumn id="8" xr3:uid="{B65AB2E6-6B78-4FE4-AB7F-B2C8316BFC96}" name="Workbook Reference" dataDxfId="9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8867E-550D-437F-B7B9-8901F88D257F}" name="DIWANWebsiteCopy" displayName="DIWANWebsiteCopy" ref="A4:H132" totalsRowShown="0" dataDxfId="87">
  <autoFilter ref="A4:H132" xr:uid="{DBC8867E-550D-437F-B7B9-8901F88D257F}"/>
  <tableColumns count="8">
    <tableColumn id="1" xr3:uid="{D6BCC541-1DD9-4370-8CB8-884B2914E053}" name="Priority" dataDxfId="95"/>
    <tableColumn id="2" xr3:uid="{A6037BEB-F684-4F61-BCC3-201528218B8D}" name="Page / Area" dataDxfId="94"/>
    <tableColumn id="3" xr3:uid="{998CAA28-1284-40E4-B6BD-9D1DC0DFF56B}" name="Section" dataDxfId="93"/>
    <tableColumn id="4" xr3:uid="{ED221F2E-4D65-4D17-9E48-FB5B19A98562}" name="Content Type" dataDxfId="92"/>
    <tableColumn id="5" xr3:uid="{CF2F1EA7-42E6-403F-B9C2-31B4C43CAC0F}" name="Website Copy" dataDxfId="91"/>
    <tableColumn id="6" xr3:uid="{E0A6CC5C-6E50-40ED-862C-BB37FC0AFBA4}" name="Business Arm" dataDxfId="90"/>
    <tableColumn id="7" xr3:uid="{8E22F808-0DB7-4C51-85D8-0BCA109E670D}" name="Status" dataDxfId="89"/>
    <tableColumn id="8" xr3:uid="{E7CF56CB-F44C-42F6-BA1B-A067F88F1200}" name="Implementation Note" dataDxfId="88"/>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1FC387-A14A-46E1-8D0A-70C2BC57A6C7}" name="ProductGapAudit" displayName="ProductGapAudit" ref="A140:H664" totalsRowShown="0" headerRowDxfId="77" dataDxfId="78">
  <autoFilter ref="A140:H664" xr:uid="{641FC387-A14A-46E1-8D0A-70C2BC57A6C7}"/>
  <tableColumns count="8">
    <tableColumn id="1" xr3:uid="{143F16D1-800C-490D-8398-8D1EBBE0E533}" name="Products Row" dataDxfId="86"/>
    <tableColumn id="2" xr3:uid="{A5DB36E2-107F-40D7-96B0-CE8577EC31FE}" name="Product Category" dataDxfId="85"/>
    <tableColumn id="3" xr3:uid="{B29E8E4D-9F52-4475-A46B-ED9DED359D91}" name="Partner Company" dataDxfId="84"/>
    <tableColumn id="4" xr3:uid="{39382694-122D-4F31-B212-9C7808C50058}" name="Product / Model" dataDxfId="83"/>
    <tableColumn id="5" xr3:uid="{5B0606DF-191C-4E9C-BA42-DF58C5ECE6B7}" name="Product Definition Record Available?" dataDxfId="82">
      <calculatedColumnFormula>IF(Products!O2&lt;&gt;"","Yes","No")</calculatedColumnFormula>
    </tableColumn>
    <tableColumn id="6" xr3:uid="{D507FDBA-3FDB-4F6B-990F-FCB546CB1CDC}" name="Current Content Readiness" dataDxfId="81">
      <calculatedColumnFormula>Products!AC2</calculatedColumnFormula>
    </tableColumn>
    <tableColumn id="7" xr3:uid="{1CF91D16-12C5-40D5-AA64-1B3974AEFEEA}" name="Website Page Scope" dataDxfId="80">
      <calculatedColumnFormula>Products!G2</calculatedColumnFormula>
    </tableColumn>
    <tableColumn id="8" xr3:uid="{E6C3AFB3-C9D2-43F5-9F95-40632FBF2465}" name="Remaining Product Listing / Category Content" dataDxfId="79">
      <calculatedColumnFormula>IF(Products!AC2="Ready for approval","None",IF(Products!Q2="","Technical specifications; ","")&amp;IF(Products!S2="","primary image; ","")&amp;IF(Products!U2="","datasheet/brochure; ","")&amp;"technical approval")</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B82910D-5B3B-4B04-90F4-7A180ACDB839}" name="CategoryCoverageAudit" displayName="CategoryCoverageAudit" ref="A73:D137" totalsRowShown="0" headerRowDxfId="71" dataDxfId="72">
  <autoFilter ref="A73:D137" xr:uid="{DB82910D-5B3B-4B04-90F4-7A180ACDB839}"/>
  <tableColumns count="4">
    <tableColumn id="1" xr3:uid="{D6C804E7-A6CB-426D-935C-9E3BB6D3A2F3}" name="Product Category" dataDxfId="76"/>
    <tableColumn id="2" xr3:uid="{9B2CED89-78B4-4EE7-961C-ABFA770AB10B}" name="Product Count" dataDxfId="75"/>
    <tableColumn id="3" xr3:uid="{76F83088-8A39-4BB9-9F73-D579C73681B7}" name="Category Record Available?" dataDxfId="74"/>
    <tableColumn id="4" xr3:uid="{6F59C16A-704A-4807-B5E1-C44D34C3B3F5}" name="Remaining Action" dataDxfId="73"/>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04FD95-EDAC-4BCC-88DB-284C1FF51EDF}" name="PartnerAuthorizationRegister" displayName="PartnerAuthorizationRegister" ref="A5:K17" totalsRowShown="0" headerRowDxfId="58" dataDxfId="59">
  <autoFilter ref="A5:K17" xr:uid="{2E04FD95-EDAC-4BCC-88DB-284C1FF51EDF}"/>
  <tableColumns count="11">
    <tableColumn id="1" xr3:uid="{8A43495D-15A9-4168-80FF-31D97C0900DC}" name="Partner Company" dataDxfId="70"/>
    <tableColumn id="2" xr3:uid="{D9CBA9FF-5FB3-4E7F-91A0-C2C1D943040E}" name="Country" dataDxfId="69"/>
    <tableColumn id="3" xr3:uid="{CB02E9DF-0492-4629-B818-19C1B34720D6}" name="Product Count" dataDxfId="68"/>
    <tableColumn id="4" xr3:uid="{EA1727DD-6B12-4673-9053-CB9A7C142B57}" name="Official Source" dataDxfId="67"/>
    <tableColumn id="5" xr3:uid="{13A7F1F7-0DBE-4C0E-BD3E-EEF2F9E6AA3C}" name="Authorization Status" dataDxfId="66"/>
    <tableColumn id="6" xr3:uid="{96251711-BEA4-424D-AE96-38F8B38B85FC}" name="Territory" dataDxfId="65"/>
    <tableColumn id="7" xr3:uid="{B063523F-6600-4331-800C-15A4FD38AD4E}" name="Approved Relationship Wording" dataDxfId="64"/>
    <tableColumn id="8" xr3:uid="{1D0F6529-D1F2-430B-84E9-B3A147BB2020}" name="Logo / Asset" dataDxfId="63"/>
    <tableColumn id="9" xr3:uid="{7CB882CA-32FA-4119-9F27-53034CD997E2}" name="Owner" dataDxfId="62"/>
    <tableColumn id="10" xr3:uid="{008B7241-CD5F-46B8-9849-386F6D693DA9}" name="Status" dataDxfId="61"/>
    <tableColumn id="11" xr3:uid="{6B293D79-13C6-4F7D-9CF8-B0648A5D7AB2}" name="Notes" dataDxfId="60"/>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A19D1ED-CCE2-45FB-AEAE-ACA497883B08}" name="CategoryRoutingMatrix" displayName="CategoryRoutingMatrix" ref="A20:H101" totalsRowShown="0" headerRowDxfId="48" dataDxfId="49">
  <autoFilter ref="A20:H101" xr:uid="{2A19D1ED-CCE2-45FB-AEAE-ACA497883B08}"/>
  <tableColumns count="8">
    <tableColumn id="1" xr3:uid="{6CEFC27B-829A-4B12-887B-665567E16C1B}" name="Product Category" dataDxfId="57"/>
    <tableColumn id="2" xr3:uid="{D1BA2786-5D83-4D9A-9D13-11BBA8CE95A3}" name="Product Count" dataDxfId="56"/>
    <tableColumn id="3" xr3:uid="{B35A013F-8D20-4510-93AB-565610CB1F38}" name="Partner(s)" dataDxfId="55"/>
    <tableColumn id="4" xr3:uid="{D65775C3-8503-490B-ADD4-F15E54765657}" name="Primary Owner" dataDxfId="54"/>
    <tableColumn id="5" xr3:uid="{A51036F7-823E-42DA-8728-1888102E3D0C}" name="Email / CRM Route" dataDxfId="53"/>
    <tableColumn id="6" xr3:uid="{4DBC524B-5065-47F6-8A9F-84B4DC6403AE}" name="Form Preselection" dataDxfId="52"/>
    <tableColumn id="7" xr3:uid="{3D5DBEAA-4FFB-4824-B37D-3241D95A0321}" name="Status" dataDxfId="51"/>
    <tableColumn id="8" xr3:uid="{7A7EA927-791D-462A-A927-D9C2BEA300CC}" name="Notes" dataDxfId="50"/>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58E7BD-FA3F-4FC7-8E75-CFA3B20C5457}" name="WebsiteImplementationChecklist" displayName="WebsiteImplementationChecklist" ref="A131:H177" totalsRowShown="0" headerRowDxfId="38" dataDxfId="39">
  <autoFilter ref="A131:H177" xr:uid="{0258E7BD-FA3F-4FC7-8E75-CFA3B20C5457}"/>
  <tableColumns count="8">
    <tableColumn id="1" xr3:uid="{C4460DBD-E714-432A-AB3A-740EF5D4861F}" name="Priority" dataDxfId="47"/>
    <tableColumn id="2" xr3:uid="{409C394D-0D1B-4B7A-A687-69F580CB8979}" name="Area" dataDxfId="46"/>
    <tableColumn id="3" xr3:uid="{64DC9718-38A9-4151-A844-7FC737417A65}" name="Requirement" dataDxfId="45"/>
    <tableColumn id="4" xr3:uid="{5C771D91-E0E3-4980-AFAA-6F49CF2E6BC6}" name="Current Status" dataDxfId="44"/>
    <tableColumn id="5" xr3:uid="{E8997315-5B43-4207-AD92-B3DF68FBB825}" name="Owner" dataDxfId="43"/>
    <tableColumn id="6" xr3:uid="{985590E2-ED12-4F40-8D7A-3345CA409FD2}" name="Acceptance Format" dataDxfId="42"/>
    <tableColumn id="7" xr3:uid="{03EFB69F-2E89-44B3-B8D5-C15EDC4D91CE}" name="Workbook Reference" dataDxfId="41"/>
    <tableColumn id="8" xr3:uid="{40FA133F-49BF-4A2A-AF9F-6D58A9B73BF3}" name="Next Action"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933366-7BB3-45E3-8B78-E8BBB13BF22B}">
  <we:reference id="wa200010215" version="2.0.0.0" store="en-US" storeType="OMEX"/>
  <we:alternateReferences>
    <we:reference id="WA200010215" version="2.0.0.0" store="" storeType="OMEX"/>
  </we:alternateReferences>
  <we:properties>
    <we:property name="bps.codex_control.document_id" value="&quot;7b6c7951-dca4-4fc6-b7fc-2c443df7dca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0AE09-12D7-43BC-B483-06CD85425B55}">
  <dimension ref="A1:AI525"/>
  <sheetViews>
    <sheetView showGridLines="0" workbookViewId="0">
      <pane ySplit="1" topLeftCell="A2" activePane="bottomLeft" state="frozen"/>
      <selection pane="bottomLeft" activeCell="F89" sqref="F89"/>
    </sheetView>
  </sheetViews>
  <sheetFormatPr defaultRowHeight="14.5" x14ac:dyDescent="0.35"/>
  <cols>
    <col min="1" max="1" width="13.6328125" customWidth="1"/>
    <col min="2" max="2" width="33.6328125" customWidth="1"/>
    <col min="3" max="3" width="31.81640625" customWidth="1"/>
    <col min="4" max="4" width="17.26953125" customWidth="1"/>
    <col min="5" max="5" width="51.81640625" customWidth="1"/>
    <col min="6" max="6" width="27.453125" customWidth="1"/>
    <col min="7" max="7" width="30" customWidth="1"/>
    <col min="8" max="8" width="16.36328125" customWidth="1"/>
    <col min="9" max="9" width="47.26953125" customWidth="1"/>
    <col min="10" max="10" width="38.1796875" customWidth="1"/>
    <col min="11" max="11" width="65.453125" customWidth="1"/>
    <col min="12" max="12" width="56.36328125" customWidth="1"/>
    <col min="13" max="13" width="34.54296875" customWidth="1"/>
    <col min="14" max="14" width="30.90625" customWidth="1"/>
    <col min="15" max="15" width="47.26953125" customWidth="1"/>
    <col min="16" max="18" width="41.81640625" customWidth="1"/>
    <col min="19" max="21" width="34.54296875" customWidth="1"/>
    <col min="22" max="25" width="32.7265625" customWidth="1"/>
    <col min="26" max="26" width="40" customWidth="1"/>
    <col min="27" max="29" width="24.54296875" customWidth="1"/>
    <col min="30" max="30" width="41.81640625" customWidth="1"/>
    <col min="31" max="35" width="34.54296875" customWidth="1"/>
  </cols>
  <sheetData>
    <row r="1" spans="1:35" ht="18" customHeight="1" thickBot="1" x14ac:dyDescent="0.4">
      <c r="A1" s="65" t="s">
        <v>21</v>
      </c>
      <c r="B1" s="65" t="s">
        <v>29</v>
      </c>
      <c r="C1" s="65" t="s">
        <v>22</v>
      </c>
      <c r="D1" s="65" t="s">
        <v>0</v>
      </c>
      <c r="E1" s="66" t="s">
        <v>30</v>
      </c>
      <c r="F1" s="108" t="s">
        <v>2953</v>
      </c>
      <c r="G1" s="66" t="s">
        <v>2954</v>
      </c>
      <c r="H1" s="66" t="s">
        <v>2955</v>
      </c>
      <c r="I1" s="66" t="s">
        <v>2956</v>
      </c>
      <c r="J1" s="66" t="s">
        <v>2957</v>
      </c>
      <c r="K1" s="66" t="s">
        <v>2958</v>
      </c>
      <c r="L1" s="66" t="s">
        <v>2959</v>
      </c>
      <c r="M1" s="66" t="s">
        <v>2960</v>
      </c>
      <c r="N1" s="66" t="s">
        <v>2961</v>
      </c>
      <c r="O1" s="67" t="s">
        <v>2962</v>
      </c>
      <c r="P1" s="67" t="s">
        <v>2228</v>
      </c>
      <c r="Q1" s="67" t="s">
        <v>2229</v>
      </c>
      <c r="R1" s="67" t="s">
        <v>2230</v>
      </c>
      <c r="S1" s="67" t="s">
        <v>2231</v>
      </c>
      <c r="T1" s="67" t="s">
        <v>2232</v>
      </c>
      <c r="U1" s="67" t="s">
        <v>2233</v>
      </c>
      <c r="V1" s="67" t="s">
        <v>2234</v>
      </c>
      <c r="W1" s="67" t="s">
        <v>2235</v>
      </c>
      <c r="X1" s="67" t="s">
        <v>2236</v>
      </c>
      <c r="Y1" s="67" t="s">
        <v>2237</v>
      </c>
      <c r="Z1" s="67" t="s">
        <v>2238</v>
      </c>
      <c r="AA1" s="67" t="s">
        <v>2239</v>
      </c>
      <c r="AB1" s="67" t="s">
        <v>2240</v>
      </c>
      <c r="AC1" s="67" t="s">
        <v>2963</v>
      </c>
      <c r="AD1" s="67" t="s">
        <v>2241</v>
      </c>
      <c r="AE1" s="68" t="s">
        <v>2298</v>
      </c>
      <c r="AF1" s="68" t="s">
        <v>2299</v>
      </c>
      <c r="AG1" s="68" t="s">
        <v>2300</v>
      </c>
      <c r="AH1" s="68" t="s">
        <v>2301</v>
      </c>
      <c r="AI1" s="68" t="s">
        <v>2302</v>
      </c>
    </row>
    <row r="2" spans="1:35" ht="42" customHeight="1" x14ac:dyDescent="0.35">
      <c r="A2" s="73">
        <v>1</v>
      </c>
      <c r="B2" s="74" t="s">
        <v>31</v>
      </c>
      <c r="C2" s="75" t="s">
        <v>1</v>
      </c>
      <c r="D2" s="76" t="s">
        <v>2</v>
      </c>
      <c r="E2" s="77" t="s">
        <v>32</v>
      </c>
      <c r="F2" s="78" t="s">
        <v>2964</v>
      </c>
      <c r="G2" s="77" t="s">
        <v>3045</v>
      </c>
      <c r="H2" s="79">
        <v>46257</v>
      </c>
      <c r="I2" s="80" t="s">
        <v>1520</v>
      </c>
      <c r="J2" s="80" t="s">
        <v>807</v>
      </c>
      <c r="K2" s="80" t="s">
        <v>2452</v>
      </c>
      <c r="L2" s="80" t="s">
        <v>2453</v>
      </c>
      <c r="M2" s="80" t="s">
        <v>2020</v>
      </c>
      <c r="N2" s="81" t="s">
        <v>2454</v>
      </c>
      <c r="O2" s="82" t="s">
        <v>2455</v>
      </c>
      <c r="P2" s="82" t="s">
        <v>2456</v>
      </c>
      <c r="Q2" s="82" t="s">
        <v>2457</v>
      </c>
      <c r="R2" s="82" t="s">
        <v>2458</v>
      </c>
      <c r="S2" s="82" t="s">
        <v>2906</v>
      </c>
      <c r="T2" s="82" t="s">
        <v>2459</v>
      </c>
      <c r="U2" s="82"/>
      <c r="V2" s="82" t="s">
        <v>2460</v>
      </c>
      <c r="W2" s="82" t="s">
        <v>2461</v>
      </c>
      <c r="X2" s="82" t="s">
        <v>2462</v>
      </c>
      <c r="Y2" s="82" t="s">
        <v>2463</v>
      </c>
      <c r="Z2" s="82" t="s">
        <v>2464</v>
      </c>
      <c r="AA2" s="83">
        <v>46257</v>
      </c>
      <c r="AB2" s="82" t="s">
        <v>2465</v>
      </c>
      <c r="AC2" s="84" t="str">
        <f>IF(AND(O2&lt;&gt;"",P2&lt;&gt;"",R2&lt;&gt;"",T2&lt;&gt;"",X2&lt;&gt;"",Y2&lt;&gt;"",Z2&lt;&gt;"",AA2&lt;&gt;"",AB2&lt;&gt;""),IF(AND(Q2&lt;&gt;"",S2&lt;&gt;"",U2&lt;&gt;""),"Ready for approval","Content drafted - assets/specs pending"),IF(COUNTA(O2:AB2)=0,"Not started","In progress"))</f>
        <v>Content drafted - assets/specs pending</v>
      </c>
      <c r="AD2" s="82" t="s">
        <v>2466</v>
      </c>
      <c r="AE2" s="85"/>
      <c r="AF2" s="85"/>
      <c r="AG2" s="85" t="s">
        <v>2467</v>
      </c>
      <c r="AH2" s="85" t="s">
        <v>2468</v>
      </c>
      <c r="AI2" s="85" t="s">
        <v>2469</v>
      </c>
    </row>
    <row r="3" spans="1:35" ht="42" customHeight="1" x14ac:dyDescent="0.35">
      <c r="A3" s="69">
        <f>IF(B3=B2,A2,A2+1)</f>
        <v>1</v>
      </c>
      <c r="B3" s="70" t="s">
        <v>31</v>
      </c>
      <c r="C3" s="71" t="s">
        <v>1</v>
      </c>
      <c r="D3" s="72" t="s">
        <v>2</v>
      </c>
      <c r="E3" s="45" t="s">
        <v>33</v>
      </c>
      <c r="F3" s="46" t="s">
        <v>2964</v>
      </c>
      <c r="G3" s="45" t="s">
        <v>3045</v>
      </c>
      <c r="H3" s="47">
        <v>46257</v>
      </c>
      <c r="I3" s="48" t="s">
        <v>1521</v>
      </c>
      <c r="J3" s="48" t="s">
        <v>808</v>
      </c>
      <c r="K3" s="48" t="s">
        <v>2470</v>
      </c>
      <c r="L3" s="48" t="s">
        <v>2471</v>
      </c>
      <c r="M3" s="48" t="s">
        <v>2020</v>
      </c>
      <c r="N3" s="61" t="s">
        <v>2454</v>
      </c>
      <c r="O3" s="54" t="s">
        <v>2472</v>
      </c>
      <c r="P3" s="54" t="s">
        <v>2473</v>
      </c>
      <c r="Q3" s="54" t="s">
        <v>2474</v>
      </c>
      <c r="R3" s="54" t="s">
        <v>2475</v>
      </c>
      <c r="S3" s="54" t="s">
        <v>2907</v>
      </c>
      <c r="T3" s="54" t="s">
        <v>2476</v>
      </c>
      <c r="U3" s="54"/>
      <c r="V3" s="54" t="s">
        <v>2460</v>
      </c>
      <c r="W3" s="54" t="s">
        <v>2477</v>
      </c>
      <c r="X3" s="54" t="s">
        <v>2462</v>
      </c>
      <c r="Y3" s="54" t="s">
        <v>2478</v>
      </c>
      <c r="Z3" s="54" t="s">
        <v>2479</v>
      </c>
      <c r="AA3" s="55">
        <v>46257</v>
      </c>
      <c r="AB3" s="54" t="s">
        <v>2465</v>
      </c>
      <c r="AC3" s="63" t="str">
        <f>IF(AND(O3&lt;&gt;"",P3&lt;&gt;"",R3&lt;&gt;"",T3&lt;&gt;"",X3&lt;&gt;"",Y3&lt;&gt;"",Z3&lt;&gt;"",AA3&lt;&gt;"",AB3&lt;&gt;""),IF(AND(Q3&lt;&gt;"",S3&lt;&gt;"",U3&lt;&gt;""),"Ready for approval","Content drafted - assets/specs pending"),IF(COUNTA(O3:AB3)=0,"Not started","In progress"))</f>
        <v>Content drafted - assets/specs pending</v>
      </c>
      <c r="AD3" s="54" t="s">
        <v>2480</v>
      </c>
      <c r="AE3" s="58"/>
      <c r="AF3" s="58"/>
      <c r="AG3" s="58" t="s">
        <v>2467</v>
      </c>
      <c r="AH3" s="58" t="s">
        <v>2468</v>
      </c>
      <c r="AI3" s="58" t="s">
        <v>2469</v>
      </c>
    </row>
    <row r="4" spans="1:35" ht="42" customHeight="1" x14ac:dyDescent="0.35">
      <c r="A4" s="69">
        <f t="shared" ref="A4:A67" si="0">IF(B4=B3,A3,A3+1)</f>
        <v>1</v>
      </c>
      <c r="B4" s="70" t="s">
        <v>31</v>
      </c>
      <c r="C4" s="71" t="s">
        <v>1</v>
      </c>
      <c r="D4" s="72" t="s">
        <v>2</v>
      </c>
      <c r="E4" s="45" t="s">
        <v>34</v>
      </c>
      <c r="F4" s="46" t="s">
        <v>2964</v>
      </c>
      <c r="G4" s="45" t="s">
        <v>3045</v>
      </c>
      <c r="H4" s="47">
        <v>46257</v>
      </c>
      <c r="I4" s="48" t="s">
        <v>1522</v>
      </c>
      <c r="J4" s="48" t="s">
        <v>809</v>
      </c>
      <c r="K4" s="48" t="s">
        <v>2481</v>
      </c>
      <c r="L4" s="48" t="s">
        <v>2482</v>
      </c>
      <c r="M4" s="48" t="s">
        <v>2020</v>
      </c>
      <c r="N4" s="61" t="s">
        <v>2454</v>
      </c>
      <c r="O4" s="54" t="s">
        <v>2483</v>
      </c>
      <c r="P4" s="54" t="s">
        <v>2484</v>
      </c>
      <c r="Q4" s="54" t="s">
        <v>2485</v>
      </c>
      <c r="R4" s="54" t="s">
        <v>2486</v>
      </c>
      <c r="S4" s="54" t="s">
        <v>2908</v>
      </c>
      <c r="T4" s="54" t="s">
        <v>2487</v>
      </c>
      <c r="U4" s="54"/>
      <c r="V4" s="54" t="s">
        <v>2460</v>
      </c>
      <c r="W4" s="54" t="s">
        <v>2488</v>
      </c>
      <c r="X4" s="54" t="s">
        <v>2462</v>
      </c>
      <c r="Y4" s="54" t="s">
        <v>2489</v>
      </c>
      <c r="Z4" s="54" t="s">
        <v>2490</v>
      </c>
      <c r="AA4" s="55">
        <v>46257</v>
      </c>
      <c r="AB4" s="54" t="s">
        <v>2465</v>
      </c>
      <c r="AC4" s="63" t="str">
        <f>IF(AND(O4&lt;&gt;"",P4&lt;&gt;"",R4&lt;&gt;"",T4&lt;&gt;"",X4&lt;&gt;"",Y4&lt;&gt;"",Z4&lt;&gt;"",AA4&lt;&gt;"",AB4&lt;&gt;""),IF(AND(Q4&lt;&gt;"",S4&lt;&gt;"",U4&lt;&gt;""),"Ready for approval","Content drafted - assets/specs pending"),IF(COUNTA(O4:AB4)=0,"Not started","In progress"))</f>
        <v>Content drafted - assets/specs pending</v>
      </c>
      <c r="AD4" s="54" t="s">
        <v>2480</v>
      </c>
      <c r="AE4" s="58"/>
      <c r="AF4" s="58"/>
      <c r="AG4" s="58" t="s">
        <v>2467</v>
      </c>
      <c r="AH4" s="58" t="s">
        <v>2468</v>
      </c>
      <c r="AI4" s="58" t="s">
        <v>2469</v>
      </c>
    </row>
    <row r="5" spans="1:35" ht="42" customHeight="1" x14ac:dyDescent="0.35">
      <c r="A5" s="69">
        <f t="shared" si="0"/>
        <v>1</v>
      </c>
      <c r="B5" s="70" t="s">
        <v>31</v>
      </c>
      <c r="C5" s="71" t="s">
        <v>1</v>
      </c>
      <c r="D5" s="72" t="s">
        <v>2</v>
      </c>
      <c r="E5" s="45" t="s">
        <v>35</v>
      </c>
      <c r="F5" s="46" t="s">
        <v>2964</v>
      </c>
      <c r="G5" s="45" t="s">
        <v>3045</v>
      </c>
      <c r="H5" s="47">
        <v>46257</v>
      </c>
      <c r="I5" s="48" t="s">
        <v>1523</v>
      </c>
      <c r="J5" s="48" t="s">
        <v>810</v>
      </c>
      <c r="K5" s="48" t="s">
        <v>2491</v>
      </c>
      <c r="L5" s="48" t="s">
        <v>2492</v>
      </c>
      <c r="M5" s="48" t="s">
        <v>2020</v>
      </c>
      <c r="N5" s="61" t="s">
        <v>2454</v>
      </c>
      <c r="O5" s="54" t="s">
        <v>2493</v>
      </c>
      <c r="P5" s="54" t="s">
        <v>2494</v>
      </c>
      <c r="Q5" s="54" t="s">
        <v>2495</v>
      </c>
      <c r="R5" s="54" t="s">
        <v>2496</v>
      </c>
      <c r="S5" s="54" t="s">
        <v>2909</v>
      </c>
      <c r="T5" s="54" t="s">
        <v>2497</v>
      </c>
      <c r="U5" s="54"/>
      <c r="V5" s="54" t="s">
        <v>2460</v>
      </c>
      <c r="W5" s="54" t="s">
        <v>2498</v>
      </c>
      <c r="X5" s="54" t="s">
        <v>2462</v>
      </c>
      <c r="Y5" s="54" t="s">
        <v>2499</v>
      </c>
      <c r="Z5" s="54" t="s">
        <v>2500</v>
      </c>
      <c r="AA5" s="55">
        <v>46257</v>
      </c>
      <c r="AB5" s="54" t="s">
        <v>2465</v>
      </c>
      <c r="AC5" s="63" t="str">
        <f>IF(AND(O5&lt;&gt;"",P5&lt;&gt;"",R5&lt;&gt;"",T5&lt;&gt;"",X5&lt;&gt;"",Y5&lt;&gt;"",Z5&lt;&gt;"",AA5&lt;&gt;"",AB5&lt;&gt;""),IF(AND(Q5&lt;&gt;"",S5&lt;&gt;"",U5&lt;&gt;""),"Ready for approval","Content drafted - assets/specs pending"),IF(COUNTA(O5:AB5)=0,"Not started","In progress"))</f>
        <v>Content drafted - assets/specs pending</v>
      </c>
      <c r="AD5" s="54" t="s">
        <v>2480</v>
      </c>
      <c r="AE5" s="58"/>
      <c r="AF5" s="58"/>
      <c r="AG5" s="58" t="s">
        <v>2467</v>
      </c>
      <c r="AH5" s="58" t="s">
        <v>2468</v>
      </c>
      <c r="AI5" s="58" t="s">
        <v>2469</v>
      </c>
    </row>
    <row r="6" spans="1:35" ht="42" customHeight="1" x14ac:dyDescent="0.35">
      <c r="A6" s="69">
        <f t="shared" si="0"/>
        <v>1</v>
      </c>
      <c r="B6" s="70" t="s">
        <v>31</v>
      </c>
      <c r="C6" s="71" t="s">
        <v>1</v>
      </c>
      <c r="D6" s="72" t="s">
        <v>2</v>
      </c>
      <c r="E6" s="45" t="s">
        <v>36</v>
      </c>
      <c r="F6" s="46" t="s">
        <v>2964</v>
      </c>
      <c r="G6" s="45" t="s">
        <v>3045</v>
      </c>
      <c r="H6" s="47">
        <v>46257</v>
      </c>
      <c r="I6" s="48" t="s">
        <v>1524</v>
      </c>
      <c r="J6" s="48" t="s">
        <v>811</v>
      </c>
      <c r="K6" s="48" t="s">
        <v>2501</v>
      </c>
      <c r="L6" s="48" t="s">
        <v>2502</v>
      </c>
      <c r="M6" s="48" t="s">
        <v>2020</v>
      </c>
      <c r="N6" s="61" t="s">
        <v>2454</v>
      </c>
      <c r="O6" s="54" t="s">
        <v>2503</v>
      </c>
      <c r="P6" s="54" t="s">
        <v>2504</v>
      </c>
      <c r="Q6" s="54" t="s">
        <v>2505</v>
      </c>
      <c r="R6" s="54" t="s">
        <v>2506</v>
      </c>
      <c r="S6" s="54" t="s">
        <v>2910</v>
      </c>
      <c r="T6" s="54" t="s">
        <v>2507</v>
      </c>
      <c r="U6" s="54"/>
      <c r="V6" s="54" t="s">
        <v>2460</v>
      </c>
      <c r="W6" s="54" t="s">
        <v>2508</v>
      </c>
      <c r="X6" s="54" t="s">
        <v>2462</v>
      </c>
      <c r="Y6" s="54" t="s">
        <v>2509</v>
      </c>
      <c r="Z6" s="54" t="s">
        <v>2243</v>
      </c>
      <c r="AA6" s="55">
        <v>46257</v>
      </c>
      <c r="AB6" s="54" t="s">
        <v>2465</v>
      </c>
      <c r="AC6" s="63" t="str">
        <f>IF(AND(O6&lt;&gt;"",P6&lt;&gt;"",R6&lt;&gt;"",T6&lt;&gt;"",X6&lt;&gt;"",Y6&lt;&gt;"",Z6&lt;&gt;"",AA6&lt;&gt;"",AB6&lt;&gt;""),IF(AND(Q6&lt;&gt;"",S6&lt;&gt;"",U6&lt;&gt;""),"Ready for approval","Content drafted - assets/specs pending"),IF(COUNTA(O6:AB6)=0,"Not started","In progress"))</f>
        <v>Content drafted - assets/specs pending</v>
      </c>
      <c r="AD6" s="54" t="s">
        <v>2510</v>
      </c>
      <c r="AE6" s="58"/>
      <c r="AF6" s="58"/>
      <c r="AG6" s="58" t="s">
        <v>2467</v>
      </c>
      <c r="AH6" s="58" t="s">
        <v>2468</v>
      </c>
      <c r="AI6" s="58" t="s">
        <v>2469</v>
      </c>
    </row>
    <row r="7" spans="1:35" ht="42" customHeight="1" thickBot="1" x14ac:dyDescent="0.4">
      <c r="A7" s="69">
        <f t="shared" si="0"/>
        <v>1</v>
      </c>
      <c r="B7" s="70" t="s">
        <v>31</v>
      </c>
      <c r="C7" s="71" t="s">
        <v>1</v>
      </c>
      <c r="D7" s="72" t="s">
        <v>2</v>
      </c>
      <c r="E7" s="45" t="s">
        <v>37</v>
      </c>
      <c r="F7" s="46" t="s">
        <v>2964</v>
      </c>
      <c r="G7" s="45" t="s">
        <v>3045</v>
      </c>
      <c r="H7" s="47">
        <v>46257</v>
      </c>
      <c r="I7" s="48" t="s">
        <v>1525</v>
      </c>
      <c r="J7" s="48" t="s">
        <v>812</v>
      </c>
      <c r="K7" s="48" t="s">
        <v>2511</v>
      </c>
      <c r="L7" s="48" t="s">
        <v>2512</v>
      </c>
      <c r="M7" s="48" t="s">
        <v>2020</v>
      </c>
      <c r="N7" s="61" t="s">
        <v>2454</v>
      </c>
      <c r="O7" s="54" t="s">
        <v>2513</v>
      </c>
      <c r="P7" s="54" t="s">
        <v>2514</v>
      </c>
      <c r="Q7" s="54" t="s">
        <v>2515</v>
      </c>
      <c r="R7" s="54" t="s">
        <v>2516</v>
      </c>
      <c r="S7" s="54" t="s">
        <v>2911</v>
      </c>
      <c r="T7" s="54" t="s">
        <v>2517</v>
      </c>
      <c r="U7" s="54"/>
      <c r="V7" s="54" t="s">
        <v>2460</v>
      </c>
      <c r="W7" s="54" t="s">
        <v>2518</v>
      </c>
      <c r="X7" s="54" t="s">
        <v>2462</v>
      </c>
      <c r="Y7" s="54" t="s">
        <v>2519</v>
      </c>
      <c r="Z7" s="54" t="s">
        <v>2244</v>
      </c>
      <c r="AA7" s="55">
        <v>46257</v>
      </c>
      <c r="AB7" s="54" t="s">
        <v>2465</v>
      </c>
      <c r="AC7" s="63" t="str">
        <f>IF(AND(O7&lt;&gt;"",P7&lt;&gt;"",R7&lt;&gt;"",T7&lt;&gt;"",X7&lt;&gt;"",Y7&lt;&gt;"",Z7&lt;&gt;"",AA7&lt;&gt;"",AB7&lt;&gt;""),IF(AND(Q7&lt;&gt;"",S7&lt;&gt;"",U7&lt;&gt;""),"Ready for approval","Content drafted - assets/specs pending"),IF(COUNTA(O7:AB7)=0,"Not started","In progress"))</f>
        <v>Content drafted - assets/specs pending</v>
      </c>
      <c r="AD7" s="54" t="s">
        <v>2520</v>
      </c>
      <c r="AE7" s="58"/>
      <c r="AF7" s="58"/>
      <c r="AG7" s="58" t="s">
        <v>2467</v>
      </c>
      <c r="AH7" s="58" t="s">
        <v>2468</v>
      </c>
      <c r="AI7" s="58" t="s">
        <v>2469</v>
      </c>
    </row>
    <row r="8" spans="1:35" ht="42" customHeight="1" x14ac:dyDescent="0.35">
      <c r="A8" s="69">
        <f t="shared" si="0"/>
        <v>2</v>
      </c>
      <c r="B8" s="74" t="s">
        <v>38</v>
      </c>
      <c r="C8" s="75" t="s">
        <v>1</v>
      </c>
      <c r="D8" s="76" t="s">
        <v>2</v>
      </c>
      <c r="E8" s="77" t="s">
        <v>39</v>
      </c>
      <c r="F8" s="78" t="s">
        <v>2965</v>
      </c>
      <c r="G8" s="77" t="s">
        <v>3045</v>
      </c>
      <c r="H8" s="79">
        <v>46257</v>
      </c>
      <c r="I8" s="80" t="s">
        <v>1526</v>
      </c>
      <c r="J8" s="80" t="s">
        <v>813</v>
      </c>
      <c r="K8" s="80" t="s">
        <v>2521</v>
      </c>
      <c r="L8" s="80" t="s">
        <v>2522</v>
      </c>
      <c r="M8" s="80" t="s">
        <v>2020</v>
      </c>
      <c r="N8" s="81" t="s">
        <v>2454</v>
      </c>
      <c r="O8" s="82" t="s">
        <v>2523</v>
      </c>
      <c r="P8" s="82" t="s">
        <v>2524</v>
      </c>
      <c r="Q8" s="82" t="s">
        <v>2525</v>
      </c>
      <c r="R8" s="82" t="s">
        <v>2526</v>
      </c>
      <c r="S8" s="82" t="s">
        <v>2912</v>
      </c>
      <c r="T8" s="82" t="s">
        <v>2527</v>
      </c>
      <c r="U8" s="82"/>
      <c r="V8" s="82" t="s">
        <v>2460</v>
      </c>
      <c r="W8" s="82" t="s">
        <v>2528</v>
      </c>
      <c r="X8" s="82" t="s">
        <v>2529</v>
      </c>
      <c r="Y8" s="82" t="s">
        <v>2530</v>
      </c>
      <c r="Z8" s="82" t="s">
        <v>2531</v>
      </c>
      <c r="AA8" s="83">
        <v>46257</v>
      </c>
      <c r="AB8" s="82" t="s">
        <v>2465</v>
      </c>
      <c r="AC8" s="84" t="str">
        <f>IF(AND(O8&lt;&gt;"",P8&lt;&gt;"",R8&lt;&gt;"",T8&lt;&gt;"",X8&lt;&gt;"",Y8&lt;&gt;"",Z8&lt;&gt;"",AA8&lt;&gt;"",AB8&lt;&gt;""),IF(AND(Q8&lt;&gt;"",S8&lt;&gt;"",U8&lt;&gt;""),"Ready for approval","Content drafted - assets/specs pending"),IF(COUNTA(O8:AB8)=0,"Not started","In progress"))</f>
        <v>Content drafted - assets/specs pending</v>
      </c>
      <c r="AD8" s="82" t="s">
        <v>2480</v>
      </c>
      <c r="AE8" s="85"/>
      <c r="AF8" s="85"/>
      <c r="AG8" s="85" t="s">
        <v>2467</v>
      </c>
      <c r="AH8" s="85" t="s">
        <v>2468</v>
      </c>
      <c r="AI8" s="85" t="s">
        <v>2469</v>
      </c>
    </row>
    <row r="9" spans="1:35" ht="42" customHeight="1" x14ac:dyDescent="0.35">
      <c r="A9" s="69">
        <f t="shared" si="0"/>
        <v>2</v>
      </c>
      <c r="B9" s="70" t="s">
        <v>38</v>
      </c>
      <c r="C9" s="71" t="s">
        <v>1</v>
      </c>
      <c r="D9" s="72" t="s">
        <v>2</v>
      </c>
      <c r="E9" s="45" t="s">
        <v>40</v>
      </c>
      <c r="F9" s="46" t="s">
        <v>2965</v>
      </c>
      <c r="G9" s="45" t="s">
        <v>3045</v>
      </c>
      <c r="H9" s="47">
        <v>46257</v>
      </c>
      <c r="I9" s="48" t="s">
        <v>1527</v>
      </c>
      <c r="J9" s="48" t="s">
        <v>814</v>
      </c>
      <c r="K9" s="48" t="s">
        <v>2532</v>
      </c>
      <c r="L9" s="48" t="s">
        <v>2533</v>
      </c>
      <c r="M9" s="48" t="s">
        <v>2020</v>
      </c>
      <c r="N9" s="61" t="s">
        <v>2454</v>
      </c>
      <c r="O9" s="54" t="s">
        <v>2534</v>
      </c>
      <c r="P9" s="54" t="s">
        <v>2535</v>
      </c>
      <c r="Q9" s="54" t="s">
        <v>2536</v>
      </c>
      <c r="R9" s="54" t="s">
        <v>2537</v>
      </c>
      <c r="S9" s="54" t="s">
        <v>2913</v>
      </c>
      <c r="T9" s="54" t="s">
        <v>2538</v>
      </c>
      <c r="U9" s="54"/>
      <c r="V9" s="54" t="s">
        <v>2460</v>
      </c>
      <c r="W9" s="54" t="s">
        <v>2539</v>
      </c>
      <c r="X9" s="54" t="s">
        <v>2529</v>
      </c>
      <c r="Y9" s="54" t="s">
        <v>2540</v>
      </c>
      <c r="Z9" s="54" t="s">
        <v>2541</v>
      </c>
      <c r="AA9" s="55">
        <v>46257</v>
      </c>
      <c r="AB9" s="54" t="s">
        <v>2465</v>
      </c>
      <c r="AC9" s="63" t="str">
        <f>IF(AND(O9&lt;&gt;"",P9&lt;&gt;"",R9&lt;&gt;"",T9&lt;&gt;"",X9&lt;&gt;"",Y9&lt;&gt;"",Z9&lt;&gt;"",AA9&lt;&gt;"",AB9&lt;&gt;""),IF(AND(Q9&lt;&gt;"",S9&lt;&gt;"",U9&lt;&gt;""),"Ready for approval","Content drafted - assets/specs pending"),IF(COUNTA(O9:AB9)=0,"Not started","In progress"))</f>
        <v>Content drafted - assets/specs pending</v>
      </c>
      <c r="AD9" s="54" t="s">
        <v>2542</v>
      </c>
      <c r="AE9" s="58"/>
      <c r="AF9" s="58"/>
      <c r="AG9" s="58" t="s">
        <v>2467</v>
      </c>
      <c r="AH9" s="58" t="s">
        <v>2468</v>
      </c>
      <c r="AI9" s="58" t="s">
        <v>2469</v>
      </c>
    </row>
    <row r="10" spans="1:35" ht="42" customHeight="1" x14ac:dyDescent="0.35">
      <c r="A10" s="69">
        <f t="shared" si="0"/>
        <v>2</v>
      </c>
      <c r="B10" s="70" t="s">
        <v>38</v>
      </c>
      <c r="C10" s="71" t="s">
        <v>1</v>
      </c>
      <c r="D10" s="72" t="s">
        <v>2</v>
      </c>
      <c r="E10" s="45" t="s">
        <v>41</v>
      </c>
      <c r="F10" s="46" t="s">
        <v>2965</v>
      </c>
      <c r="G10" s="45" t="s">
        <v>3045</v>
      </c>
      <c r="H10" s="47">
        <v>46257</v>
      </c>
      <c r="I10" s="48" t="s">
        <v>1528</v>
      </c>
      <c r="J10" s="48" t="s">
        <v>815</v>
      </c>
      <c r="K10" s="48" t="s">
        <v>2543</v>
      </c>
      <c r="L10" s="48" t="s">
        <v>2544</v>
      </c>
      <c r="M10" s="48" t="s">
        <v>2020</v>
      </c>
      <c r="N10" s="61" t="s">
        <v>2454</v>
      </c>
      <c r="O10" s="54" t="s">
        <v>2545</v>
      </c>
      <c r="P10" s="54" t="s">
        <v>2546</v>
      </c>
      <c r="Q10" s="54" t="s">
        <v>2547</v>
      </c>
      <c r="R10" s="54" t="s">
        <v>2548</v>
      </c>
      <c r="S10" s="54" t="s">
        <v>2914</v>
      </c>
      <c r="T10" s="54" t="s">
        <v>2549</v>
      </c>
      <c r="U10" s="54"/>
      <c r="V10" s="54" t="s">
        <v>2460</v>
      </c>
      <c r="W10" s="54" t="s">
        <v>2550</v>
      </c>
      <c r="X10" s="54" t="s">
        <v>2529</v>
      </c>
      <c r="Y10" s="54" t="s">
        <v>2551</v>
      </c>
      <c r="Z10" s="54" t="s">
        <v>2552</v>
      </c>
      <c r="AA10" s="55">
        <v>46257</v>
      </c>
      <c r="AB10" s="54" t="s">
        <v>2465</v>
      </c>
      <c r="AC10" s="63" t="str">
        <f>IF(AND(O10&lt;&gt;"",P10&lt;&gt;"",R10&lt;&gt;"",T10&lt;&gt;"",X10&lt;&gt;"",Y10&lt;&gt;"",Z10&lt;&gt;"",AA10&lt;&gt;"",AB10&lt;&gt;""),IF(AND(Q10&lt;&gt;"",S10&lt;&gt;"",U10&lt;&gt;""),"Ready for approval","Content drafted - assets/specs pending"),IF(COUNTA(O10:AB10)=0,"Not started","In progress"))</f>
        <v>Content drafted - assets/specs pending</v>
      </c>
      <c r="AD10" s="54" t="s">
        <v>2480</v>
      </c>
      <c r="AE10" s="58"/>
      <c r="AF10" s="58"/>
      <c r="AG10" s="58" t="s">
        <v>2467</v>
      </c>
      <c r="AH10" s="58" t="s">
        <v>2468</v>
      </c>
      <c r="AI10" s="58" t="s">
        <v>2469</v>
      </c>
    </row>
    <row r="11" spans="1:35" ht="42" customHeight="1" x14ac:dyDescent="0.35">
      <c r="A11" s="69">
        <f t="shared" si="0"/>
        <v>2</v>
      </c>
      <c r="B11" s="70" t="s">
        <v>38</v>
      </c>
      <c r="C11" s="71" t="s">
        <v>1</v>
      </c>
      <c r="D11" s="72" t="s">
        <v>2</v>
      </c>
      <c r="E11" s="45" t="s">
        <v>42</v>
      </c>
      <c r="F11" s="46" t="s">
        <v>2965</v>
      </c>
      <c r="G11" s="45" t="s">
        <v>3045</v>
      </c>
      <c r="H11" s="47">
        <v>46257</v>
      </c>
      <c r="I11" s="48" t="s">
        <v>1529</v>
      </c>
      <c r="J11" s="48" t="s">
        <v>816</v>
      </c>
      <c r="K11" s="48" t="s">
        <v>2553</v>
      </c>
      <c r="L11" s="48" t="s">
        <v>2554</v>
      </c>
      <c r="M11" s="48" t="s">
        <v>2020</v>
      </c>
      <c r="N11" s="61" t="s">
        <v>2454</v>
      </c>
      <c r="O11" s="54" t="s">
        <v>2555</v>
      </c>
      <c r="P11" s="54" t="s">
        <v>2556</v>
      </c>
      <c r="Q11" s="54" t="s">
        <v>2557</v>
      </c>
      <c r="R11" s="54" t="s">
        <v>2558</v>
      </c>
      <c r="S11" s="54" t="s">
        <v>2915</v>
      </c>
      <c r="T11" s="54" t="s">
        <v>2559</v>
      </c>
      <c r="U11" s="54"/>
      <c r="V11" s="54" t="s">
        <v>2460</v>
      </c>
      <c r="W11" s="54" t="s">
        <v>2560</v>
      </c>
      <c r="X11" s="54" t="s">
        <v>2529</v>
      </c>
      <c r="Y11" s="54" t="s">
        <v>2561</v>
      </c>
      <c r="Z11" s="54" t="s">
        <v>2562</v>
      </c>
      <c r="AA11" s="55">
        <v>46257</v>
      </c>
      <c r="AB11" s="54" t="s">
        <v>2465</v>
      </c>
      <c r="AC11" s="63" t="str">
        <f>IF(AND(O11&lt;&gt;"",P11&lt;&gt;"",R11&lt;&gt;"",T11&lt;&gt;"",X11&lt;&gt;"",Y11&lt;&gt;"",Z11&lt;&gt;"",AA11&lt;&gt;"",AB11&lt;&gt;""),IF(AND(Q11&lt;&gt;"",S11&lt;&gt;"",U11&lt;&gt;""),"Ready for approval","Content drafted - assets/specs pending"),IF(COUNTA(O11:AB11)=0,"Not started","In progress"))</f>
        <v>Content drafted - assets/specs pending</v>
      </c>
      <c r="AD11" s="54" t="s">
        <v>2480</v>
      </c>
      <c r="AE11" s="58"/>
      <c r="AF11" s="58"/>
      <c r="AG11" s="58" t="s">
        <v>2467</v>
      </c>
      <c r="AH11" s="58" t="s">
        <v>2468</v>
      </c>
      <c r="AI11" s="58" t="s">
        <v>2469</v>
      </c>
    </row>
    <row r="12" spans="1:35" ht="42" customHeight="1" x14ac:dyDescent="0.35">
      <c r="A12" s="69">
        <f t="shared" si="0"/>
        <v>2</v>
      </c>
      <c r="B12" s="70" t="s">
        <v>38</v>
      </c>
      <c r="C12" s="71" t="s">
        <v>1</v>
      </c>
      <c r="D12" s="72" t="s">
        <v>2</v>
      </c>
      <c r="E12" s="45" t="s">
        <v>43</v>
      </c>
      <c r="F12" s="46" t="s">
        <v>2965</v>
      </c>
      <c r="G12" s="45" t="s">
        <v>3045</v>
      </c>
      <c r="H12" s="47">
        <v>46257</v>
      </c>
      <c r="I12" s="48" t="s">
        <v>1530</v>
      </c>
      <c r="J12" s="48" t="s">
        <v>817</v>
      </c>
      <c r="K12" s="48" t="s">
        <v>2563</v>
      </c>
      <c r="L12" s="48" t="s">
        <v>2564</v>
      </c>
      <c r="M12" s="48" t="s">
        <v>2020</v>
      </c>
      <c r="N12" s="61" t="s">
        <v>2454</v>
      </c>
      <c r="O12" s="54" t="s">
        <v>2565</v>
      </c>
      <c r="P12" s="54" t="s">
        <v>2566</v>
      </c>
      <c r="Q12" s="54" t="s">
        <v>2567</v>
      </c>
      <c r="R12" s="54" t="s">
        <v>2568</v>
      </c>
      <c r="S12" s="54" t="s">
        <v>2916</v>
      </c>
      <c r="T12" s="54" t="s">
        <v>2569</v>
      </c>
      <c r="U12" s="54"/>
      <c r="V12" s="54" t="s">
        <v>2460</v>
      </c>
      <c r="W12" s="54" t="s">
        <v>2570</v>
      </c>
      <c r="X12" s="54" t="s">
        <v>2529</v>
      </c>
      <c r="Y12" s="54" t="s">
        <v>2571</v>
      </c>
      <c r="Z12" s="54" t="s">
        <v>2572</v>
      </c>
      <c r="AA12" s="55">
        <v>46257</v>
      </c>
      <c r="AB12" s="54" t="s">
        <v>2465</v>
      </c>
      <c r="AC12" s="63" t="str">
        <f>IF(AND(O12&lt;&gt;"",P12&lt;&gt;"",R12&lt;&gt;"",T12&lt;&gt;"",X12&lt;&gt;"",Y12&lt;&gt;"",Z12&lt;&gt;"",AA12&lt;&gt;"",AB12&lt;&gt;""),IF(AND(Q12&lt;&gt;"",S12&lt;&gt;"",U12&lt;&gt;""),"Ready for approval","Content drafted - assets/specs pending"),IF(COUNTA(O12:AB12)=0,"Not started","In progress"))</f>
        <v>Content drafted - assets/specs pending</v>
      </c>
      <c r="AD12" s="54" t="s">
        <v>2480</v>
      </c>
      <c r="AE12" s="58"/>
      <c r="AF12" s="58"/>
      <c r="AG12" s="58" t="s">
        <v>2467</v>
      </c>
      <c r="AH12" s="58" t="s">
        <v>2468</v>
      </c>
      <c r="AI12" s="58" t="s">
        <v>2469</v>
      </c>
    </row>
    <row r="13" spans="1:35" ht="42" customHeight="1" x14ac:dyDescent="0.35">
      <c r="A13" s="69">
        <f t="shared" si="0"/>
        <v>2</v>
      </c>
      <c r="B13" s="70" t="s">
        <v>38</v>
      </c>
      <c r="C13" s="71" t="s">
        <v>1</v>
      </c>
      <c r="D13" s="72" t="s">
        <v>2</v>
      </c>
      <c r="E13" s="45" t="s">
        <v>44</v>
      </c>
      <c r="F13" s="46" t="s">
        <v>2965</v>
      </c>
      <c r="G13" s="45" t="s">
        <v>3045</v>
      </c>
      <c r="H13" s="47">
        <v>46257</v>
      </c>
      <c r="I13" s="48" t="s">
        <v>1531</v>
      </c>
      <c r="J13" s="48" t="s">
        <v>818</v>
      </c>
      <c r="K13" s="48" t="s">
        <v>2573</v>
      </c>
      <c r="L13" s="48" t="s">
        <v>2574</v>
      </c>
      <c r="M13" s="48" t="s">
        <v>2020</v>
      </c>
      <c r="N13" s="61" t="s">
        <v>2454</v>
      </c>
      <c r="O13" s="54" t="s">
        <v>2575</v>
      </c>
      <c r="P13" s="54" t="s">
        <v>2576</v>
      </c>
      <c r="Q13" s="54" t="s">
        <v>2577</v>
      </c>
      <c r="R13" s="54" t="s">
        <v>2578</v>
      </c>
      <c r="S13" s="54" t="s">
        <v>2917</v>
      </c>
      <c r="T13" s="54" t="s">
        <v>2579</v>
      </c>
      <c r="U13" s="54"/>
      <c r="V13" s="54" t="s">
        <v>2460</v>
      </c>
      <c r="W13" s="54" t="s">
        <v>2580</v>
      </c>
      <c r="X13" s="54" t="s">
        <v>2529</v>
      </c>
      <c r="Y13" s="54" t="s">
        <v>2581</v>
      </c>
      <c r="Z13" s="54" t="s">
        <v>2582</v>
      </c>
      <c r="AA13" s="55">
        <v>46257</v>
      </c>
      <c r="AB13" s="54" t="s">
        <v>2465</v>
      </c>
      <c r="AC13" s="63" t="str">
        <f>IF(AND(O13&lt;&gt;"",P13&lt;&gt;"",R13&lt;&gt;"",T13&lt;&gt;"",X13&lt;&gt;"",Y13&lt;&gt;"",Z13&lt;&gt;"",AA13&lt;&gt;"",AB13&lt;&gt;""),IF(AND(Q13&lt;&gt;"",S13&lt;&gt;"",U13&lt;&gt;""),"Ready for approval","Content drafted - assets/specs pending"),IF(COUNTA(O13:AB13)=0,"Not started","In progress"))</f>
        <v>Content drafted - assets/specs pending</v>
      </c>
      <c r="AD13" s="54" t="s">
        <v>2480</v>
      </c>
      <c r="AE13" s="58"/>
      <c r="AF13" s="58"/>
      <c r="AG13" s="58" t="s">
        <v>2467</v>
      </c>
      <c r="AH13" s="58" t="s">
        <v>2468</v>
      </c>
      <c r="AI13" s="58" t="s">
        <v>2469</v>
      </c>
    </row>
    <row r="14" spans="1:35" ht="42" customHeight="1" x14ac:dyDescent="0.35">
      <c r="A14" s="69">
        <f t="shared" si="0"/>
        <v>2</v>
      </c>
      <c r="B14" s="70" t="s">
        <v>38</v>
      </c>
      <c r="C14" s="71" t="s">
        <v>1</v>
      </c>
      <c r="D14" s="72" t="s">
        <v>2</v>
      </c>
      <c r="E14" s="45" t="s">
        <v>45</v>
      </c>
      <c r="F14" s="46" t="s">
        <v>2965</v>
      </c>
      <c r="G14" s="45" t="s">
        <v>3045</v>
      </c>
      <c r="H14" s="47">
        <v>46257</v>
      </c>
      <c r="I14" s="48" t="s">
        <v>1532</v>
      </c>
      <c r="J14" s="48" t="s">
        <v>819</v>
      </c>
      <c r="K14" s="48" t="s">
        <v>2583</v>
      </c>
      <c r="L14" s="48" t="s">
        <v>2584</v>
      </c>
      <c r="M14" s="48" t="s">
        <v>2020</v>
      </c>
      <c r="N14" s="61" t="s">
        <v>2454</v>
      </c>
      <c r="O14" s="54" t="s">
        <v>2585</v>
      </c>
      <c r="P14" s="54" t="s">
        <v>2586</v>
      </c>
      <c r="Q14" s="54" t="s">
        <v>2587</v>
      </c>
      <c r="R14" s="54" t="s">
        <v>2588</v>
      </c>
      <c r="S14" s="54" t="s">
        <v>2918</v>
      </c>
      <c r="T14" s="54" t="s">
        <v>2589</v>
      </c>
      <c r="U14" s="54"/>
      <c r="V14" s="54" t="s">
        <v>2460</v>
      </c>
      <c r="W14" s="54" t="s">
        <v>2590</v>
      </c>
      <c r="X14" s="54" t="s">
        <v>2529</v>
      </c>
      <c r="Y14" s="54" t="s">
        <v>2591</v>
      </c>
      <c r="Z14" s="54" t="s">
        <v>2592</v>
      </c>
      <c r="AA14" s="55">
        <v>46257</v>
      </c>
      <c r="AB14" s="54" t="s">
        <v>2465</v>
      </c>
      <c r="AC14" s="63" t="str">
        <f>IF(AND(O14&lt;&gt;"",P14&lt;&gt;"",R14&lt;&gt;"",T14&lt;&gt;"",X14&lt;&gt;"",Y14&lt;&gt;"",Z14&lt;&gt;"",AA14&lt;&gt;"",AB14&lt;&gt;""),IF(AND(Q14&lt;&gt;"",S14&lt;&gt;"",U14&lt;&gt;""),"Ready for approval","Content drafted - assets/specs pending"),IF(COUNTA(O14:AB14)=0,"Not started","In progress"))</f>
        <v>Content drafted - assets/specs pending</v>
      </c>
      <c r="AD14" s="54" t="s">
        <v>2593</v>
      </c>
      <c r="AE14" s="58"/>
      <c r="AF14" s="58"/>
      <c r="AG14" s="58" t="s">
        <v>2467</v>
      </c>
      <c r="AH14" s="58" t="s">
        <v>2468</v>
      </c>
      <c r="AI14" s="58" t="s">
        <v>2469</v>
      </c>
    </row>
    <row r="15" spans="1:35" ht="42" customHeight="1" thickBot="1" x14ac:dyDescent="0.4">
      <c r="A15" s="69">
        <f t="shared" si="0"/>
        <v>2</v>
      </c>
      <c r="B15" s="70" t="s">
        <v>38</v>
      </c>
      <c r="C15" s="71" t="s">
        <v>1</v>
      </c>
      <c r="D15" s="72" t="s">
        <v>2</v>
      </c>
      <c r="E15" s="45" t="s">
        <v>46</v>
      </c>
      <c r="F15" s="46" t="s">
        <v>2965</v>
      </c>
      <c r="G15" s="45" t="s">
        <v>3045</v>
      </c>
      <c r="H15" s="47">
        <v>46257</v>
      </c>
      <c r="I15" s="48" t="s">
        <v>1533</v>
      </c>
      <c r="J15" s="48" t="s">
        <v>820</v>
      </c>
      <c r="K15" s="48" t="s">
        <v>2594</v>
      </c>
      <c r="L15" s="48" t="s">
        <v>2595</v>
      </c>
      <c r="M15" s="48" t="s">
        <v>2020</v>
      </c>
      <c r="N15" s="61" t="s">
        <v>2454</v>
      </c>
      <c r="O15" s="54" t="s">
        <v>2596</v>
      </c>
      <c r="P15" s="54" t="s">
        <v>2597</v>
      </c>
      <c r="Q15" s="54" t="s">
        <v>2598</v>
      </c>
      <c r="R15" s="54" t="s">
        <v>2599</v>
      </c>
      <c r="S15" s="54" t="s">
        <v>2919</v>
      </c>
      <c r="T15" s="54" t="s">
        <v>2600</v>
      </c>
      <c r="U15" s="54"/>
      <c r="V15" s="54" t="s">
        <v>2460</v>
      </c>
      <c r="W15" s="54" t="s">
        <v>2601</v>
      </c>
      <c r="X15" s="54" t="s">
        <v>2529</v>
      </c>
      <c r="Y15" s="54" t="s">
        <v>2602</v>
      </c>
      <c r="Z15" s="54" t="s">
        <v>2245</v>
      </c>
      <c r="AA15" s="55">
        <v>46257</v>
      </c>
      <c r="AB15" s="54" t="s">
        <v>2465</v>
      </c>
      <c r="AC15" s="63" t="str">
        <f>IF(AND(O15&lt;&gt;"",P15&lt;&gt;"",R15&lt;&gt;"",T15&lt;&gt;"",X15&lt;&gt;"",Y15&lt;&gt;"",Z15&lt;&gt;"",AA15&lt;&gt;"",AB15&lt;&gt;""),IF(AND(Q15&lt;&gt;"",S15&lt;&gt;"",U15&lt;&gt;""),"Ready for approval","Content drafted - assets/specs pending"),IF(COUNTA(O15:AB15)=0,"Not started","In progress"))</f>
        <v>Content drafted - assets/specs pending</v>
      </c>
      <c r="AD15" s="54" t="s">
        <v>2480</v>
      </c>
      <c r="AE15" s="58"/>
      <c r="AF15" s="58"/>
      <c r="AG15" s="58" t="s">
        <v>2467</v>
      </c>
      <c r="AH15" s="58" t="s">
        <v>2468</v>
      </c>
      <c r="AI15" s="58" t="s">
        <v>2469</v>
      </c>
    </row>
    <row r="16" spans="1:35" ht="42" customHeight="1" x14ac:dyDescent="0.35">
      <c r="A16" s="69">
        <f t="shared" si="0"/>
        <v>3</v>
      </c>
      <c r="B16" s="74" t="s">
        <v>47</v>
      </c>
      <c r="C16" s="75" t="s">
        <v>1</v>
      </c>
      <c r="D16" s="76" t="s">
        <v>2</v>
      </c>
      <c r="E16" s="77" t="s">
        <v>48</v>
      </c>
      <c r="F16" s="78" t="s">
        <v>2966</v>
      </c>
      <c r="G16" s="77" t="s">
        <v>3045</v>
      </c>
      <c r="H16" s="79">
        <v>46257</v>
      </c>
      <c r="I16" s="80" t="s">
        <v>1534</v>
      </c>
      <c r="J16" s="80" t="s">
        <v>821</v>
      </c>
      <c r="K16" s="80" t="s">
        <v>2603</v>
      </c>
      <c r="L16" s="80" t="s">
        <v>2604</v>
      </c>
      <c r="M16" s="80" t="s">
        <v>2020</v>
      </c>
      <c r="N16" s="81" t="s">
        <v>2454</v>
      </c>
      <c r="O16" s="82" t="s">
        <v>2605</v>
      </c>
      <c r="P16" s="82" t="s">
        <v>2606</v>
      </c>
      <c r="Q16" s="82" t="s">
        <v>2607</v>
      </c>
      <c r="R16" s="82" t="s">
        <v>2608</v>
      </c>
      <c r="S16" s="82" t="s">
        <v>2920</v>
      </c>
      <c r="T16" s="82" t="s">
        <v>2609</v>
      </c>
      <c r="U16" s="82"/>
      <c r="V16" s="82" t="s">
        <v>2460</v>
      </c>
      <c r="W16" s="82" t="s">
        <v>2610</v>
      </c>
      <c r="X16" s="82" t="s">
        <v>2611</v>
      </c>
      <c r="Y16" s="82" t="s">
        <v>2612</v>
      </c>
      <c r="Z16" s="82" t="s">
        <v>2613</v>
      </c>
      <c r="AA16" s="83">
        <v>46257</v>
      </c>
      <c r="AB16" s="82" t="s">
        <v>2465</v>
      </c>
      <c r="AC16" s="84" t="str">
        <f>IF(AND(O16&lt;&gt;"",P16&lt;&gt;"",R16&lt;&gt;"",T16&lt;&gt;"",X16&lt;&gt;"",Y16&lt;&gt;"",Z16&lt;&gt;"",AA16&lt;&gt;"",AB16&lt;&gt;""),IF(AND(Q16&lt;&gt;"",S16&lt;&gt;"",U16&lt;&gt;""),"Ready for approval","Content drafted - assets/specs pending"),IF(COUNTA(O16:AB16)=0,"Not started","In progress"))</f>
        <v>Content drafted - assets/specs pending</v>
      </c>
      <c r="AD16" s="82" t="s">
        <v>2480</v>
      </c>
      <c r="AE16" s="85"/>
      <c r="AF16" s="85"/>
      <c r="AG16" s="85" t="s">
        <v>2467</v>
      </c>
      <c r="AH16" s="85" t="s">
        <v>2468</v>
      </c>
      <c r="AI16" s="85" t="s">
        <v>2469</v>
      </c>
    </row>
    <row r="17" spans="1:35" ht="42" customHeight="1" x14ac:dyDescent="0.35">
      <c r="A17" s="69">
        <f t="shared" si="0"/>
        <v>3</v>
      </c>
      <c r="B17" s="70" t="s">
        <v>47</v>
      </c>
      <c r="C17" s="71" t="s">
        <v>1</v>
      </c>
      <c r="D17" s="72" t="s">
        <v>2</v>
      </c>
      <c r="E17" s="45" t="s">
        <v>49</v>
      </c>
      <c r="F17" s="46" t="s">
        <v>2966</v>
      </c>
      <c r="G17" s="45" t="s">
        <v>3045</v>
      </c>
      <c r="H17" s="47">
        <v>46257</v>
      </c>
      <c r="I17" s="48" t="s">
        <v>1535</v>
      </c>
      <c r="J17" s="48" t="s">
        <v>822</v>
      </c>
      <c r="K17" s="48" t="s">
        <v>2614</v>
      </c>
      <c r="L17" s="48" t="s">
        <v>2615</v>
      </c>
      <c r="M17" s="48" t="s">
        <v>2020</v>
      </c>
      <c r="N17" s="61" t="s">
        <v>2454</v>
      </c>
      <c r="O17" s="54" t="s">
        <v>2616</v>
      </c>
      <c r="P17" s="54" t="s">
        <v>2617</v>
      </c>
      <c r="Q17" s="54" t="s">
        <v>2618</v>
      </c>
      <c r="R17" s="54" t="s">
        <v>2619</v>
      </c>
      <c r="S17" s="54" t="s">
        <v>2921</v>
      </c>
      <c r="T17" s="54" t="s">
        <v>2620</v>
      </c>
      <c r="U17" s="54"/>
      <c r="V17" s="54" t="s">
        <v>2460</v>
      </c>
      <c r="W17" s="54" t="s">
        <v>2621</v>
      </c>
      <c r="X17" s="54" t="s">
        <v>2611</v>
      </c>
      <c r="Y17" s="54" t="s">
        <v>2622</v>
      </c>
      <c r="Z17" s="54" t="s">
        <v>2623</v>
      </c>
      <c r="AA17" s="55">
        <v>46257</v>
      </c>
      <c r="AB17" s="54" t="s">
        <v>2465</v>
      </c>
      <c r="AC17" s="63" t="str">
        <f>IF(AND(O17&lt;&gt;"",P17&lt;&gt;"",R17&lt;&gt;"",T17&lt;&gt;"",X17&lt;&gt;"",Y17&lt;&gt;"",Z17&lt;&gt;"",AA17&lt;&gt;"",AB17&lt;&gt;""),IF(AND(Q17&lt;&gt;"",S17&lt;&gt;"",U17&lt;&gt;""),"Ready for approval","Content drafted - assets/specs pending"),IF(COUNTA(O17:AB17)=0,"Not started","In progress"))</f>
        <v>Content drafted - assets/specs pending</v>
      </c>
      <c r="AD17" s="54" t="s">
        <v>2624</v>
      </c>
      <c r="AE17" s="58"/>
      <c r="AF17" s="58"/>
      <c r="AG17" s="58" t="s">
        <v>2467</v>
      </c>
      <c r="AH17" s="58" t="s">
        <v>2468</v>
      </c>
      <c r="AI17" s="58" t="s">
        <v>2469</v>
      </c>
    </row>
    <row r="18" spans="1:35" ht="42" customHeight="1" x14ac:dyDescent="0.35">
      <c r="A18" s="69">
        <f t="shared" si="0"/>
        <v>3</v>
      </c>
      <c r="B18" s="70" t="s">
        <v>47</v>
      </c>
      <c r="C18" s="71" t="s">
        <v>1</v>
      </c>
      <c r="D18" s="72" t="s">
        <v>2</v>
      </c>
      <c r="E18" s="45" t="s">
        <v>50</v>
      </c>
      <c r="F18" s="46" t="s">
        <v>2966</v>
      </c>
      <c r="G18" s="45" t="s">
        <v>3045</v>
      </c>
      <c r="H18" s="47">
        <v>46257</v>
      </c>
      <c r="I18" s="48" t="s">
        <v>1536</v>
      </c>
      <c r="J18" s="48" t="s">
        <v>823</v>
      </c>
      <c r="K18" s="48" t="s">
        <v>2625</v>
      </c>
      <c r="L18" s="48" t="s">
        <v>2626</v>
      </c>
      <c r="M18" s="48" t="s">
        <v>2020</v>
      </c>
      <c r="N18" s="61" t="s">
        <v>2454</v>
      </c>
      <c r="O18" s="54" t="s">
        <v>2627</v>
      </c>
      <c r="P18" s="54" t="s">
        <v>2628</v>
      </c>
      <c r="Q18" s="54"/>
      <c r="R18" s="54" t="s">
        <v>2629</v>
      </c>
      <c r="S18" s="54" t="s">
        <v>2922</v>
      </c>
      <c r="T18" s="54" t="s">
        <v>2630</v>
      </c>
      <c r="U18" s="54"/>
      <c r="V18" s="54" t="s">
        <v>2460</v>
      </c>
      <c r="W18" s="54" t="s">
        <v>2631</v>
      </c>
      <c r="X18" s="54" t="s">
        <v>2611</v>
      </c>
      <c r="Y18" s="54" t="s">
        <v>2632</v>
      </c>
      <c r="Z18" s="54" t="s">
        <v>2246</v>
      </c>
      <c r="AA18" s="55">
        <v>46257</v>
      </c>
      <c r="AB18" s="54" t="s">
        <v>2465</v>
      </c>
      <c r="AC18" s="63" t="str">
        <f>IF(AND(O18&lt;&gt;"",P18&lt;&gt;"",R18&lt;&gt;"",T18&lt;&gt;"",X18&lt;&gt;"",Y18&lt;&gt;"",Z18&lt;&gt;"",AA18&lt;&gt;"",AB18&lt;&gt;""),IF(AND(Q18&lt;&gt;"",S18&lt;&gt;"",U18&lt;&gt;""),"Ready for approval","Content drafted - assets/specs pending"),IF(COUNTA(O18:AB18)=0,"Not started","In progress"))</f>
        <v>Content drafted - assets/specs pending</v>
      </c>
      <c r="AD18" s="54" t="s">
        <v>2633</v>
      </c>
      <c r="AE18" s="58"/>
      <c r="AF18" s="58"/>
      <c r="AG18" s="58" t="s">
        <v>2467</v>
      </c>
      <c r="AH18" s="58" t="s">
        <v>2468</v>
      </c>
      <c r="AI18" s="58" t="s">
        <v>2469</v>
      </c>
    </row>
    <row r="19" spans="1:35" ht="42" customHeight="1" x14ac:dyDescent="0.35">
      <c r="A19" s="69">
        <f t="shared" si="0"/>
        <v>3</v>
      </c>
      <c r="B19" s="70" t="s">
        <v>47</v>
      </c>
      <c r="C19" s="71" t="s">
        <v>1</v>
      </c>
      <c r="D19" s="72" t="s">
        <v>2</v>
      </c>
      <c r="E19" s="45" t="s">
        <v>51</v>
      </c>
      <c r="F19" s="46" t="s">
        <v>2966</v>
      </c>
      <c r="G19" s="45" t="s">
        <v>3045</v>
      </c>
      <c r="H19" s="47">
        <v>46257</v>
      </c>
      <c r="I19" s="48" t="s">
        <v>1537</v>
      </c>
      <c r="J19" s="48" t="s">
        <v>824</v>
      </c>
      <c r="K19" s="48" t="s">
        <v>2634</v>
      </c>
      <c r="L19" s="48" t="s">
        <v>2635</v>
      </c>
      <c r="M19" s="48" t="s">
        <v>2020</v>
      </c>
      <c r="N19" s="61" t="s">
        <v>2454</v>
      </c>
      <c r="O19" s="54" t="s">
        <v>2636</v>
      </c>
      <c r="P19" s="54" t="s">
        <v>2637</v>
      </c>
      <c r="Q19" s="54" t="s">
        <v>2638</v>
      </c>
      <c r="R19" s="54" t="s">
        <v>2639</v>
      </c>
      <c r="S19" s="54" t="s">
        <v>2923</v>
      </c>
      <c r="T19" s="54" t="s">
        <v>2640</v>
      </c>
      <c r="U19" s="54"/>
      <c r="V19" s="54" t="s">
        <v>2460</v>
      </c>
      <c r="W19" s="54" t="s">
        <v>2641</v>
      </c>
      <c r="X19" s="54" t="s">
        <v>2611</v>
      </c>
      <c r="Y19" s="54" t="s">
        <v>2642</v>
      </c>
      <c r="Z19" s="54" t="s">
        <v>2643</v>
      </c>
      <c r="AA19" s="55">
        <v>46257</v>
      </c>
      <c r="AB19" s="54" t="s">
        <v>2465</v>
      </c>
      <c r="AC19" s="63" t="str">
        <f>IF(AND(O19&lt;&gt;"",P19&lt;&gt;"",R19&lt;&gt;"",T19&lt;&gt;"",X19&lt;&gt;"",Y19&lt;&gt;"",Z19&lt;&gt;"",AA19&lt;&gt;"",AB19&lt;&gt;""),IF(AND(Q19&lt;&gt;"",S19&lt;&gt;"",U19&lt;&gt;""),"Ready for approval","Content drafted - assets/specs pending"),IF(COUNTA(O19:AB19)=0,"Not started","In progress"))</f>
        <v>Content drafted - assets/specs pending</v>
      </c>
      <c r="AD19" s="54" t="s">
        <v>2644</v>
      </c>
      <c r="AE19" s="58"/>
      <c r="AF19" s="58"/>
      <c r="AG19" s="58" t="s">
        <v>2467</v>
      </c>
      <c r="AH19" s="58" t="s">
        <v>2468</v>
      </c>
      <c r="AI19" s="58" t="s">
        <v>2469</v>
      </c>
    </row>
    <row r="20" spans="1:35" ht="42" customHeight="1" thickBot="1" x14ac:dyDescent="0.4">
      <c r="A20" s="69">
        <f t="shared" si="0"/>
        <v>3</v>
      </c>
      <c r="B20" s="70" t="s">
        <v>47</v>
      </c>
      <c r="C20" s="71" t="s">
        <v>1</v>
      </c>
      <c r="D20" s="72" t="s">
        <v>2</v>
      </c>
      <c r="E20" s="45" t="s">
        <v>52</v>
      </c>
      <c r="F20" s="46" t="s">
        <v>2966</v>
      </c>
      <c r="G20" s="45" t="s">
        <v>3045</v>
      </c>
      <c r="H20" s="47">
        <v>46257</v>
      </c>
      <c r="I20" s="48" t="s">
        <v>1538</v>
      </c>
      <c r="J20" s="48" t="s">
        <v>825</v>
      </c>
      <c r="K20" s="48" t="s">
        <v>2645</v>
      </c>
      <c r="L20" s="48" t="s">
        <v>2646</v>
      </c>
      <c r="M20" s="48" t="s">
        <v>2020</v>
      </c>
      <c r="N20" s="61" t="s">
        <v>2454</v>
      </c>
      <c r="O20" s="54" t="s">
        <v>2647</v>
      </c>
      <c r="P20" s="54" t="s">
        <v>2648</v>
      </c>
      <c r="Q20" s="54"/>
      <c r="R20" s="54" t="s">
        <v>2649</v>
      </c>
      <c r="S20" s="54" t="s">
        <v>2924</v>
      </c>
      <c r="T20" s="54" t="s">
        <v>2650</v>
      </c>
      <c r="U20" s="54"/>
      <c r="V20" s="54" t="s">
        <v>2460</v>
      </c>
      <c r="W20" s="54" t="s">
        <v>2651</v>
      </c>
      <c r="X20" s="54" t="s">
        <v>2611</v>
      </c>
      <c r="Y20" s="54" t="s">
        <v>2652</v>
      </c>
      <c r="Z20" s="54" t="s">
        <v>2246</v>
      </c>
      <c r="AA20" s="55">
        <v>46257</v>
      </c>
      <c r="AB20" s="54" t="s">
        <v>2465</v>
      </c>
      <c r="AC20" s="63" t="str">
        <f>IF(AND(O20&lt;&gt;"",P20&lt;&gt;"",R20&lt;&gt;"",T20&lt;&gt;"",X20&lt;&gt;"",Y20&lt;&gt;"",Z20&lt;&gt;"",AA20&lt;&gt;"",AB20&lt;&gt;""),IF(AND(Q20&lt;&gt;"",S20&lt;&gt;"",U20&lt;&gt;""),"Ready for approval","Content drafted - assets/specs pending"),IF(COUNTA(O20:AB20)=0,"Not started","In progress"))</f>
        <v>Content drafted - assets/specs pending</v>
      </c>
      <c r="AD20" s="54" t="s">
        <v>2653</v>
      </c>
      <c r="AE20" s="58"/>
      <c r="AF20" s="58"/>
      <c r="AG20" s="58" t="s">
        <v>2467</v>
      </c>
      <c r="AH20" s="58" t="s">
        <v>2468</v>
      </c>
      <c r="AI20" s="58" t="s">
        <v>2469</v>
      </c>
    </row>
    <row r="21" spans="1:35" ht="42" customHeight="1" x14ac:dyDescent="0.35">
      <c r="A21" s="69">
        <f t="shared" si="0"/>
        <v>4</v>
      </c>
      <c r="B21" s="74" t="s">
        <v>53</v>
      </c>
      <c r="C21" s="75" t="s">
        <v>1</v>
      </c>
      <c r="D21" s="76" t="s">
        <v>2</v>
      </c>
      <c r="E21" s="77" t="s">
        <v>54</v>
      </c>
      <c r="F21" s="78" t="s">
        <v>2967</v>
      </c>
      <c r="G21" s="77" t="s">
        <v>3045</v>
      </c>
      <c r="H21" s="79">
        <v>46257</v>
      </c>
      <c r="I21" s="80" t="s">
        <v>1539</v>
      </c>
      <c r="J21" s="80" t="s">
        <v>826</v>
      </c>
      <c r="K21" s="80" t="s">
        <v>2654</v>
      </c>
      <c r="L21" s="80" t="s">
        <v>2655</v>
      </c>
      <c r="M21" s="80" t="s">
        <v>2020</v>
      </c>
      <c r="N21" s="81" t="s">
        <v>2454</v>
      </c>
      <c r="O21" s="82" t="s">
        <v>2656</v>
      </c>
      <c r="P21" s="82" t="s">
        <v>2657</v>
      </c>
      <c r="Q21" s="82"/>
      <c r="R21" s="82" t="s">
        <v>2658</v>
      </c>
      <c r="S21" s="82"/>
      <c r="T21" s="82" t="s">
        <v>2659</v>
      </c>
      <c r="U21" s="82"/>
      <c r="V21" s="82" t="s">
        <v>2460</v>
      </c>
      <c r="W21" s="82" t="s">
        <v>55</v>
      </c>
      <c r="X21" s="82" t="s">
        <v>2660</v>
      </c>
      <c r="Y21" s="82" t="s">
        <v>2661</v>
      </c>
      <c r="Z21" s="82" t="s">
        <v>18</v>
      </c>
      <c r="AA21" s="83">
        <v>46257</v>
      </c>
      <c r="AB21" s="82" t="s">
        <v>2465</v>
      </c>
      <c r="AC21" s="84" t="str">
        <f>IF(AND(O21&lt;&gt;"",P21&lt;&gt;"",R21&lt;&gt;"",T21&lt;&gt;"",X21&lt;&gt;"",Y21&lt;&gt;"",Z21&lt;&gt;"",AA21&lt;&gt;"",AB21&lt;&gt;""),IF(AND(Q21&lt;&gt;"",S21&lt;&gt;"",U21&lt;&gt;""),"Ready for approval","Content drafted - assets/specs pending"),IF(COUNTA(O21:AB21)=0,"Not started","In progress"))</f>
        <v>Content drafted - assets/specs pending</v>
      </c>
      <c r="AD21" s="82" t="s">
        <v>2662</v>
      </c>
      <c r="AE21" s="85"/>
      <c r="AF21" s="85"/>
      <c r="AG21" s="85" t="s">
        <v>2467</v>
      </c>
      <c r="AH21" s="85" t="s">
        <v>2468</v>
      </c>
      <c r="AI21" s="85" t="s">
        <v>2469</v>
      </c>
    </row>
    <row r="22" spans="1:35" ht="42" customHeight="1" x14ac:dyDescent="0.35">
      <c r="A22" s="69">
        <f t="shared" si="0"/>
        <v>4</v>
      </c>
      <c r="B22" s="70" t="s">
        <v>53</v>
      </c>
      <c r="C22" s="71" t="s">
        <v>1</v>
      </c>
      <c r="D22" s="72" t="s">
        <v>2</v>
      </c>
      <c r="E22" s="45" t="s">
        <v>55</v>
      </c>
      <c r="F22" s="46" t="s">
        <v>2967</v>
      </c>
      <c r="G22" s="45" t="s">
        <v>3045</v>
      </c>
      <c r="H22" s="47">
        <v>46257</v>
      </c>
      <c r="I22" s="48" t="s">
        <v>1540</v>
      </c>
      <c r="J22" s="48" t="s">
        <v>827</v>
      </c>
      <c r="K22" s="48" t="s">
        <v>2663</v>
      </c>
      <c r="L22" s="48" t="s">
        <v>2664</v>
      </c>
      <c r="M22" s="48" t="s">
        <v>2020</v>
      </c>
      <c r="N22" s="61" t="s">
        <v>2454</v>
      </c>
      <c r="O22" s="54" t="s">
        <v>2665</v>
      </c>
      <c r="P22" s="54" t="s">
        <v>2666</v>
      </c>
      <c r="Q22" s="54" t="s">
        <v>2667</v>
      </c>
      <c r="R22" s="54" t="s">
        <v>2668</v>
      </c>
      <c r="S22" s="54"/>
      <c r="T22" s="54" t="s">
        <v>2669</v>
      </c>
      <c r="U22" s="54"/>
      <c r="V22" s="54" t="s">
        <v>2460</v>
      </c>
      <c r="W22" s="54" t="s">
        <v>34</v>
      </c>
      <c r="X22" s="54" t="s">
        <v>2660</v>
      </c>
      <c r="Y22" s="54" t="s">
        <v>2670</v>
      </c>
      <c r="Z22" s="54" t="s">
        <v>18</v>
      </c>
      <c r="AA22" s="55">
        <v>46257</v>
      </c>
      <c r="AB22" s="54" t="s">
        <v>2465</v>
      </c>
      <c r="AC22" s="63" t="str">
        <f>IF(AND(O22&lt;&gt;"",P22&lt;&gt;"",R22&lt;&gt;"",T22&lt;&gt;"",X22&lt;&gt;"",Y22&lt;&gt;"",Z22&lt;&gt;"",AA22&lt;&gt;"",AB22&lt;&gt;""),IF(AND(Q22&lt;&gt;"",S22&lt;&gt;"",U22&lt;&gt;""),"Ready for approval","Content drafted - assets/specs pending"),IF(COUNTA(O22:AB22)=0,"Not started","In progress"))</f>
        <v>Content drafted - assets/specs pending</v>
      </c>
      <c r="AD22" s="54" t="s">
        <v>2671</v>
      </c>
      <c r="AE22" s="58"/>
      <c r="AF22" s="58"/>
      <c r="AG22" s="58" t="s">
        <v>2467</v>
      </c>
      <c r="AH22" s="58" t="s">
        <v>2468</v>
      </c>
      <c r="AI22" s="58" t="s">
        <v>2469</v>
      </c>
    </row>
    <row r="23" spans="1:35" ht="42" customHeight="1" x14ac:dyDescent="0.35">
      <c r="A23" s="69">
        <f t="shared" si="0"/>
        <v>5</v>
      </c>
      <c r="B23" s="103" t="s">
        <v>2826</v>
      </c>
      <c r="C23" s="104" t="s">
        <v>3</v>
      </c>
      <c r="D23" s="105" t="s">
        <v>4</v>
      </c>
      <c r="E23" s="50" t="s">
        <v>62</v>
      </c>
      <c r="F23" s="51" t="s">
        <v>2968</v>
      </c>
      <c r="G23" s="50" t="s">
        <v>3045</v>
      </c>
      <c r="H23" s="52">
        <v>46257</v>
      </c>
      <c r="I23" s="53" t="s">
        <v>1550</v>
      </c>
      <c r="J23" s="53" t="s">
        <v>837</v>
      </c>
      <c r="K23" s="53" t="str">
        <f t="shared" ref="K23:K55" si="1">E23&amp;" is "&amp;IF(ISNUMBER(SEARCH(LEFT(LOWER(B23),1),"aeiou")),"an ","a ")&amp;LOWER(B23)&amp;" product from "&amp;C23&amp;" for application-specific laboratory, engineering or industrial use."</f>
        <v>Gas Analyzer is an analyzers product from Young In Chromass for application-specific laboratory, engineering or industrial use.</v>
      </c>
      <c r="L23" s="53" t="str">
        <f t="shared" ref="L23:L55" si="2">E23&amp;" from "&amp;C23&amp;" for "&amp;LOWER(B23)&amp;" applications. Review configuration requirements and request technical information or a quotation from DIWAN."</f>
        <v>Gas Analyzer from Young In Chromass for analyzers applications. Review configuration requirements and request technical information or a quotation from DIWAN.</v>
      </c>
      <c r="M23" s="53" t="s">
        <v>2020</v>
      </c>
      <c r="N23" s="62" t="s">
        <v>2672</v>
      </c>
      <c r="O23" s="54" t="str" cm="1">
        <f t="array" ref="O23">_xlfn.LET(_xlpm.n,LOWER(E23),_xlpm.c,LOWER(B23),_xlpm.t,_xlfn.IFS(OR(ISNUMBER(SEARCH("lens",_xlpm.n)),ISNUMBER(SEARCH("optic",_xlpm.n)),ISNUMBER(SEARCH("polarizer",_xlpm.n))),"precision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"),E23&amp;" is "&amp;_xlpm.art&amp;_xlpm.t&amp;" from "&amp;C23&amp;" designed for application-specific laboratory, engineering or industrial use. It belongs to DIWAN's "&amp;B23&amp;" portfolio; final configuration must be selected against performance, integration and compliance requirements.")</f>
        <v>Gas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23" s="56" t="str">
        <f t="shared" ref="P23:P55" si="3">"Selection should confirm the model-specific operating range, capacity, accuracy, interfaces, utilities, accessories, standards, environmental limits and service requirements. Final capabilities depend on the approved "&amp;E23&amp;" configuration."</f>
        <v>Selection should confirm the model-specific operating range, capacity, accuracy, interfaces, utilities, accessories, standards, environmental limits and service requirements. Final capabilities depend on the approved Gas Analyzer configuration.</v>
      </c>
      <c r="Q23" s="56"/>
      <c r="R23" s="56" t="str">
        <f t="shared" ref="R23:R55" si="4">B23&amp;" applications; laboratory research, engineering development, quality control and industrial deployment where applicable. Suitability must be confirmed against the user's sample, process, environment and required standards."</f>
        <v>Analyzers applications; laboratory research, engineering development, quality control and industrial deployment where applicable. Suitability must be confirmed against the user's sample, process, environment and required standards.</v>
      </c>
      <c r="S23" s="56"/>
      <c r="T23" s="56" t="str">
        <f t="shared" ref="T23:T55" si="5">E23&amp;" from "&amp;C23</f>
        <v>Gas Analyzer from Young In Chromass</v>
      </c>
      <c r="U23" s="56"/>
      <c r="V23" s="56" t="s">
        <v>2673</v>
      </c>
      <c r="W23" s="56" t="str">
        <f t="shared" ref="W23:W55" si="6">"See other "&amp;B23&amp;" products"</f>
        <v>See other Analyzers products</v>
      </c>
      <c r="X23" s="56" t="str">
        <f t="shared" ref="X23:X55" si="7">B23&amp;" enquiry → website group enquiry form → category owner assignment"</f>
        <v>Analyzers enquiry → website group enquiry form → category owner assignment</v>
      </c>
      <c r="Y23" s="56" t="str">
        <f t="shared" ref="Y23:Y55" si="8">E23&amp;", "&amp;B23&amp;", "&amp;C23&amp;", technical equipment, DIWAN"</f>
        <v>Gas Analyzer, Analyzers, Young In Chromass, technical equipment, DIWAN</v>
      </c>
      <c r="Z23" s="56" t="s">
        <v>2247</v>
      </c>
      <c r="AA23" s="57">
        <v>46257</v>
      </c>
      <c r="AB23" s="56" t="s">
        <v>2465</v>
      </c>
      <c r="AC23" s="64" t="str">
        <f t="shared" ref="AC23:AC55" si="9">IF(AND(O23&lt;&gt;"",P23&lt;&gt;"",R23&lt;&gt;"",T23&lt;&gt;"",X23&lt;&gt;"",Y23&lt;&gt;"",Z23&lt;&gt;"",AA23&lt;&gt;"",AB23&lt;&gt;""),IF(AND(Q23&lt;&gt;"",S23&lt;&gt;"",U23&lt;&gt;""),"Ready for approval","Content drafted - assets/specs pending"),IF(COUNTA(O23:AB23)=0,"Not started","In progress"))</f>
        <v>Content drafted - assets/specs pending</v>
      </c>
      <c r="AD23" s="56" t="str">
        <f t="shared" ref="AD23:AD55" si="10">"Baseline definition created from the official catalog name, partner and category classification ("&amp;G23&amp;").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 s="59"/>
      <c r="AF23" s="59"/>
      <c r="AG23" s="59" t="s">
        <v>2467</v>
      </c>
      <c r="AH23" s="59" t="s">
        <v>2468</v>
      </c>
      <c r="AI23" s="60" t="s">
        <v>2469</v>
      </c>
    </row>
    <row r="24" spans="1:35" ht="42" customHeight="1" x14ac:dyDescent="0.35">
      <c r="A24" s="69">
        <f t="shared" si="0"/>
        <v>5</v>
      </c>
      <c r="B24" s="103" t="s">
        <v>2826</v>
      </c>
      <c r="C24" s="104" t="s">
        <v>3</v>
      </c>
      <c r="D24" s="105" t="s">
        <v>4</v>
      </c>
      <c r="E24" s="50" t="s">
        <v>63</v>
      </c>
      <c r="F24" s="51" t="s">
        <v>2968</v>
      </c>
      <c r="G24" s="50" t="s">
        <v>3045</v>
      </c>
      <c r="H24" s="52">
        <v>46257</v>
      </c>
      <c r="I24" s="53" t="s">
        <v>1551</v>
      </c>
      <c r="J24" s="53" t="s">
        <v>838</v>
      </c>
      <c r="K24" s="53" t="str">
        <f t="shared" si="1"/>
        <v>Hand Sanitizer Analyzer is an analyzers product from Young In Chromass for application-specific laboratory, engineering or industrial use.</v>
      </c>
      <c r="L24" s="53" t="str">
        <f t="shared" si="2"/>
        <v>Hand Sanitizer Analyzer from Young In Chromass for analyzers applications. Review configuration requirements and request technical information or a quotation from DIWAN.</v>
      </c>
      <c r="M24" s="53" t="s">
        <v>2020</v>
      </c>
      <c r="N24" s="62" t="s">
        <v>2672</v>
      </c>
      <c r="O24" s="54" t="str" cm="1">
        <f t="array" ref="O24">_xlfn.LET(_xlpm.n,LOWER(E24),_xlpm.c,LOWER(B24),_xlpm.t,_xlfn.IFS(OR(ISNUMBER(SEARCH("lens",_xlpm.n)),ISNUMBER(SEARCH("optic",_xlpm.n)),ISNUMBER(SEARCH("polarizer",_xlpm.n))),"precision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"),E24&amp;" is "&amp;_xlpm.art&amp;_xlpm.t&amp;" from "&amp;C24&amp;" designed for application-specific laboratory, engineering or industrial use. It belongs to DIWAN's "&amp;B24&amp;" portfolio; final configuration must be selected against performance, integration and compliance requirements.")</f>
        <v>Hand Sanitizer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24" s="56" t="str">
        <f t="shared" si="3"/>
        <v>Selection should confirm the model-specific operating range, capacity, accuracy, interfaces, utilities, accessories, standards, environmental limits and service requirements. Final capabilities depend on the approved Hand Sanitizer Analyzer configuration.</v>
      </c>
      <c r="Q24" s="56"/>
      <c r="R24" s="56" t="str">
        <f t="shared" si="4"/>
        <v>Analyzers applications; laboratory research, engineering development, quality control and industrial deployment where applicable. Suitability must be confirmed against the user's sample, process, environment and required standards.</v>
      </c>
      <c r="S24" s="56"/>
      <c r="T24" s="56" t="str">
        <f t="shared" si="5"/>
        <v>Hand Sanitizer Analyzer from Young In Chromass</v>
      </c>
      <c r="U24" s="56"/>
      <c r="V24" s="56" t="s">
        <v>2673</v>
      </c>
      <c r="W24" s="56" t="str">
        <f t="shared" si="6"/>
        <v>See other Analyzers products</v>
      </c>
      <c r="X24" s="56" t="str">
        <f t="shared" si="7"/>
        <v>Analyzers enquiry → website group enquiry form → category owner assignment</v>
      </c>
      <c r="Y24" s="56" t="str">
        <f t="shared" si="8"/>
        <v>Hand Sanitizer Analyzer, Analyzers, Young In Chromass, technical equipment, DIWAN</v>
      </c>
      <c r="Z24" s="56" t="s">
        <v>2247</v>
      </c>
      <c r="AA24" s="57">
        <v>46257</v>
      </c>
      <c r="AB24" s="56" t="s">
        <v>2465</v>
      </c>
      <c r="AC24" s="64" t="str">
        <f t="shared" si="9"/>
        <v>Content drafted - assets/specs pending</v>
      </c>
      <c r="AD24"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 s="59"/>
      <c r="AF24" s="59"/>
      <c r="AG24" s="59" t="s">
        <v>2467</v>
      </c>
      <c r="AH24" s="59" t="s">
        <v>2468</v>
      </c>
      <c r="AI24" s="60" t="s">
        <v>2469</v>
      </c>
    </row>
    <row r="25" spans="1:35" ht="42" customHeight="1" x14ac:dyDescent="0.35">
      <c r="A25" s="69">
        <f t="shared" si="0"/>
        <v>5</v>
      </c>
      <c r="B25" s="103" t="s">
        <v>2826</v>
      </c>
      <c r="C25" s="104" t="s">
        <v>3</v>
      </c>
      <c r="D25" s="105" t="s">
        <v>4</v>
      </c>
      <c r="E25" s="50" t="s">
        <v>64</v>
      </c>
      <c r="F25" s="51" t="s">
        <v>2968</v>
      </c>
      <c r="G25" s="50" t="s">
        <v>3045</v>
      </c>
      <c r="H25" s="52">
        <v>46257</v>
      </c>
      <c r="I25" s="53" t="s">
        <v>1552</v>
      </c>
      <c r="J25" s="53" t="s">
        <v>839</v>
      </c>
      <c r="K25" s="53" t="str">
        <f t="shared" si="1"/>
        <v>ChroZen ASTM D4815 Player is an analyzers product from Young In Chromass for application-specific laboratory, engineering or industrial use.</v>
      </c>
      <c r="L25" s="53" t="str">
        <f t="shared" si="2"/>
        <v>ChroZen ASTM D4815 Player from Young In Chromass for analyzers applications. Review configuration requirements and request technical information or a quotation from DIWAN.</v>
      </c>
      <c r="M25" s="53" t="s">
        <v>2020</v>
      </c>
      <c r="N25" s="62" t="s">
        <v>2672</v>
      </c>
      <c r="O25" s="54" t="str" cm="1">
        <f t="array" ref="O25">_xlfn.LET(_xlpm.n,LOWER(E25),_xlpm.c,LOWER(B25),_xlpm.t,_xlfn.IFS(OR(ISNUMBER(SEARCH("lens",_xlpm.n)),ISNUMBER(SEARCH("optic",_xlpm.n)),ISNUMBER(SEARCH("polarizer",_xlpm.n))),"precision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"),E25&amp;" is "&amp;_xlpm.art&amp;_xlpm.t&amp;" from "&amp;C25&amp;" designed for application-specific laboratory, engineering or industrial use. It belongs to DIWAN's "&amp;B25&amp;" portfolio; final configuration must be selected against performance, integration and compliance requirements.")</f>
        <v>ChroZen ASTM D4815 Player is a specialized analyzers product from Young In Chromass designed for application-specific laboratory, engineering or industrial use. It belongs to DIWAN's Analyzers portfolio; final configuration must be selected against performance, integration and compliance requirements.</v>
      </c>
      <c r="P25" s="56" t="str">
        <f t="shared" si="3"/>
        <v>Selection should confirm the model-specific operating range, capacity, accuracy, interfaces, utilities, accessories, standards, environmental limits and service requirements. Final capabilities depend on the approved ChroZen ASTM D4815 Player configuration.</v>
      </c>
      <c r="Q25" s="56"/>
      <c r="R25" s="56" t="str">
        <f t="shared" si="4"/>
        <v>Analyzers applications; laboratory research, engineering development, quality control and industrial deployment where applicable. Suitability must be confirmed against the user's sample, process, environment and required standards.</v>
      </c>
      <c r="S25" s="56"/>
      <c r="T25" s="56" t="str">
        <f t="shared" si="5"/>
        <v>ChroZen ASTM D4815 Player from Young In Chromass</v>
      </c>
      <c r="U25" s="56"/>
      <c r="V25" s="56" t="s">
        <v>2673</v>
      </c>
      <c r="W25" s="56" t="str">
        <f t="shared" si="6"/>
        <v>See other Analyzers products</v>
      </c>
      <c r="X25" s="56" t="str">
        <f t="shared" si="7"/>
        <v>Analyzers enquiry → website group enquiry form → category owner assignment</v>
      </c>
      <c r="Y25" s="56" t="str">
        <f t="shared" si="8"/>
        <v>ChroZen ASTM D4815 Player, Analyzers, Young In Chromass, technical equipment, DIWAN</v>
      </c>
      <c r="Z25" s="56" t="s">
        <v>2247</v>
      </c>
      <c r="AA25" s="57">
        <v>46257</v>
      </c>
      <c r="AB25" s="56" t="s">
        <v>2465</v>
      </c>
      <c r="AC25" s="64" t="str">
        <f t="shared" si="9"/>
        <v>Content drafted - assets/specs pending</v>
      </c>
      <c r="AD25"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 s="59"/>
      <c r="AF25" s="59"/>
      <c r="AG25" s="59" t="s">
        <v>2467</v>
      </c>
      <c r="AH25" s="59" t="s">
        <v>2468</v>
      </c>
      <c r="AI25" s="60" t="s">
        <v>2469</v>
      </c>
    </row>
    <row r="26" spans="1:35" ht="42" customHeight="1" x14ac:dyDescent="0.35">
      <c r="A26" s="69">
        <f t="shared" si="0"/>
        <v>5</v>
      </c>
      <c r="B26" s="103" t="s">
        <v>2826</v>
      </c>
      <c r="C26" s="104" t="s">
        <v>3</v>
      </c>
      <c r="D26" s="105" t="s">
        <v>4</v>
      </c>
      <c r="E26" s="50" t="s">
        <v>65</v>
      </c>
      <c r="F26" s="51" t="s">
        <v>2968</v>
      </c>
      <c r="G26" s="50" t="s">
        <v>3045</v>
      </c>
      <c r="H26" s="52">
        <v>46257</v>
      </c>
      <c r="I26" s="53" t="s">
        <v>1553</v>
      </c>
      <c r="J26" s="53" t="s">
        <v>840</v>
      </c>
      <c r="K26" s="53" t="str">
        <f t="shared" si="1"/>
        <v>ChroZen ASTM D5580 Player is an analyzers product from Young In Chromass for application-specific laboratory, engineering or industrial use.</v>
      </c>
      <c r="L26" s="53" t="str">
        <f t="shared" si="2"/>
        <v>ChroZen ASTM D5580 Player from Young In Chromass for analyzers applications. Review configuration requirements and request technical information or a quotation from DIWAN.</v>
      </c>
      <c r="M26" s="53" t="s">
        <v>2020</v>
      </c>
      <c r="N26" s="62" t="s">
        <v>2672</v>
      </c>
      <c r="O26" s="54" t="str" cm="1">
        <f t="array" ref="O26">_xlfn.LET(_xlpm.n,LOWER(E26),_xlpm.c,LOWER(B26),_xlpm.t,_xlfn.IFS(OR(ISNUMBER(SEARCH("lens",_xlpm.n)),ISNUMBER(SEARCH("optic",_xlpm.n)),ISNUMBER(SEARCH("polarizer",_xlpm.n))),"precision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"),E26&amp;" is "&amp;_xlpm.art&amp;_xlpm.t&amp;" from "&amp;C26&amp;" designed for application-specific laboratory, engineering or industrial use. It belongs to DIWAN's "&amp;B26&amp;" portfolio; final configuration must be selected against performance, integration and compliance requirements.")</f>
        <v>ChroZen ASTM D5580 Player is a specialized analyzers product from Young In Chromass designed for application-specific laboratory, engineering or industrial use. It belongs to DIWAN's Analyzers portfolio; final configuration must be selected against performance, integration and compliance requirements.</v>
      </c>
      <c r="P26" s="56" t="str">
        <f t="shared" si="3"/>
        <v>Selection should confirm the model-specific operating range, capacity, accuracy, interfaces, utilities, accessories, standards, environmental limits and service requirements. Final capabilities depend on the approved ChroZen ASTM D5580 Player configuration.</v>
      </c>
      <c r="Q26" s="56"/>
      <c r="R26" s="56" t="str">
        <f t="shared" si="4"/>
        <v>Analyzers applications; laboratory research, engineering development, quality control and industrial deployment where applicable. Suitability must be confirmed against the user's sample, process, environment and required standards.</v>
      </c>
      <c r="S26" s="56"/>
      <c r="T26" s="56" t="str">
        <f t="shared" si="5"/>
        <v>ChroZen ASTM D5580 Player from Young In Chromass</v>
      </c>
      <c r="U26" s="56"/>
      <c r="V26" s="56" t="s">
        <v>2673</v>
      </c>
      <c r="W26" s="56" t="str">
        <f t="shared" si="6"/>
        <v>See other Analyzers products</v>
      </c>
      <c r="X26" s="56" t="str">
        <f t="shared" si="7"/>
        <v>Analyzers enquiry → website group enquiry form → category owner assignment</v>
      </c>
      <c r="Y26" s="56" t="str">
        <f t="shared" si="8"/>
        <v>ChroZen ASTM D5580 Player, Analyzers, Young In Chromass, technical equipment, DIWAN</v>
      </c>
      <c r="Z26" s="56" t="s">
        <v>2247</v>
      </c>
      <c r="AA26" s="57">
        <v>46257</v>
      </c>
      <c r="AB26" s="56" t="s">
        <v>2465</v>
      </c>
      <c r="AC26" s="64" t="str">
        <f t="shared" si="9"/>
        <v>Content drafted - assets/specs pending</v>
      </c>
      <c r="AD26"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 s="59"/>
      <c r="AF26" s="59"/>
      <c r="AG26" s="59" t="s">
        <v>2467</v>
      </c>
      <c r="AH26" s="59" t="s">
        <v>2468</v>
      </c>
      <c r="AI26" s="60" t="s">
        <v>2469</v>
      </c>
    </row>
    <row r="27" spans="1:35" ht="42" customHeight="1" x14ac:dyDescent="0.35">
      <c r="A27" s="69">
        <f t="shared" si="0"/>
        <v>5</v>
      </c>
      <c r="B27" s="103" t="s">
        <v>2826</v>
      </c>
      <c r="C27" s="104" t="s">
        <v>3</v>
      </c>
      <c r="D27" s="105" t="s">
        <v>4</v>
      </c>
      <c r="E27" s="50" t="s">
        <v>66</v>
      </c>
      <c r="F27" s="51" t="s">
        <v>2968</v>
      </c>
      <c r="G27" s="50" t="s">
        <v>3045</v>
      </c>
      <c r="H27" s="52">
        <v>46257</v>
      </c>
      <c r="I27" s="53" t="s">
        <v>1554</v>
      </c>
      <c r="J27" s="53" t="s">
        <v>841</v>
      </c>
      <c r="K27" s="53" t="str">
        <f t="shared" si="1"/>
        <v>ChroZen USP 467 Player (Residual Solvent Analyzer) is an analyzers product from Young In Chromass for application-specific laboratory, engineering or industrial use.</v>
      </c>
      <c r="L27" s="53" t="str">
        <f t="shared" si="2"/>
        <v>ChroZen USP 467 Player (Residual Solvent Analyzer) from Young In Chromass for analyzers applications. Review configuration requirements and request technical information or a quotation from DIWAN.</v>
      </c>
      <c r="M27" s="53" t="s">
        <v>2020</v>
      </c>
      <c r="N27" s="62" t="s">
        <v>2672</v>
      </c>
      <c r="O27" s="54" t="str" cm="1">
        <f t="array" ref="O27">_xlfn.LET(_xlpm.n,LOWER(E27),_xlpm.c,LOWER(B27),_xlpm.t,_xlfn.IFS(OR(ISNUMBER(SEARCH("lens",_xlpm.n)),ISNUMBER(SEARCH("optic",_xlpm.n)),ISNUMBER(SEARCH("polarizer",_xlpm.n))),"precision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"),E27&amp;" is "&amp;_xlpm.art&amp;_xlpm.t&amp;" from "&amp;C27&amp;" designed for application-specific laboratory, engineering or industrial use. It belongs to DIWAN's "&amp;B27&amp;" portfolio; final configuration must be selected against performance, integration and compliance requirements.")</f>
        <v>ChroZen USP 467 Player (Residual Solvent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27" s="56" t="str">
        <f t="shared" si="3"/>
        <v>Selection should confirm the model-specific operating range, capacity, accuracy, interfaces, utilities, accessories, standards, environmental limits and service requirements. Final capabilities depend on the approved ChroZen USP 467 Player (Residual Solvent Analyzer) configuration.</v>
      </c>
      <c r="Q27" s="56"/>
      <c r="R27" s="56" t="str">
        <f t="shared" si="4"/>
        <v>Analyzers applications; laboratory research, engineering development, quality control and industrial deployment where applicable. Suitability must be confirmed against the user's sample, process, environment and required standards.</v>
      </c>
      <c r="S27" s="56"/>
      <c r="T27" s="56" t="str">
        <f t="shared" si="5"/>
        <v>ChroZen USP 467 Player (Residual Solvent Analyzer) from Young In Chromass</v>
      </c>
      <c r="U27" s="56"/>
      <c r="V27" s="56" t="s">
        <v>2673</v>
      </c>
      <c r="W27" s="56" t="str">
        <f t="shared" si="6"/>
        <v>See other Analyzers products</v>
      </c>
      <c r="X27" s="56" t="str">
        <f t="shared" si="7"/>
        <v>Analyzers enquiry → website group enquiry form → category owner assignment</v>
      </c>
      <c r="Y27" s="56" t="str">
        <f t="shared" si="8"/>
        <v>ChroZen USP 467 Player (Residual Solvent Analyzer), Analyzers, Young In Chromass, technical equipment, DIWAN</v>
      </c>
      <c r="Z27" s="56" t="s">
        <v>2247</v>
      </c>
      <c r="AA27" s="57">
        <v>46257</v>
      </c>
      <c r="AB27" s="56" t="s">
        <v>2465</v>
      </c>
      <c r="AC27" s="64" t="str">
        <f t="shared" si="9"/>
        <v>Content drafted - assets/specs pending</v>
      </c>
      <c r="AD27"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 s="59"/>
      <c r="AF27" s="59"/>
      <c r="AG27" s="59" t="s">
        <v>2467</v>
      </c>
      <c r="AH27" s="59" t="s">
        <v>2468</v>
      </c>
      <c r="AI27" s="60" t="s">
        <v>2469</v>
      </c>
    </row>
    <row r="28" spans="1:35" ht="42" customHeight="1" x14ac:dyDescent="0.35">
      <c r="A28" s="69">
        <f t="shared" si="0"/>
        <v>5</v>
      </c>
      <c r="B28" s="103" t="s">
        <v>2826</v>
      </c>
      <c r="C28" s="104" t="s">
        <v>3</v>
      </c>
      <c r="D28" s="105" t="s">
        <v>4</v>
      </c>
      <c r="E28" s="50" t="s">
        <v>67</v>
      </c>
      <c r="F28" s="51" t="s">
        <v>2968</v>
      </c>
      <c r="G28" s="50" t="s">
        <v>3045</v>
      </c>
      <c r="H28" s="52">
        <v>46257</v>
      </c>
      <c r="I28" s="53" t="s">
        <v>1555</v>
      </c>
      <c r="J28" s="53" t="s">
        <v>842</v>
      </c>
      <c r="K28" s="53" t="str">
        <f t="shared" si="1"/>
        <v>ChroZen ASTM D1945 Player is an analyzers product from Young In Chromass for application-specific laboratory, engineering or industrial use.</v>
      </c>
      <c r="L28" s="53" t="str">
        <f t="shared" si="2"/>
        <v>ChroZen ASTM D1945 Player from Young In Chromass for analyzers applications. Review configuration requirements and request technical information or a quotation from DIWAN.</v>
      </c>
      <c r="M28" s="53" t="s">
        <v>2020</v>
      </c>
      <c r="N28" s="62" t="s">
        <v>2672</v>
      </c>
      <c r="O28" s="54" t="str" cm="1">
        <f t="array" ref="O28">_xlfn.LET(_xlpm.n,LOWER(E28),_xlpm.c,LOWER(B28),_xlpm.t,_xlfn.IFS(OR(ISNUMBER(SEARCH("lens",_xlpm.n)),ISNUMBER(SEARCH("optic",_xlpm.n)),ISNUMBER(SEARCH("polarizer",_xlpm.n))),"precision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"),E28&amp;" is "&amp;_xlpm.art&amp;_xlpm.t&amp;" from "&amp;C28&amp;" designed for application-specific laboratory, engineering or industrial use. It belongs to DIWAN's "&amp;B28&amp;" portfolio; final configuration must be selected against performance, integration and compliance requirements.")</f>
        <v>ChroZen ASTM D1945 Player is a specialized analyzers product from Young In Chromass designed for application-specific laboratory, engineering or industrial use. It belongs to DIWAN's Analyzers portfolio; final configuration must be selected against performance, integration and compliance requirements.</v>
      </c>
      <c r="P28" s="56" t="str">
        <f t="shared" si="3"/>
        <v>Selection should confirm the model-specific operating range, capacity, accuracy, interfaces, utilities, accessories, standards, environmental limits and service requirements. Final capabilities depend on the approved ChroZen ASTM D1945 Player configuration.</v>
      </c>
      <c r="Q28" s="56"/>
      <c r="R28" s="56" t="str">
        <f t="shared" si="4"/>
        <v>Analyzers applications; laboratory research, engineering development, quality control and industrial deployment where applicable. Suitability must be confirmed against the user's sample, process, environment and required standards.</v>
      </c>
      <c r="S28" s="56"/>
      <c r="T28" s="56" t="str">
        <f t="shared" si="5"/>
        <v>ChroZen ASTM D1945 Player from Young In Chromass</v>
      </c>
      <c r="U28" s="56"/>
      <c r="V28" s="56" t="s">
        <v>2673</v>
      </c>
      <c r="W28" s="56" t="str">
        <f t="shared" si="6"/>
        <v>See other Analyzers products</v>
      </c>
      <c r="X28" s="56" t="str">
        <f t="shared" si="7"/>
        <v>Analyzers enquiry → website group enquiry form → category owner assignment</v>
      </c>
      <c r="Y28" s="56" t="str">
        <f t="shared" si="8"/>
        <v>ChroZen ASTM D1945 Player, Analyzers, Young In Chromass, technical equipment, DIWAN</v>
      </c>
      <c r="Z28" s="56" t="s">
        <v>2247</v>
      </c>
      <c r="AA28" s="57">
        <v>46257</v>
      </c>
      <c r="AB28" s="56" t="s">
        <v>2465</v>
      </c>
      <c r="AC28" s="64" t="str">
        <f t="shared" si="9"/>
        <v>Content drafted - assets/specs pending</v>
      </c>
      <c r="AD28"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 s="59"/>
      <c r="AF28" s="59"/>
      <c r="AG28" s="59" t="s">
        <v>2467</v>
      </c>
      <c r="AH28" s="59" t="s">
        <v>2468</v>
      </c>
      <c r="AI28" s="60" t="s">
        <v>2469</v>
      </c>
    </row>
    <row r="29" spans="1:35" ht="42" customHeight="1" x14ac:dyDescent="0.35">
      <c r="A29" s="69">
        <f t="shared" si="0"/>
        <v>5</v>
      </c>
      <c r="B29" s="103" t="s">
        <v>2826</v>
      </c>
      <c r="C29" s="104" t="s">
        <v>3</v>
      </c>
      <c r="D29" s="105" t="s">
        <v>4</v>
      </c>
      <c r="E29" s="50" t="s">
        <v>80</v>
      </c>
      <c r="F29" s="51" t="s">
        <v>2968</v>
      </c>
      <c r="G29" s="50" t="s">
        <v>3045</v>
      </c>
      <c r="H29" s="52">
        <v>46257</v>
      </c>
      <c r="I29" s="53" t="s">
        <v>1568</v>
      </c>
      <c r="J29" s="53" t="s">
        <v>855</v>
      </c>
      <c r="K29" s="53" t="str">
        <f t="shared" si="1"/>
        <v>Biodiesel Analyzer is an analyzers product from Young In Chromass for application-specific laboratory, engineering or industrial use.</v>
      </c>
      <c r="L29" s="53" t="str">
        <f t="shared" si="2"/>
        <v>Biodiesel Analyzer from Young In Chromass for analyzers applications. Review configuration requirements and request technical information or a quotation from DIWAN.</v>
      </c>
      <c r="M29" s="53" t="s">
        <v>2020</v>
      </c>
      <c r="N29" s="62" t="s">
        <v>2672</v>
      </c>
      <c r="O29" s="54" t="str" cm="1">
        <f t="array" ref="O29">_xlfn.LET(_xlpm.n,LOWER(E29),_xlpm.c,LOWER(B29),_xlpm.t,_xlfn.IFS(OR(ISNUMBER(SEARCH("lens",_xlpm.n)),ISNUMBER(SEARCH("optic",_xlpm.n)),ISNUMBER(SEARCH("polarizer",_xlpm.n))),"precision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"),E29&amp;" is "&amp;_xlpm.art&amp;_xlpm.t&amp;" from "&amp;C29&amp;" designed for application-specific laboratory, engineering or industrial use. It belongs to DIWAN's "&amp;B29&amp;" portfolio; final configuration must be selected against performance, integration and compliance requirements.")</f>
        <v>Biodiesel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29" s="56" t="str">
        <f t="shared" si="3"/>
        <v>Selection should confirm the model-specific operating range, capacity, accuracy, interfaces, utilities, accessories, standards, environmental limits and service requirements. Final capabilities depend on the approved Biodiesel Analyzer configuration.</v>
      </c>
      <c r="Q29" s="56"/>
      <c r="R29" s="56" t="str">
        <f t="shared" si="4"/>
        <v>Analyzers applications; laboratory research, engineering development, quality control and industrial deployment where applicable. Suitability must be confirmed against the user's sample, process, environment and required standards.</v>
      </c>
      <c r="S29" s="56"/>
      <c r="T29" s="56" t="str">
        <f t="shared" si="5"/>
        <v>Biodiesel Analyzer from Young In Chromass</v>
      </c>
      <c r="U29" s="56"/>
      <c r="V29" s="56" t="s">
        <v>2673</v>
      </c>
      <c r="W29" s="56" t="str">
        <f t="shared" si="6"/>
        <v>See other Analyzers products</v>
      </c>
      <c r="X29" s="56" t="str">
        <f t="shared" si="7"/>
        <v>Analyzers enquiry → website group enquiry form → category owner assignment</v>
      </c>
      <c r="Y29" s="56" t="str">
        <f t="shared" si="8"/>
        <v>Biodiesel Analyzer, Analyzers, Young In Chromass, technical equipment, DIWAN</v>
      </c>
      <c r="Z29" s="56" t="s">
        <v>2247</v>
      </c>
      <c r="AA29" s="57">
        <v>46257</v>
      </c>
      <c r="AB29" s="56" t="s">
        <v>2465</v>
      </c>
      <c r="AC29" s="64" t="str">
        <f t="shared" si="9"/>
        <v>Content drafted - assets/specs pending</v>
      </c>
      <c r="AD29"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 s="59"/>
      <c r="AF29" s="59"/>
      <c r="AG29" s="59" t="s">
        <v>2467</v>
      </c>
      <c r="AH29" s="59" t="s">
        <v>2468</v>
      </c>
      <c r="AI29" s="60" t="s">
        <v>2469</v>
      </c>
    </row>
    <row r="30" spans="1:35" ht="42" customHeight="1" x14ac:dyDescent="0.35">
      <c r="A30" s="69">
        <f t="shared" si="0"/>
        <v>5</v>
      </c>
      <c r="B30" s="103" t="s">
        <v>2826</v>
      </c>
      <c r="C30" s="104" t="s">
        <v>3</v>
      </c>
      <c r="D30" s="105" t="s">
        <v>4</v>
      </c>
      <c r="E30" s="50" t="s">
        <v>81</v>
      </c>
      <c r="F30" s="51" t="s">
        <v>2968</v>
      </c>
      <c r="G30" s="50" t="s">
        <v>3045</v>
      </c>
      <c r="H30" s="52">
        <v>46257</v>
      </c>
      <c r="I30" s="53" t="s">
        <v>1569</v>
      </c>
      <c r="J30" s="53" t="s">
        <v>856</v>
      </c>
      <c r="K30" s="53" t="str">
        <f t="shared" si="1"/>
        <v>Phthalate Analyzer is an analyzers product from Young In Chromass for application-specific laboratory, engineering or industrial use.</v>
      </c>
      <c r="L30" s="53" t="str">
        <f t="shared" si="2"/>
        <v>Phthalate Analyzer from Young In Chromass for analyzers applications. Review configuration requirements and request technical information or a quotation from DIWAN.</v>
      </c>
      <c r="M30" s="53" t="s">
        <v>2020</v>
      </c>
      <c r="N30" s="62" t="s">
        <v>2672</v>
      </c>
      <c r="O30" s="54" t="str" cm="1">
        <f t="array" ref="O30">_xlfn.LET(_xlpm.n,LOWER(E30),_xlpm.c,LOWER(B30),_xlpm.t,_xlfn.IFS(OR(ISNUMBER(SEARCH("lens",_xlpm.n)),ISNUMBER(SEARCH("optic",_xlpm.n)),ISNUMBER(SEARCH("polarizer",_xlpm.n))),"precision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"),E30&amp;" is "&amp;_xlpm.art&amp;_xlpm.t&amp;" from "&amp;C30&amp;" designed for application-specific laboratory, engineering or industrial use. It belongs to DIWAN's "&amp;B30&amp;" portfolio; final configuration must be selected against performance, integration and compliance requirements.")</f>
        <v>Phthalate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0" s="56" t="str">
        <f t="shared" si="3"/>
        <v>Selection should confirm the model-specific operating range, capacity, accuracy, interfaces, utilities, accessories, standards, environmental limits and service requirements. Final capabilities depend on the approved Phthalate Analyzer configuration.</v>
      </c>
      <c r="Q30" s="56"/>
      <c r="R30" s="56" t="str">
        <f t="shared" si="4"/>
        <v>Analyzers applications; laboratory research, engineering development, quality control and industrial deployment where applicable. Suitability must be confirmed against the user's sample, process, environment and required standards.</v>
      </c>
      <c r="S30" s="56"/>
      <c r="T30" s="56" t="str">
        <f t="shared" si="5"/>
        <v>Phthalate Analyzer from Young In Chromass</v>
      </c>
      <c r="U30" s="56"/>
      <c r="V30" s="56" t="s">
        <v>2673</v>
      </c>
      <c r="W30" s="56" t="str">
        <f t="shared" si="6"/>
        <v>See other Analyzers products</v>
      </c>
      <c r="X30" s="56" t="str">
        <f t="shared" si="7"/>
        <v>Analyzers enquiry → website group enquiry form → category owner assignment</v>
      </c>
      <c r="Y30" s="56" t="str">
        <f t="shared" si="8"/>
        <v>Phthalate Analyzer, Analyzers, Young In Chromass, technical equipment, DIWAN</v>
      </c>
      <c r="Z30" s="56" t="s">
        <v>2247</v>
      </c>
      <c r="AA30" s="57">
        <v>46257</v>
      </c>
      <c r="AB30" s="56" t="s">
        <v>2465</v>
      </c>
      <c r="AC30" s="64" t="str">
        <f t="shared" si="9"/>
        <v>Content drafted - assets/specs pending</v>
      </c>
      <c r="AD30"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 s="59"/>
      <c r="AF30" s="59"/>
      <c r="AG30" s="59" t="s">
        <v>2467</v>
      </c>
      <c r="AH30" s="59" t="s">
        <v>2468</v>
      </c>
      <c r="AI30" s="60" t="s">
        <v>2469</v>
      </c>
    </row>
    <row r="31" spans="1:35" ht="42" customHeight="1" x14ac:dyDescent="0.35">
      <c r="A31" s="69">
        <f t="shared" si="0"/>
        <v>5</v>
      </c>
      <c r="B31" s="103" t="s">
        <v>2826</v>
      </c>
      <c r="C31" s="104" t="s">
        <v>3</v>
      </c>
      <c r="D31" s="105" t="s">
        <v>4</v>
      </c>
      <c r="E31" s="50" t="s">
        <v>82</v>
      </c>
      <c r="F31" s="51" t="s">
        <v>2968</v>
      </c>
      <c r="G31" s="50" t="s">
        <v>3045</v>
      </c>
      <c r="H31" s="52">
        <v>46257</v>
      </c>
      <c r="I31" s="53" t="s">
        <v>1570</v>
      </c>
      <c r="J31" s="53" t="s">
        <v>857</v>
      </c>
      <c r="K31" s="53" t="str">
        <f t="shared" si="1"/>
        <v>Fatty Acid Analyzer is an analyzers product from Young In Chromass for application-specific laboratory, engineering or industrial use.</v>
      </c>
      <c r="L31" s="53" t="str">
        <f t="shared" si="2"/>
        <v>Fatty Acid Analyzer from Young In Chromass for analyzers applications. Review configuration requirements and request technical information or a quotation from DIWAN.</v>
      </c>
      <c r="M31" s="53" t="s">
        <v>2020</v>
      </c>
      <c r="N31" s="62" t="s">
        <v>2672</v>
      </c>
      <c r="O31" s="54" t="str" cm="1">
        <f t="array" ref="O31">_xlfn.LET(_xlpm.n,LOWER(E31),_xlpm.c,LOWER(B31),_xlpm.t,_xlfn.IFS(OR(ISNUMBER(SEARCH("lens",_xlpm.n)),ISNUMBER(SEARCH("optic",_xlpm.n)),ISNUMBER(SEARCH("polarizer",_xlpm.n))),"precision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"),E31&amp;" is "&amp;_xlpm.art&amp;_xlpm.t&amp;" from "&amp;C31&amp;" designed for application-specific laboratory, engineering or industrial use. It belongs to DIWAN's "&amp;B31&amp;" portfolio; final configuration must be selected against performance, integration and compliance requirements.")</f>
        <v>Fatty Acid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1" s="56" t="str">
        <f t="shared" si="3"/>
        <v>Selection should confirm the model-specific operating range, capacity, accuracy, interfaces, utilities, accessories, standards, environmental limits and service requirements. Final capabilities depend on the approved Fatty Acid Analyzer configuration.</v>
      </c>
      <c r="Q31" s="56"/>
      <c r="R31" s="56" t="str">
        <f t="shared" si="4"/>
        <v>Analyzers applications; laboratory research, engineering development, quality control and industrial deployment where applicable. Suitability must be confirmed against the user's sample, process, environment and required standards.</v>
      </c>
      <c r="S31" s="56"/>
      <c r="T31" s="56" t="str">
        <f t="shared" si="5"/>
        <v>Fatty Acid Analyzer from Young In Chromass</v>
      </c>
      <c r="U31" s="56"/>
      <c r="V31" s="56" t="s">
        <v>2673</v>
      </c>
      <c r="W31" s="56" t="str">
        <f t="shared" si="6"/>
        <v>See other Analyzers products</v>
      </c>
      <c r="X31" s="56" t="str">
        <f t="shared" si="7"/>
        <v>Analyzers enquiry → website group enquiry form → category owner assignment</v>
      </c>
      <c r="Y31" s="56" t="str">
        <f t="shared" si="8"/>
        <v>Fatty Acid Analyzer, Analyzers, Young In Chromass, technical equipment, DIWAN</v>
      </c>
      <c r="Z31" s="56" t="s">
        <v>2247</v>
      </c>
      <c r="AA31" s="57">
        <v>46257</v>
      </c>
      <c r="AB31" s="56" t="s">
        <v>2465</v>
      </c>
      <c r="AC31" s="64" t="str">
        <f t="shared" si="9"/>
        <v>Content drafted - assets/specs pending</v>
      </c>
      <c r="AD31"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 s="59"/>
      <c r="AF31" s="59"/>
      <c r="AG31" s="59" t="s">
        <v>2467</v>
      </c>
      <c r="AH31" s="59" t="s">
        <v>2468</v>
      </c>
      <c r="AI31" s="60" t="s">
        <v>2469</v>
      </c>
    </row>
    <row r="32" spans="1:35" ht="42" customHeight="1" x14ac:dyDescent="0.35">
      <c r="A32" s="69">
        <f t="shared" si="0"/>
        <v>5</v>
      </c>
      <c r="B32" s="103" t="s">
        <v>2826</v>
      </c>
      <c r="C32" s="104" t="s">
        <v>3</v>
      </c>
      <c r="D32" s="105" t="s">
        <v>4</v>
      </c>
      <c r="E32" s="50" t="s">
        <v>83</v>
      </c>
      <c r="F32" s="51" t="s">
        <v>2968</v>
      </c>
      <c r="G32" s="50" t="s">
        <v>3045</v>
      </c>
      <c r="H32" s="52">
        <v>46257</v>
      </c>
      <c r="I32" s="53" t="s">
        <v>1571</v>
      </c>
      <c r="J32" s="53" t="s">
        <v>858</v>
      </c>
      <c r="K32" s="53" t="str">
        <f t="shared" si="1"/>
        <v>VOC Analyzer is an analyzers product from Young In Chromass for application-specific laboratory, engineering or industrial use.</v>
      </c>
      <c r="L32" s="53" t="str">
        <f t="shared" si="2"/>
        <v>VOC Analyzer from Young In Chromass for analyzers applications. Review configuration requirements and request technical information or a quotation from DIWAN.</v>
      </c>
      <c r="M32" s="53" t="s">
        <v>2020</v>
      </c>
      <c r="N32" s="62" t="s">
        <v>2672</v>
      </c>
      <c r="O32" s="54" t="str" cm="1">
        <f t="array" ref="O32">_xlfn.LET(_xlpm.n,LOWER(E32),_xlpm.c,LOWER(B32),_xlpm.t,_xlfn.IFS(OR(ISNUMBER(SEARCH("lens",_xlpm.n)),ISNUMBER(SEARCH("optic",_xlpm.n)),ISNUMBER(SEARCH("polarizer",_xlpm.n))),"precision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"),E32&amp;" is "&amp;_xlpm.art&amp;_xlpm.t&amp;" from "&amp;C32&amp;" designed for application-specific laboratory, engineering or industrial use. It belongs to DIWAN's "&amp;B32&amp;" portfolio; final configuration must be selected against performance, integration and compliance requirements.")</f>
        <v>VOC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2" s="56" t="str">
        <f t="shared" si="3"/>
        <v>Selection should confirm the model-specific operating range, capacity, accuracy, interfaces, utilities, accessories, standards, environmental limits and service requirements. Final capabilities depend on the approved VOC Analyzer configuration.</v>
      </c>
      <c r="Q32" s="56"/>
      <c r="R32" s="56" t="str">
        <f t="shared" si="4"/>
        <v>Analyzers applications; laboratory research, engineering development, quality control and industrial deployment where applicable. Suitability must be confirmed against the user's sample, process, environment and required standards.</v>
      </c>
      <c r="S32" s="56"/>
      <c r="T32" s="56" t="str">
        <f t="shared" si="5"/>
        <v>VOC Analyzer from Young In Chromass</v>
      </c>
      <c r="U32" s="56"/>
      <c r="V32" s="56" t="s">
        <v>2673</v>
      </c>
      <c r="W32" s="56" t="str">
        <f t="shared" si="6"/>
        <v>See other Analyzers products</v>
      </c>
      <c r="X32" s="56" t="str">
        <f t="shared" si="7"/>
        <v>Analyzers enquiry → website group enquiry form → category owner assignment</v>
      </c>
      <c r="Y32" s="56" t="str">
        <f t="shared" si="8"/>
        <v>VOC Analyzer, Analyzers, Young In Chromass, technical equipment, DIWAN</v>
      </c>
      <c r="Z32" s="56" t="s">
        <v>2247</v>
      </c>
      <c r="AA32" s="57">
        <v>46257</v>
      </c>
      <c r="AB32" s="56" t="s">
        <v>2465</v>
      </c>
      <c r="AC32" s="64" t="str">
        <f t="shared" si="9"/>
        <v>Content drafted - assets/specs pending</v>
      </c>
      <c r="AD32"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 s="59"/>
      <c r="AF32" s="59"/>
      <c r="AG32" s="59" t="s">
        <v>2467</v>
      </c>
      <c r="AH32" s="59" t="s">
        <v>2468</v>
      </c>
      <c r="AI32" s="60" t="s">
        <v>2469</v>
      </c>
    </row>
    <row r="33" spans="1:35" ht="42" customHeight="1" x14ac:dyDescent="0.35">
      <c r="A33" s="69">
        <f t="shared" si="0"/>
        <v>5</v>
      </c>
      <c r="B33" s="103" t="s">
        <v>2826</v>
      </c>
      <c r="C33" s="104" t="s">
        <v>3</v>
      </c>
      <c r="D33" s="105" t="s">
        <v>4</v>
      </c>
      <c r="E33" s="50" t="s">
        <v>84</v>
      </c>
      <c r="F33" s="51" t="s">
        <v>2968</v>
      </c>
      <c r="G33" s="50" t="s">
        <v>3045</v>
      </c>
      <c r="H33" s="52">
        <v>46257</v>
      </c>
      <c r="I33" s="53" t="s">
        <v>1572</v>
      </c>
      <c r="J33" s="53" t="s">
        <v>859</v>
      </c>
      <c r="K33" s="53" t="str">
        <f t="shared" si="1"/>
        <v>Sulfur Analyzer is an analyzers product from Young In Chromass for application-specific laboratory, engineering or industrial use.</v>
      </c>
      <c r="L33" s="53" t="str">
        <f t="shared" si="2"/>
        <v>Sulfur Analyzer from Young In Chromass for analyzers applications. Review configuration requirements and request technical information or a quotation from DIWAN.</v>
      </c>
      <c r="M33" s="53" t="s">
        <v>2020</v>
      </c>
      <c r="N33" s="62" t="s">
        <v>2672</v>
      </c>
      <c r="O33" s="54" t="str" cm="1">
        <f t="array" ref="O33">_xlfn.LET(_xlpm.n,LOWER(E33),_xlpm.c,LOWER(B33),_xlpm.t,_xlfn.IFS(OR(ISNUMBER(SEARCH("lens",_xlpm.n)),ISNUMBER(SEARCH("optic",_xlpm.n)),ISNUMBER(SEARCH("polarizer",_xlpm.n))),"precision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"),E33&amp;" is "&amp;_xlpm.art&amp;_xlpm.t&amp;" from "&amp;C33&amp;" designed for application-specific laboratory, engineering or industrial use. It belongs to DIWAN's "&amp;B33&amp;" portfolio; final configuration must be selected against performance, integration and compliance requirements.")</f>
        <v>Sulfur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3" s="56" t="str">
        <f t="shared" si="3"/>
        <v>Selection should confirm the model-specific operating range, capacity, accuracy, interfaces, utilities, accessories, standards, environmental limits and service requirements. Final capabilities depend on the approved Sulfur Analyzer configuration.</v>
      </c>
      <c r="Q33" s="56"/>
      <c r="R33" s="56" t="str">
        <f t="shared" si="4"/>
        <v>Analyzers applications; laboratory research, engineering development, quality control and industrial deployment where applicable. Suitability must be confirmed against the user's sample, process, environment and required standards.</v>
      </c>
      <c r="S33" s="56"/>
      <c r="T33" s="56" t="str">
        <f t="shared" si="5"/>
        <v>Sulfur Analyzer from Young In Chromass</v>
      </c>
      <c r="U33" s="56"/>
      <c r="V33" s="56" t="s">
        <v>2673</v>
      </c>
      <c r="W33" s="56" t="str">
        <f t="shared" si="6"/>
        <v>See other Analyzers products</v>
      </c>
      <c r="X33" s="56" t="str">
        <f t="shared" si="7"/>
        <v>Analyzers enquiry → website group enquiry form → category owner assignment</v>
      </c>
      <c r="Y33" s="56" t="str">
        <f t="shared" si="8"/>
        <v>Sulfur Analyzer, Analyzers, Young In Chromass, technical equipment, DIWAN</v>
      </c>
      <c r="Z33" s="56" t="s">
        <v>2247</v>
      </c>
      <c r="AA33" s="57">
        <v>46257</v>
      </c>
      <c r="AB33" s="56" t="s">
        <v>2465</v>
      </c>
      <c r="AC33" s="64" t="str">
        <f t="shared" si="9"/>
        <v>Content drafted - assets/specs pending</v>
      </c>
      <c r="AD33"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 s="59"/>
      <c r="AF33" s="59"/>
      <c r="AG33" s="59" t="s">
        <v>2467</v>
      </c>
      <c r="AH33" s="59" t="s">
        <v>2468</v>
      </c>
      <c r="AI33" s="60" t="s">
        <v>2469</v>
      </c>
    </row>
    <row r="34" spans="1:35" ht="42" customHeight="1" x14ac:dyDescent="0.35">
      <c r="A34" s="69">
        <f t="shared" si="0"/>
        <v>5</v>
      </c>
      <c r="B34" s="103" t="s">
        <v>2826</v>
      </c>
      <c r="C34" s="104" t="s">
        <v>3</v>
      </c>
      <c r="D34" s="105" t="s">
        <v>4</v>
      </c>
      <c r="E34" s="50" t="s">
        <v>85</v>
      </c>
      <c r="F34" s="51" t="s">
        <v>2968</v>
      </c>
      <c r="G34" s="50" t="s">
        <v>3045</v>
      </c>
      <c r="H34" s="52">
        <v>46257</v>
      </c>
      <c r="I34" s="53" t="s">
        <v>1573</v>
      </c>
      <c r="J34" s="53" t="s">
        <v>860</v>
      </c>
      <c r="K34" s="53" t="str">
        <f t="shared" si="1"/>
        <v>Residual Solvent Analyzer is an analyzers product from Young In Chromass for application-specific laboratory, engineering or industrial use.</v>
      </c>
      <c r="L34" s="53" t="str">
        <f t="shared" si="2"/>
        <v>Residual Solvent Analyzer from Young In Chromass for analyzers applications. Review configuration requirements and request technical information or a quotation from DIWAN.</v>
      </c>
      <c r="M34" s="53" t="s">
        <v>2020</v>
      </c>
      <c r="N34" s="62" t="s">
        <v>2672</v>
      </c>
      <c r="O34" s="54" t="str" cm="1">
        <f t="array" ref="O34">_xlfn.LET(_xlpm.n,LOWER(E34),_xlpm.c,LOWER(B34),_xlpm.t,_xlfn.IFS(OR(ISNUMBER(SEARCH("lens",_xlpm.n)),ISNUMBER(SEARCH("optic",_xlpm.n)),ISNUMBER(SEARCH("polarizer",_xlpm.n))),"precision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"),E34&amp;" is "&amp;_xlpm.art&amp;_xlpm.t&amp;" from "&amp;C34&amp;" designed for application-specific laboratory, engineering or industrial use. It belongs to DIWAN's "&amp;B34&amp;" portfolio; final configuration must be selected against performance, integration and compliance requirements.")</f>
        <v>Residual Solvent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4" s="56" t="str">
        <f t="shared" si="3"/>
        <v>Selection should confirm the model-specific operating range, capacity, accuracy, interfaces, utilities, accessories, standards, environmental limits and service requirements. Final capabilities depend on the approved Residual Solvent Analyzer configuration.</v>
      </c>
      <c r="Q34" s="56"/>
      <c r="R34" s="56" t="str">
        <f t="shared" si="4"/>
        <v>Analyzers applications; laboratory research, engineering development, quality control and industrial deployment where applicable. Suitability must be confirmed against the user's sample, process, environment and required standards.</v>
      </c>
      <c r="S34" s="56"/>
      <c r="T34" s="56" t="str">
        <f t="shared" si="5"/>
        <v>Residual Solvent Analyzer from Young In Chromass</v>
      </c>
      <c r="U34" s="56"/>
      <c r="V34" s="56" t="s">
        <v>2673</v>
      </c>
      <c r="W34" s="56" t="str">
        <f t="shared" si="6"/>
        <v>See other Analyzers products</v>
      </c>
      <c r="X34" s="56" t="str">
        <f t="shared" si="7"/>
        <v>Analyzers enquiry → website group enquiry form → category owner assignment</v>
      </c>
      <c r="Y34" s="56" t="str">
        <f t="shared" si="8"/>
        <v>Residual Solvent Analyzer, Analyzers, Young In Chromass, technical equipment, DIWAN</v>
      </c>
      <c r="Z34" s="56" t="s">
        <v>2247</v>
      </c>
      <c r="AA34" s="57">
        <v>46257</v>
      </c>
      <c r="AB34" s="56" t="s">
        <v>2465</v>
      </c>
      <c r="AC34" s="64" t="str">
        <f t="shared" si="9"/>
        <v>Content drafted - assets/specs pending</v>
      </c>
      <c r="AD34"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 s="59"/>
      <c r="AF34" s="59"/>
      <c r="AG34" s="59" t="s">
        <v>2467</v>
      </c>
      <c r="AH34" s="59" t="s">
        <v>2468</v>
      </c>
      <c r="AI34" s="60" t="s">
        <v>2469</v>
      </c>
    </row>
    <row r="35" spans="1:35" ht="42" customHeight="1" x14ac:dyDescent="0.35">
      <c r="A35" s="69">
        <f t="shared" si="0"/>
        <v>5</v>
      </c>
      <c r="B35" s="103" t="s">
        <v>2826</v>
      </c>
      <c r="C35" s="104" t="s">
        <v>3</v>
      </c>
      <c r="D35" s="105" t="s">
        <v>4</v>
      </c>
      <c r="E35" s="50" t="s">
        <v>86</v>
      </c>
      <c r="F35" s="51" t="s">
        <v>2968</v>
      </c>
      <c r="G35" s="50" t="s">
        <v>3045</v>
      </c>
      <c r="H35" s="52">
        <v>46257</v>
      </c>
      <c r="I35" s="53" t="s">
        <v>1574</v>
      </c>
      <c r="J35" s="53" t="s">
        <v>861</v>
      </c>
      <c r="K35" s="53" t="str">
        <f t="shared" si="1"/>
        <v>Residual Pesticide Analyzer is an analyzers product from Young In Chromass for application-specific laboratory, engineering or industrial use.</v>
      </c>
      <c r="L35" s="53" t="str">
        <f t="shared" si="2"/>
        <v>Residual Pesticide Analyzer from Young In Chromass for analyzers applications. Review configuration requirements and request technical information or a quotation from DIWAN.</v>
      </c>
      <c r="M35" s="53" t="s">
        <v>2020</v>
      </c>
      <c r="N35" s="62" t="s">
        <v>2672</v>
      </c>
      <c r="O35" s="54" t="str" cm="1">
        <f t="array" ref="O35">_xlfn.LET(_xlpm.n,LOWER(E35),_xlpm.c,LOWER(B35),_xlpm.t,_xlfn.IFS(OR(ISNUMBER(SEARCH("lens",_xlpm.n)),ISNUMBER(SEARCH("optic",_xlpm.n)),ISNUMBER(SEARCH("polarizer",_xlpm.n))),"precision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"),E35&amp;" is "&amp;_xlpm.art&amp;_xlpm.t&amp;" from "&amp;C35&amp;" designed for application-specific laboratory, engineering or industrial use. It belongs to DIWAN's "&amp;B35&amp;" portfolio; final configuration must be selected against performance, integration and compliance requirements.")</f>
        <v>Residual Pesticide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5" s="56" t="str">
        <f t="shared" si="3"/>
        <v>Selection should confirm the model-specific operating range, capacity, accuracy, interfaces, utilities, accessories, standards, environmental limits and service requirements. Final capabilities depend on the approved Residual Pesticide Analyzer configuration.</v>
      </c>
      <c r="Q35" s="56"/>
      <c r="R35" s="56" t="str">
        <f t="shared" si="4"/>
        <v>Analyzers applications; laboratory research, engineering development, quality control and industrial deployment where applicable. Suitability must be confirmed against the user's sample, process, environment and required standards.</v>
      </c>
      <c r="S35" s="56"/>
      <c r="T35" s="56" t="str">
        <f t="shared" si="5"/>
        <v>Residual Pesticide Analyzer from Young In Chromass</v>
      </c>
      <c r="U35" s="56"/>
      <c r="V35" s="56" t="s">
        <v>2673</v>
      </c>
      <c r="W35" s="56" t="str">
        <f t="shared" si="6"/>
        <v>See other Analyzers products</v>
      </c>
      <c r="X35" s="56" t="str">
        <f t="shared" si="7"/>
        <v>Analyzers enquiry → website group enquiry form → category owner assignment</v>
      </c>
      <c r="Y35" s="56" t="str">
        <f t="shared" si="8"/>
        <v>Residual Pesticide Analyzer, Analyzers, Young In Chromass, technical equipment, DIWAN</v>
      </c>
      <c r="Z35" s="56" t="s">
        <v>2247</v>
      </c>
      <c r="AA35" s="57">
        <v>46257</v>
      </c>
      <c r="AB35" s="56" t="s">
        <v>2465</v>
      </c>
      <c r="AC35" s="64" t="str">
        <f t="shared" si="9"/>
        <v>Content drafted - assets/specs pending</v>
      </c>
      <c r="AD35"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 s="59"/>
      <c r="AF35" s="59"/>
      <c r="AG35" s="59" t="s">
        <v>2467</v>
      </c>
      <c r="AH35" s="59" t="s">
        <v>2468</v>
      </c>
      <c r="AI35" s="60" t="s">
        <v>2469</v>
      </c>
    </row>
    <row r="36" spans="1:35" ht="42" customHeight="1" x14ac:dyDescent="0.35">
      <c r="A36" s="69">
        <f t="shared" si="0"/>
        <v>5</v>
      </c>
      <c r="B36" s="103" t="s">
        <v>2826</v>
      </c>
      <c r="C36" s="104" t="s">
        <v>3</v>
      </c>
      <c r="D36" s="105" t="s">
        <v>4</v>
      </c>
      <c r="E36" s="50" t="s">
        <v>99</v>
      </c>
      <c r="F36" s="51" t="s">
        <v>2968</v>
      </c>
      <c r="G36" s="50" t="s">
        <v>3045</v>
      </c>
      <c r="H36" s="52">
        <v>46257</v>
      </c>
      <c r="I36" s="53" t="s">
        <v>1588</v>
      </c>
      <c r="J36" s="53" t="s">
        <v>875</v>
      </c>
      <c r="K36" s="53" t="str">
        <f t="shared" si="1"/>
        <v>Amino Acid Analyzer is an analyzers product from Young In Chromass for application-specific laboratory, engineering or industrial use.</v>
      </c>
      <c r="L36" s="53" t="str">
        <f t="shared" si="2"/>
        <v>Amino Acid Analyzer from Young In Chromass for analyzers applications. Review configuration requirements and request technical information or a quotation from DIWAN.</v>
      </c>
      <c r="M36" s="53" t="s">
        <v>2020</v>
      </c>
      <c r="N36" s="62" t="s">
        <v>2672</v>
      </c>
      <c r="O36" s="54" t="str" cm="1">
        <f t="array" ref="O36">_xlfn.LET(_xlpm.n,LOWER(E36),_xlpm.c,LOWER(B36),_xlpm.t,_xlfn.IFS(OR(ISNUMBER(SEARCH("lens",_xlpm.n)),ISNUMBER(SEARCH("optic",_xlpm.n)),ISNUMBER(SEARCH("polarizer",_xlpm.n))),"precision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"),E36&amp;" is "&amp;_xlpm.art&amp;_xlpm.t&amp;" from "&amp;C36&amp;" designed for application-specific laboratory, engineering or industrial use. It belongs to DIWAN's "&amp;B36&amp;" portfolio; final configuration must be selected against performance, integration and compliance requirements.")</f>
        <v>Amino Acid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6" s="56" t="str">
        <f t="shared" si="3"/>
        <v>Selection should confirm the model-specific operating range, capacity, accuracy, interfaces, utilities, accessories, standards, environmental limits and service requirements. Final capabilities depend on the approved Amino Acid Analyzer configuration.</v>
      </c>
      <c r="Q36" s="56"/>
      <c r="R36" s="56" t="str">
        <f t="shared" si="4"/>
        <v>Analyzers applications; laboratory research, engineering development, quality control and industrial deployment where applicable. Suitability must be confirmed against the user's sample, process, environment and required standards.</v>
      </c>
      <c r="S36" s="56"/>
      <c r="T36" s="56" t="str">
        <f t="shared" si="5"/>
        <v>Amino Acid Analyzer from Young In Chromass</v>
      </c>
      <c r="U36" s="56"/>
      <c r="V36" s="56" t="s">
        <v>2673</v>
      </c>
      <c r="W36" s="56" t="str">
        <f t="shared" si="6"/>
        <v>See other Analyzers products</v>
      </c>
      <c r="X36" s="56" t="str">
        <f t="shared" si="7"/>
        <v>Analyzers enquiry → website group enquiry form → category owner assignment</v>
      </c>
      <c r="Y36" s="56" t="str">
        <f t="shared" si="8"/>
        <v>Amino Acid Analyzer, Analyzers, Young In Chromass, technical equipment, DIWAN</v>
      </c>
      <c r="Z36" s="56" t="s">
        <v>2247</v>
      </c>
      <c r="AA36" s="57">
        <v>46257</v>
      </c>
      <c r="AB36" s="56" t="s">
        <v>2465</v>
      </c>
      <c r="AC36" s="64" t="str">
        <f t="shared" si="9"/>
        <v>Content drafted - assets/specs pending</v>
      </c>
      <c r="AD36"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 s="59"/>
      <c r="AF36" s="59"/>
      <c r="AG36" s="59" t="s">
        <v>2467</v>
      </c>
      <c r="AH36" s="59" t="s">
        <v>2468</v>
      </c>
      <c r="AI36" s="60" t="s">
        <v>2469</v>
      </c>
    </row>
    <row r="37" spans="1:35" ht="42" customHeight="1" x14ac:dyDescent="0.35">
      <c r="A37" s="69">
        <f t="shared" si="0"/>
        <v>5</v>
      </c>
      <c r="B37" s="103" t="s">
        <v>2826</v>
      </c>
      <c r="C37" s="104" t="s">
        <v>3</v>
      </c>
      <c r="D37" s="105" t="s">
        <v>4</v>
      </c>
      <c r="E37" s="50" t="s">
        <v>100</v>
      </c>
      <c r="F37" s="51" t="s">
        <v>2968</v>
      </c>
      <c r="G37" s="50" t="s">
        <v>3045</v>
      </c>
      <c r="H37" s="52">
        <v>46257</v>
      </c>
      <c r="I37" s="53" t="s">
        <v>1589</v>
      </c>
      <c r="J37" s="53" t="s">
        <v>876</v>
      </c>
      <c r="K37" s="53" t="str">
        <f t="shared" si="1"/>
        <v>Carbamate Analyzer is an analyzers product from Young In Chromass for application-specific laboratory, engineering or industrial use.</v>
      </c>
      <c r="L37" s="53" t="str">
        <f t="shared" si="2"/>
        <v>Carbamate Analyzer from Young In Chromass for analyzers applications. Review configuration requirements and request technical information or a quotation from DIWAN.</v>
      </c>
      <c r="M37" s="53" t="s">
        <v>2020</v>
      </c>
      <c r="N37" s="62" t="s">
        <v>2672</v>
      </c>
      <c r="O37" s="54" t="str" cm="1">
        <f t="array" ref="O37">_xlfn.LET(_xlpm.n,LOWER(E37),_xlpm.c,LOWER(B37),_xlpm.t,_xlfn.IFS(OR(ISNUMBER(SEARCH("lens",_xlpm.n)),ISNUMBER(SEARCH("optic",_xlpm.n)),ISNUMBER(SEARCH("polarizer",_xlpm.n))),"precision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"),E37&amp;" is "&amp;_xlpm.art&amp;_xlpm.t&amp;" from "&amp;C37&amp;" designed for application-specific laboratory, engineering or industrial use. It belongs to DIWAN's "&amp;B37&amp;" portfolio; final configuration must be selected against performance, integration and compliance requirements.")</f>
        <v>Carbamate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7" s="56" t="str">
        <f t="shared" si="3"/>
        <v>Selection should confirm the model-specific operating range, capacity, accuracy, interfaces, utilities, accessories, standards, environmental limits and service requirements. Final capabilities depend on the approved Carbamate Analyzer configuration.</v>
      </c>
      <c r="Q37" s="56"/>
      <c r="R37" s="56" t="str">
        <f t="shared" si="4"/>
        <v>Analyzers applications; laboratory research, engineering development, quality control and industrial deployment where applicable. Suitability must be confirmed against the user's sample, process, environment and required standards.</v>
      </c>
      <c r="S37" s="56"/>
      <c r="T37" s="56" t="str">
        <f t="shared" si="5"/>
        <v>Carbamate Analyzer from Young In Chromass</v>
      </c>
      <c r="U37" s="56"/>
      <c r="V37" s="56" t="s">
        <v>2673</v>
      </c>
      <c r="W37" s="56" t="str">
        <f t="shared" si="6"/>
        <v>See other Analyzers products</v>
      </c>
      <c r="X37" s="56" t="str">
        <f t="shared" si="7"/>
        <v>Analyzers enquiry → website group enquiry form → category owner assignment</v>
      </c>
      <c r="Y37" s="56" t="str">
        <f t="shared" si="8"/>
        <v>Carbamate Analyzer, Analyzers, Young In Chromass, technical equipment, DIWAN</v>
      </c>
      <c r="Z37" s="56" t="s">
        <v>2247</v>
      </c>
      <c r="AA37" s="57">
        <v>46257</v>
      </c>
      <c r="AB37" s="56" t="s">
        <v>2465</v>
      </c>
      <c r="AC37" s="64" t="str">
        <f t="shared" si="9"/>
        <v>Content drafted - assets/specs pending</v>
      </c>
      <c r="AD37"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 s="59"/>
      <c r="AF37" s="59"/>
      <c r="AG37" s="59" t="s">
        <v>2467</v>
      </c>
      <c r="AH37" s="59" t="s">
        <v>2468</v>
      </c>
      <c r="AI37" s="60" t="s">
        <v>2469</v>
      </c>
    </row>
    <row r="38" spans="1:35" ht="42" customHeight="1" x14ac:dyDescent="0.35">
      <c r="A38" s="69">
        <f t="shared" si="0"/>
        <v>5</v>
      </c>
      <c r="B38" s="103" t="s">
        <v>2826</v>
      </c>
      <c r="C38" s="104" t="s">
        <v>3</v>
      </c>
      <c r="D38" s="105" t="s">
        <v>4</v>
      </c>
      <c r="E38" s="50" t="s">
        <v>101</v>
      </c>
      <c r="F38" s="51" t="s">
        <v>2968</v>
      </c>
      <c r="G38" s="50" t="s">
        <v>3045</v>
      </c>
      <c r="H38" s="52">
        <v>46257</v>
      </c>
      <c r="I38" s="53" t="s">
        <v>1590</v>
      </c>
      <c r="J38" s="53" t="s">
        <v>877</v>
      </c>
      <c r="K38" s="53" t="str">
        <f t="shared" si="1"/>
        <v>Catecholamine Analyzer is an analyzers product from Young In Chromass for application-specific laboratory, engineering or industrial use.</v>
      </c>
      <c r="L38" s="53" t="str">
        <f t="shared" si="2"/>
        <v>Catecholamine Analyzer from Young In Chromass for analyzers applications. Review configuration requirements and request technical information or a quotation from DIWAN.</v>
      </c>
      <c r="M38" s="53" t="s">
        <v>2020</v>
      </c>
      <c r="N38" s="62" t="s">
        <v>2672</v>
      </c>
      <c r="O38" s="54" t="str" cm="1">
        <f t="array" ref="O38">_xlfn.LET(_xlpm.n,LOWER(E38),_xlpm.c,LOWER(B38),_xlpm.t,_xlfn.IFS(OR(ISNUMBER(SEARCH("lens",_xlpm.n)),ISNUMBER(SEARCH("optic",_xlpm.n)),ISNUMBER(SEARCH("polarizer",_xlpm.n))),"precision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"),E38&amp;" is "&amp;_xlpm.art&amp;_xlpm.t&amp;" from "&amp;C38&amp;" designed for application-specific laboratory, engineering or industrial use. It belongs to DIWAN's "&amp;B38&amp;" portfolio; final configuration must be selected against performance, integration and compliance requirements.")</f>
        <v>Catecholamine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8" s="56" t="str">
        <f t="shared" si="3"/>
        <v>Selection should confirm the model-specific operating range, capacity, accuracy, interfaces, utilities, accessories, standards, environmental limits and service requirements. Final capabilities depend on the approved Catecholamine Analyzer configuration.</v>
      </c>
      <c r="Q38" s="56"/>
      <c r="R38" s="56" t="str">
        <f t="shared" si="4"/>
        <v>Analyzers applications; laboratory research, engineering development, quality control and industrial deployment where applicable. Suitability must be confirmed against the user's sample, process, environment and required standards.</v>
      </c>
      <c r="S38" s="56"/>
      <c r="T38" s="56" t="str">
        <f t="shared" si="5"/>
        <v>Catecholamine Analyzer from Young In Chromass</v>
      </c>
      <c r="U38" s="56"/>
      <c r="V38" s="56" t="s">
        <v>2673</v>
      </c>
      <c r="W38" s="56" t="str">
        <f t="shared" si="6"/>
        <v>See other Analyzers products</v>
      </c>
      <c r="X38" s="56" t="str">
        <f t="shared" si="7"/>
        <v>Analyzers enquiry → website group enquiry form → category owner assignment</v>
      </c>
      <c r="Y38" s="56" t="str">
        <f t="shared" si="8"/>
        <v>Catecholamine Analyzer, Analyzers, Young In Chromass, technical equipment, DIWAN</v>
      </c>
      <c r="Z38" s="56" t="s">
        <v>2247</v>
      </c>
      <c r="AA38" s="57">
        <v>46257</v>
      </c>
      <c r="AB38" s="56" t="s">
        <v>2465</v>
      </c>
      <c r="AC38" s="64" t="str">
        <f t="shared" si="9"/>
        <v>Content drafted - assets/specs pending</v>
      </c>
      <c r="AD38"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 s="59"/>
      <c r="AF38" s="59"/>
      <c r="AG38" s="59" t="s">
        <v>2467</v>
      </c>
      <c r="AH38" s="59" t="s">
        <v>2468</v>
      </c>
      <c r="AI38" s="60" t="s">
        <v>2469</v>
      </c>
    </row>
    <row r="39" spans="1:35" ht="42" customHeight="1" x14ac:dyDescent="0.35">
      <c r="A39" s="69">
        <f t="shared" si="0"/>
        <v>5</v>
      </c>
      <c r="B39" s="103" t="s">
        <v>2826</v>
      </c>
      <c r="C39" s="104" t="s">
        <v>3</v>
      </c>
      <c r="D39" s="105" t="s">
        <v>4</v>
      </c>
      <c r="E39" s="50" t="s">
        <v>102</v>
      </c>
      <c r="F39" s="51" t="s">
        <v>2968</v>
      </c>
      <c r="G39" s="50" t="s">
        <v>3045</v>
      </c>
      <c r="H39" s="52">
        <v>46257</v>
      </c>
      <c r="I39" s="53" t="s">
        <v>1591</v>
      </c>
      <c r="J39" s="53" t="s">
        <v>878</v>
      </c>
      <c r="K39" s="53" t="str">
        <f t="shared" si="1"/>
        <v>Polyphenol Analyzer is an analyzers product from Young In Chromass for application-specific laboratory, engineering or industrial use.</v>
      </c>
      <c r="L39" s="53" t="str">
        <f t="shared" si="2"/>
        <v>Polyphenol Analyzer from Young In Chromass for analyzers applications. Review configuration requirements and request technical information or a quotation from DIWAN.</v>
      </c>
      <c r="M39" s="53" t="s">
        <v>2020</v>
      </c>
      <c r="N39" s="62" t="s">
        <v>2672</v>
      </c>
      <c r="O39" s="54" t="str" cm="1">
        <f t="array" ref="O39">_xlfn.LET(_xlpm.n,LOWER(E39),_xlpm.c,LOWER(B39),_xlpm.t,_xlfn.IFS(OR(ISNUMBER(SEARCH("lens",_xlpm.n)),ISNUMBER(SEARCH("optic",_xlpm.n)),ISNUMBER(SEARCH("polarizer",_xlpm.n))),"precision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"),E39&amp;" is "&amp;_xlpm.art&amp;_xlpm.t&amp;" from "&amp;C39&amp;" designed for application-specific laboratory, engineering or industrial use. It belongs to DIWAN's "&amp;B39&amp;" portfolio; final configuration must be selected against performance, integration and compliance requirements.")</f>
        <v>Polyphenol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39" s="56" t="str">
        <f t="shared" si="3"/>
        <v>Selection should confirm the model-specific operating range, capacity, accuracy, interfaces, utilities, accessories, standards, environmental limits and service requirements. Final capabilities depend on the approved Polyphenol Analyzer configuration.</v>
      </c>
      <c r="Q39" s="56"/>
      <c r="R39" s="56" t="str">
        <f t="shared" si="4"/>
        <v>Analyzers applications; laboratory research, engineering development, quality control and industrial deployment where applicable. Suitability must be confirmed against the user's sample, process, environment and required standards.</v>
      </c>
      <c r="S39" s="56"/>
      <c r="T39" s="56" t="str">
        <f t="shared" si="5"/>
        <v>Polyphenol Analyzer from Young In Chromass</v>
      </c>
      <c r="U39" s="56"/>
      <c r="V39" s="56" t="s">
        <v>2673</v>
      </c>
      <c r="W39" s="56" t="str">
        <f t="shared" si="6"/>
        <v>See other Analyzers products</v>
      </c>
      <c r="X39" s="56" t="str">
        <f t="shared" si="7"/>
        <v>Analyzers enquiry → website group enquiry form → category owner assignment</v>
      </c>
      <c r="Y39" s="56" t="str">
        <f t="shared" si="8"/>
        <v>Polyphenol Analyzer, Analyzers, Young In Chromass, technical equipment, DIWAN</v>
      </c>
      <c r="Z39" s="56" t="s">
        <v>2247</v>
      </c>
      <c r="AA39" s="57">
        <v>46257</v>
      </c>
      <c r="AB39" s="56" t="s">
        <v>2465</v>
      </c>
      <c r="AC39" s="64" t="str">
        <f t="shared" si="9"/>
        <v>Content drafted - assets/specs pending</v>
      </c>
      <c r="AD39"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 s="59"/>
      <c r="AF39" s="59"/>
      <c r="AG39" s="59" t="s">
        <v>2467</v>
      </c>
      <c r="AH39" s="59" t="s">
        <v>2468</v>
      </c>
      <c r="AI39" s="60" t="s">
        <v>2469</v>
      </c>
    </row>
    <row r="40" spans="1:35" ht="42" customHeight="1" x14ac:dyDescent="0.35">
      <c r="A40" s="69">
        <f t="shared" si="0"/>
        <v>5</v>
      </c>
      <c r="B40" s="103" t="s">
        <v>2826</v>
      </c>
      <c r="C40" s="104" t="s">
        <v>3</v>
      </c>
      <c r="D40" s="105" t="s">
        <v>4</v>
      </c>
      <c r="E40" s="50" t="s">
        <v>103</v>
      </c>
      <c r="F40" s="51" t="s">
        <v>2968</v>
      </c>
      <c r="G40" s="50" t="s">
        <v>3045</v>
      </c>
      <c r="H40" s="52">
        <v>46257</v>
      </c>
      <c r="I40" s="53" t="s">
        <v>1592</v>
      </c>
      <c r="J40" s="53" t="s">
        <v>879</v>
      </c>
      <c r="K40" s="53" t="str">
        <f t="shared" si="1"/>
        <v>Sugar Analyzer is an analyzers product from Young In Chromass for application-specific laboratory, engineering or industrial use.</v>
      </c>
      <c r="L40" s="53" t="str">
        <f t="shared" si="2"/>
        <v>Sugar Analyzer from Young In Chromass for analyzers applications. Review configuration requirements and request technical information or a quotation from DIWAN.</v>
      </c>
      <c r="M40" s="53" t="s">
        <v>2020</v>
      </c>
      <c r="N40" s="62" t="s">
        <v>2672</v>
      </c>
      <c r="O40" s="54" t="str" cm="1">
        <f t="array" ref="O40">_xlfn.LET(_xlpm.n,LOWER(E40),_xlpm.c,LOWER(B40),_xlpm.t,_xlfn.IFS(OR(ISNUMBER(SEARCH("lens",_xlpm.n)),ISNUMBER(SEARCH("optic",_xlpm.n)),ISNUMBER(SEARCH("polarizer",_xlpm.n))),"precision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"),E40&amp;" is "&amp;_xlpm.art&amp;_xlpm.t&amp;" from "&amp;C40&amp;" designed for application-specific laboratory, engineering or industrial use. It belongs to DIWAN's "&amp;B40&amp;" portfolio; final configuration must be selected against performance, integration and compliance requirements.")</f>
        <v>Sugar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40" s="56" t="str">
        <f t="shared" si="3"/>
        <v>Selection should confirm the model-specific operating range, capacity, accuracy, interfaces, utilities, accessories, standards, environmental limits and service requirements. Final capabilities depend on the approved Sugar Analyzer configuration.</v>
      </c>
      <c r="Q40" s="56"/>
      <c r="R40" s="56" t="str">
        <f t="shared" si="4"/>
        <v>Analyzers applications; laboratory research, engineering development, quality control and industrial deployment where applicable. Suitability must be confirmed against the user's sample, process, environment and required standards.</v>
      </c>
      <c r="S40" s="56"/>
      <c r="T40" s="56" t="str">
        <f t="shared" si="5"/>
        <v>Sugar Analyzer from Young In Chromass</v>
      </c>
      <c r="U40" s="56"/>
      <c r="V40" s="56" t="s">
        <v>2673</v>
      </c>
      <c r="W40" s="56" t="str">
        <f t="shared" si="6"/>
        <v>See other Analyzers products</v>
      </c>
      <c r="X40" s="56" t="str">
        <f t="shared" si="7"/>
        <v>Analyzers enquiry → website group enquiry form → category owner assignment</v>
      </c>
      <c r="Y40" s="56" t="str">
        <f t="shared" si="8"/>
        <v>Sugar Analyzer, Analyzers, Young In Chromass, technical equipment, DIWAN</v>
      </c>
      <c r="Z40" s="56" t="s">
        <v>2247</v>
      </c>
      <c r="AA40" s="57">
        <v>46257</v>
      </c>
      <c r="AB40" s="56" t="s">
        <v>2465</v>
      </c>
      <c r="AC40" s="64" t="str">
        <f t="shared" si="9"/>
        <v>Content drafted - assets/specs pending</v>
      </c>
      <c r="AD40"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 s="59"/>
      <c r="AF40" s="59"/>
      <c r="AG40" s="59" t="s">
        <v>2467</v>
      </c>
      <c r="AH40" s="59" t="s">
        <v>2468</v>
      </c>
      <c r="AI40" s="60" t="s">
        <v>2469</v>
      </c>
    </row>
    <row r="41" spans="1:35" ht="42" customHeight="1" x14ac:dyDescent="0.35">
      <c r="A41" s="69">
        <f t="shared" si="0"/>
        <v>5</v>
      </c>
      <c r="B41" s="103" t="s">
        <v>2826</v>
      </c>
      <c r="C41" s="104" t="s">
        <v>3</v>
      </c>
      <c r="D41" s="105" t="s">
        <v>4</v>
      </c>
      <c r="E41" s="50" t="s">
        <v>104</v>
      </c>
      <c r="F41" s="51" t="s">
        <v>2968</v>
      </c>
      <c r="G41" s="50" t="s">
        <v>3045</v>
      </c>
      <c r="H41" s="52">
        <v>46257</v>
      </c>
      <c r="I41" s="53" t="s">
        <v>1593</v>
      </c>
      <c r="J41" s="53" t="s">
        <v>880</v>
      </c>
      <c r="K41" s="53" t="str">
        <f t="shared" si="1"/>
        <v>Preservative Analyzer is an analyzers product from Young In Chromass for application-specific laboratory, engineering or industrial use.</v>
      </c>
      <c r="L41" s="53" t="str">
        <f t="shared" si="2"/>
        <v>Preservative Analyzer from Young In Chromass for analyzers applications. Review configuration requirements and request technical information or a quotation from DIWAN.</v>
      </c>
      <c r="M41" s="53" t="s">
        <v>2020</v>
      </c>
      <c r="N41" s="62" t="s">
        <v>2672</v>
      </c>
      <c r="O41" s="54" t="str" cm="1">
        <f t="array" ref="O41">_xlfn.LET(_xlpm.n,LOWER(E41),_xlpm.c,LOWER(B41),_xlpm.t,_xlfn.IFS(OR(ISNUMBER(SEARCH("lens",_xlpm.n)),ISNUMBER(SEARCH("optic",_xlpm.n)),ISNUMBER(SEARCH("polarizer",_xlpm.n))),"precision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"),E41&amp;" is "&amp;_xlpm.art&amp;_xlpm.t&amp;" from "&amp;C41&amp;" designed for application-specific laboratory, engineering or industrial use. It belongs to DIWAN's "&amp;B41&amp;" portfolio; final configuration must be selected against performance, integration and compliance requirements.")</f>
        <v>Preservative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41" s="56" t="str">
        <f t="shared" si="3"/>
        <v>Selection should confirm the model-specific operating range, capacity, accuracy, interfaces, utilities, accessories, standards, environmental limits and service requirements. Final capabilities depend on the approved Preservative Analyzer configuration.</v>
      </c>
      <c r="Q41" s="56"/>
      <c r="R41" s="56" t="str">
        <f t="shared" si="4"/>
        <v>Analyzers applications; laboratory research, engineering development, quality control and industrial deployment where applicable. Suitability must be confirmed against the user's sample, process, environment and required standards.</v>
      </c>
      <c r="S41" s="56"/>
      <c r="T41" s="56" t="str">
        <f t="shared" si="5"/>
        <v>Preservative Analyzer from Young In Chromass</v>
      </c>
      <c r="U41" s="56"/>
      <c r="V41" s="56" t="s">
        <v>2673</v>
      </c>
      <c r="W41" s="56" t="str">
        <f t="shared" si="6"/>
        <v>See other Analyzers products</v>
      </c>
      <c r="X41" s="56" t="str">
        <f t="shared" si="7"/>
        <v>Analyzers enquiry → website group enquiry form → category owner assignment</v>
      </c>
      <c r="Y41" s="56" t="str">
        <f t="shared" si="8"/>
        <v>Preservative Analyzer, Analyzers, Young In Chromass, technical equipment, DIWAN</v>
      </c>
      <c r="Z41" s="56" t="s">
        <v>2247</v>
      </c>
      <c r="AA41" s="57">
        <v>46257</v>
      </c>
      <c r="AB41" s="56" t="s">
        <v>2465</v>
      </c>
      <c r="AC41" s="64" t="str">
        <f t="shared" si="9"/>
        <v>Content drafted - assets/specs pending</v>
      </c>
      <c r="AD41"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 s="59"/>
      <c r="AF41" s="59"/>
      <c r="AG41" s="59" t="s">
        <v>2467</v>
      </c>
      <c r="AH41" s="59" t="s">
        <v>2468</v>
      </c>
      <c r="AI41" s="60" t="s">
        <v>2469</v>
      </c>
    </row>
    <row r="42" spans="1:35" ht="42" customHeight="1" x14ac:dyDescent="0.35">
      <c r="A42" s="69">
        <f t="shared" si="0"/>
        <v>5</v>
      </c>
      <c r="B42" s="103" t="s">
        <v>2826</v>
      </c>
      <c r="C42" s="104" t="s">
        <v>3</v>
      </c>
      <c r="D42" s="105" t="s">
        <v>4</v>
      </c>
      <c r="E42" s="50" t="s">
        <v>105</v>
      </c>
      <c r="F42" s="51" t="s">
        <v>2968</v>
      </c>
      <c r="G42" s="50" t="s">
        <v>3045</v>
      </c>
      <c r="H42" s="52">
        <v>46257</v>
      </c>
      <c r="I42" s="53" t="s">
        <v>1594</v>
      </c>
      <c r="J42" s="53" t="s">
        <v>881</v>
      </c>
      <c r="K42" s="53" t="str">
        <f t="shared" si="1"/>
        <v>Vitamin Analyzer is an analyzers product from Young In Chromass for application-specific laboratory, engineering or industrial use.</v>
      </c>
      <c r="L42" s="53" t="str">
        <f t="shared" si="2"/>
        <v>Vitamin Analyzer from Young In Chromass for analyzers applications. Review configuration requirements and request technical information or a quotation from DIWAN.</v>
      </c>
      <c r="M42" s="53" t="s">
        <v>2020</v>
      </c>
      <c r="N42" s="62" t="s">
        <v>2672</v>
      </c>
      <c r="O42" s="54" t="str" cm="1">
        <f t="array" ref="O42">_xlfn.LET(_xlpm.n,LOWER(E42),_xlpm.c,LOWER(B42),_xlpm.t,_xlfn.IFS(OR(ISNUMBER(SEARCH("lens",_xlpm.n)),ISNUMBER(SEARCH("optic",_xlpm.n)),ISNUMBER(SEARCH("polarizer",_xlpm.n))),"precision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"),E42&amp;" is "&amp;_xlpm.art&amp;_xlpm.t&amp;" from "&amp;C42&amp;" designed for application-specific laboratory, engineering or industrial use. It belongs to DIWAN's "&amp;B42&amp;" portfolio; final configuration must be selected against performance, integration and compliance requirements.")</f>
        <v>Vitamin Analyzer is an analytical laboratory instrument from Young In Chromass designed for application-specific laboratory, engineering or industrial use. It belongs to DIWAN's Analyzers portfolio; final configuration must be selected against performance, integration and compliance requirements.</v>
      </c>
      <c r="P42" s="56" t="str">
        <f t="shared" si="3"/>
        <v>Selection should confirm the model-specific operating range, capacity, accuracy, interfaces, utilities, accessories, standards, environmental limits and service requirements. Final capabilities depend on the approved Vitamin Analyzer configuration.</v>
      </c>
      <c r="Q42" s="56"/>
      <c r="R42" s="56" t="str">
        <f t="shared" si="4"/>
        <v>Analyzers applications; laboratory research, engineering development, quality control and industrial deployment where applicable. Suitability must be confirmed against the user's sample, process, environment and required standards.</v>
      </c>
      <c r="S42" s="56"/>
      <c r="T42" s="56" t="str">
        <f t="shared" si="5"/>
        <v>Vitamin Analyzer from Young In Chromass</v>
      </c>
      <c r="U42" s="56"/>
      <c r="V42" s="56" t="s">
        <v>2673</v>
      </c>
      <c r="W42" s="56" t="str">
        <f t="shared" si="6"/>
        <v>See other Analyzers products</v>
      </c>
      <c r="X42" s="56" t="str">
        <f t="shared" si="7"/>
        <v>Analyzers enquiry → website group enquiry form → category owner assignment</v>
      </c>
      <c r="Y42" s="56" t="str">
        <f t="shared" si="8"/>
        <v>Vitamin Analyzer, Analyzers, Young In Chromass, technical equipment, DIWAN</v>
      </c>
      <c r="Z42" s="56" t="s">
        <v>2247</v>
      </c>
      <c r="AA42" s="57">
        <v>46257</v>
      </c>
      <c r="AB42" s="56" t="s">
        <v>2465</v>
      </c>
      <c r="AC42" s="64" t="str">
        <f t="shared" si="9"/>
        <v>Content drafted - assets/specs pending</v>
      </c>
      <c r="AD42"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 s="59"/>
      <c r="AF42" s="59"/>
      <c r="AG42" s="59" t="s">
        <v>2467</v>
      </c>
      <c r="AH42" s="59" t="s">
        <v>2468</v>
      </c>
      <c r="AI42" s="60" t="s">
        <v>2469</v>
      </c>
    </row>
    <row r="43" spans="1:35" ht="42" customHeight="1" x14ac:dyDescent="0.35">
      <c r="A43" s="69">
        <f t="shared" si="0"/>
        <v>6</v>
      </c>
      <c r="B43" s="103" t="s">
        <v>2825</v>
      </c>
      <c r="C43" s="104" t="s">
        <v>3</v>
      </c>
      <c r="D43" s="105" t="s">
        <v>4</v>
      </c>
      <c r="E43" s="50" t="s">
        <v>61</v>
      </c>
      <c r="F43" s="51" t="s">
        <v>2969</v>
      </c>
      <c r="G43" s="50" t="s">
        <v>3045</v>
      </c>
      <c r="H43" s="52">
        <v>46257</v>
      </c>
      <c r="I43" s="53" t="s">
        <v>1549</v>
      </c>
      <c r="J43" s="53" t="s">
        <v>836</v>
      </c>
      <c r="K43" s="53" t="str">
        <f t="shared" si="1"/>
        <v>3x00A Series Liquid Autosampler is an autosamplers product from Young In Chromass for application-specific laboratory, engineering or industrial use.</v>
      </c>
      <c r="L43" s="53" t="str">
        <f t="shared" si="2"/>
        <v>3x00A Series Liquid Autosampler from Young In Chromass for autosamplers applications. Review configuration requirements and request technical information or a quotation from DIWAN.</v>
      </c>
      <c r="M43" s="53" t="s">
        <v>2020</v>
      </c>
      <c r="N43" s="62" t="s">
        <v>2672</v>
      </c>
      <c r="O43" s="54" t="str" cm="1">
        <f t="array" ref="O43">_xlfn.LET(_xlpm.n,LOWER(E43),_xlpm.c,LOWER(B43),_xlpm.t,_xlfn.IFS(OR(ISNUMBER(SEARCH("lens",_xlpm.n)),ISNUMBER(SEARCH("optic",_xlpm.n)),ISNUMBER(SEARCH("polarizer",_xlpm.n))),"precision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"),E43&amp;" is "&amp;_xlpm.art&amp;_xlpm.t&amp;" from "&amp;C43&amp;" designed for application-specific laboratory, engineering or industrial use. It belongs to DIWAN's "&amp;B43&amp;" portfolio; final configuration must be selected against performance, integration and compliance requirements.")</f>
        <v>3x00A Series Liquid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3" s="56" t="str">
        <f t="shared" si="3"/>
        <v>Selection should confirm the model-specific operating range, capacity, accuracy, interfaces, utilities, accessories, standards, environmental limits and service requirements. Final capabilities depend on the approved 3x00A Series Liquid Autosampler configuration.</v>
      </c>
      <c r="Q43" s="56"/>
      <c r="R43" s="56" t="str">
        <f t="shared" si="4"/>
        <v>Autosamplers applications; laboratory research, engineering development, quality control and industrial deployment where applicable. Suitability must be confirmed against the user's sample, process, environment and required standards.</v>
      </c>
      <c r="S43" s="56"/>
      <c r="T43" s="56" t="str">
        <f t="shared" si="5"/>
        <v>3x00A Series Liquid Autosampler from Young In Chromass</v>
      </c>
      <c r="U43" s="56"/>
      <c r="V43" s="56" t="s">
        <v>2673</v>
      </c>
      <c r="W43" s="56" t="str">
        <f t="shared" si="6"/>
        <v>See other Autosamplers products</v>
      </c>
      <c r="X43" s="56" t="str">
        <f t="shared" si="7"/>
        <v>Autosamplers enquiry → website group enquiry form → category owner assignment</v>
      </c>
      <c r="Y43" s="56" t="str">
        <f t="shared" si="8"/>
        <v>3x00A Series Liquid Autosampler, Autosamplers, Young In Chromass, technical equipment, DIWAN</v>
      </c>
      <c r="Z43" s="56" t="s">
        <v>2247</v>
      </c>
      <c r="AA43" s="57">
        <v>46257</v>
      </c>
      <c r="AB43" s="56" t="s">
        <v>2465</v>
      </c>
      <c r="AC43" s="64" t="str">
        <f t="shared" si="9"/>
        <v>Content drafted - assets/specs pending</v>
      </c>
      <c r="AD43"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 s="59"/>
      <c r="AF43" s="59"/>
      <c r="AG43" s="59" t="s">
        <v>2467</v>
      </c>
      <c r="AH43" s="59" t="s">
        <v>2468</v>
      </c>
      <c r="AI43" s="60" t="s">
        <v>2469</v>
      </c>
    </row>
    <row r="44" spans="1:35" ht="42" customHeight="1" x14ac:dyDescent="0.35">
      <c r="A44" s="69">
        <f t="shared" si="0"/>
        <v>6</v>
      </c>
      <c r="B44" s="103" t="s">
        <v>2825</v>
      </c>
      <c r="C44" s="104" t="s">
        <v>3</v>
      </c>
      <c r="D44" s="105" t="s">
        <v>4</v>
      </c>
      <c r="E44" s="50" t="s">
        <v>68</v>
      </c>
      <c r="F44" s="51" t="s">
        <v>2969</v>
      </c>
      <c r="G44" s="50" t="s">
        <v>3045</v>
      </c>
      <c r="H44" s="52">
        <v>46257</v>
      </c>
      <c r="I44" s="53" t="s">
        <v>1556</v>
      </c>
      <c r="J44" s="53" t="s">
        <v>843</v>
      </c>
      <c r="K44" s="53" t="str">
        <f t="shared" si="1"/>
        <v>ChroZen PAL RSI/RTC Multiple Injection Autosampler is an autosamplers product from Young In Chromass for application-specific laboratory, engineering or industrial use.</v>
      </c>
      <c r="L44" s="53" t="str">
        <f t="shared" si="2"/>
        <v>ChroZen PAL RSI/RTC Multiple Injection Autosampler from Young In Chromass for autosamplers applications. Review configuration requirements and request technical information or a quotation from DIWAN.</v>
      </c>
      <c r="M44" s="53" t="s">
        <v>2020</v>
      </c>
      <c r="N44" s="62" t="s">
        <v>2672</v>
      </c>
      <c r="O44" s="54" t="str" cm="1">
        <f t="array" ref="O44">_xlfn.LET(_xlpm.n,LOWER(E44),_xlpm.c,LOWER(B44),_xlpm.t,_xlfn.IFS(OR(ISNUMBER(SEARCH("lens",_xlpm.n)),ISNUMBER(SEARCH("optic",_xlpm.n)),ISNUMBER(SEARCH("polarizer",_xlpm.n))),"precision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"),E44&amp;" is "&amp;_xlpm.art&amp;_xlpm.t&amp;" from "&amp;C44&amp;" designed for application-specific laboratory, engineering or industrial use. It belongs to DIWAN's "&amp;B44&amp;" portfolio; final configuration must be selected against performance, integration and compliance requirements.")</f>
        <v>ChroZen PAL RSI/RTC Multiple Injection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4" s="56" t="str">
        <f t="shared" si="3"/>
        <v>Selection should confirm the model-specific operating range, capacity, accuracy, interfaces, utilities, accessories, standards, environmental limits and service requirements. Final capabilities depend on the approved ChroZen PAL RSI/RTC Multiple Injection Autosampler configuration.</v>
      </c>
      <c r="Q44" s="56"/>
      <c r="R44" s="56" t="str">
        <f t="shared" si="4"/>
        <v>Autosamplers applications; laboratory research, engineering development, quality control and industrial deployment where applicable. Suitability must be confirmed against the user's sample, process, environment and required standards.</v>
      </c>
      <c r="S44" s="56"/>
      <c r="T44" s="56" t="str">
        <f t="shared" si="5"/>
        <v>ChroZen PAL RSI/RTC Multiple Injection Autosampler from Young In Chromass</v>
      </c>
      <c r="U44" s="56"/>
      <c r="V44" s="56" t="s">
        <v>2673</v>
      </c>
      <c r="W44" s="56" t="str">
        <f t="shared" si="6"/>
        <v>See other Autosamplers products</v>
      </c>
      <c r="X44" s="56" t="str">
        <f t="shared" si="7"/>
        <v>Autosamplers enquiry → website group enquiry form → category owner assignment</v>
      </c>
      <c r="Y44" s="56" t="str">
        <f t="shared" si="8"/>
        <v>ChroZen PAL RSI/RTC Multiple Injection Autosampler, Autosamplers, Young In Chromass, technical equipment, DIWAN</v>
      </c>
      <c r="Z44" s="56" t="s">
        <v>2247</v>
      </c>
      <c r="AA44" s="57">
        <v>46257</v>
      </c>
      <c r="AB44" s="56" t="s">
        <v>2465</v>
      </c>
      <c r="AC44" s="64" t="str">
        <f t="shared" si="9"/>
        <v>Content drafted - assets/specs pending</v>
      </c>
      <c r="AD44"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 s="59"/>
      <c r="AF44" s="59"/>
      <c r="AG44" s="59" t="s">
        <v>2467</v>
      </c>
      <c r="AH44" s="59" t="s">
        <v>2468</v>
      </c>
      <c r="AI44" s="60" t="s">
        <v>2469</v>
      </c>
    </row>
    <row r="45" spans="1:35" ht="42" customHeight="1" x14ac:dyDescent="0.35">
      <c r="A45" s="69">
        <f t="shared" si="0"/>
        <v>6</v>
      </c>
      <c r="B45" s="103" t="s">
        <v>2825</v>
      </c>
      <c r="C45" s="104" t="s">
        <v>3</v>
      </c>
      <c r="D45" s="105" t="s">
        <v>4</v>
      </c>
      <c r="E45" s="50" t="s">
        <v>69</v>
      </c>
      <c r="F45" s="51" t="s">
        <v>2969</v>
      </c>
      <c r="G45" s="50" t="s">
        <v>3045</v>
      </c>
      <c r="H45" s="52">
        <v>46257</v>
      </c>
      <c r="I45" s="53" t="s">
        <v>1557</v>
      </c>
      <c r="J45" s="53" t="s">
        <v>844</v>
      </c>
      <c r="K45" s="53" t="str">
        <f t="shared" si="1"/>
        <v>ChroZen PAL LSI System is an autosamplers product from Young In Chromass for application-specific laboratory, engineering or industrial use.</v>
      </c>
      <c r="L45" s="53" t="str">
        <f t="shared" si="2"/>
        <v>ChroZen PAL LSI System from Young In Chromass for autosamplers applications. Review configuration requirements and request technical information or a quotation from DIWAN.</v>
      </c>
      <c r="M45" s="53" t="s">
        <v>2020</v>
      </c>
      <c r="N45" s="62" t="s">
        <v>2672</v>
      </c>
      <c r="O45" s="54" t="str" cm="1">
        <f t="array" ref="O45">_xlfn.LET(_xlpm.n,LOWER(E45),_xlpm.c,LOWER(B45),_xlpm.t,_xlfn.IFS(OR(ISNUMBER(SEARCH("lens",_xlpm.n)),ISNUMBER(SEARCH("optic",_xlpm.n)),ISNUMBER(SEARCH("polarizer",_xlpm.n))),"precision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"),E45&amp;" is "&amp;_xlpm.art&amp;_xlpm.t&amp;" from "&amp;C45&amp;" designed for application-specific laboratory, engineering or industrial use. It belongs to DIWAN's "&amp;B45&amp;" portfolio; final configuration must be selected against performance, integration and compliance requirements.")</f>
        <v>ChroZen PAL LSI System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5" s="56" t="str">
        <f t="shared" si="3"/>
        <v>Selection should confirm the model-specific operating range, capacity, accuracy, interfaces, utilities, accessories, standards, environmental limits and service requirements. Final capabilities depend on the approved ChroZen PAL LSI System configuration.</v>
      </c>
      <c r="Q45" s="56"/>
      <c r="R45" s="56" t="str">
        <f t="shared" si="4"/>
        <v>Autosamplers applications; laboratory research, engineering development, quality control and industrial deployment where applicable. Suitability must be confirmed against the user's sample, process, environment and required standards.</v>
      </c>
      <c r="S45" s="56"/>
      <c r="T45" s="56" t="str">
        <f t="shared" si="5"/>
        <v>ChroZen PAL LSI System from Young In Chromass</v>
      </c>
      <c r="U45" s="56"/>
      <c r="V45" s="56" t="s">
        <v>2673</v>
      </c>
      <c r="W45" s="56" t="str">
        <f t="shared" si="6"/>
        <v>See other Autosamplers products</v>
      </c>
      <c r="X45" s="56" t="str">
        <f t="shared" si="7"/>
        <v>Autosamplers enquiry → website group enquiry form → category owner assignment</v>
      </c>
      <c r="Y45" s="56" t="str">
        <f t="shared" si="8"/>
        <v>ChroZen PAL LSI System, Autosamplers, Young In Chromass, technical equipment, DIWAN</v>
      </c>
      <c r="Z45" s="56" t="s">
        <v>2247</v>
      </c>
      <c r="AA45" s="57">
        <v>46257</v>
      </c>
      <c r="AB45" s="56" t="s">
        <v>2465</v>
      </c>
      <c r="AC45" s="64" t="str">
        <f t="shared" si="9"/>
        <v>Content drafted - assets/specs pending</v>
      </c>
      <c r="AD45"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 s="59"/>
      <c r="AF45" s="59"/>
      <c r="AG45" s="59" t="s">
        <v>2467</v>
      </c>
      <c r="AH45" s="59" t="s">
        <v>2468</v>
      </c>
      <c r="AI45" s="60" t="s">
        <v>2469</v>
      </c>
    </row>
    <row r="46" spans="1:35" ht="42" customHeight="1" x14ac:dyDescent="0.35">
      <c r="A46" s="69">
        <f t="shared" si="0"/>
        <v>6</v>
      </c>
      <c r="B46" s="103" t="s">
        <v>2825</v>
      </c>
      <c r="C46" s="104" t="s">
        <v>3</v>
      </c>
      <c r="D46" s="105" t="s">
        <v>4</v>
      </c>
      <c r="E46" s="50" t="s">
        <v>72</v>
      </c>
      <c r="F46" s="51" t="s">
        <v>2969</v>
      </c>
      <c r="G46" s="50" t="s">
        <v>3045</v>
      </c>
      <c r="H46" s="52">
        <v>46257</v>
      </c>
      <c r="I46" s="53" t="s">
        <v>1560</v>
      </c>
      <c r="J46" s="53" t="s">
        <v>847</v>
      </c>
      <c r="K46" s="53" t="str">
        <f t="shared" si="1"/>
        <v>ChroZen PAL RSI/RTC SPME Arrow is an autosamplers product from Young In Chromass for application-specific laboratory, engineering or industrial use.</v>
      </c>
      <c r="L46" s="53" t="str">
        <f t="shared" si="2"/>
        <v>ChroZen PAL RSI/RTC SPME Arrow from Young In Chromass for autosamplers applications. Review configuration requirements and request technical information or a quotation from DIWAN.</v>
      </c>
      <c r="M46" s="53" t="s">
        <v>2020</v>
      </c>
      <c r="N46" s="62" t="s">
        <v>2672</v>
      </c>
      <c r="O46" s="54" t="str" cm="1">
        <f t="array" ref="O46">_xlfn.LET(_xlpm.n,LOWER(E46),_xlpm.c,LOWER(B46),_xlpm.t,_xlfn.IFS(OR(ISNUMBER(SEARCH("lens",_xlpm.n)),ISNUMBER(SEARCH("optic",_xlpm.n)),ISNUMBER(SEARCH("polarizer",_xlpm.n))),"precision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"),E46&amp;" is "&amp;_xlpm.art&amp;_xlpm.t&amp;" from "&amp;C46&amp;" designed for application-specific laboratory, engineering or industrial use. It belongs to DIWAN's "&amp;B46&amp;" portfolio; final configuration must be selected against performance, integration and compliance requirements.")</f>
        <v>ChroZen PAL RSI/RTC SPME Arrow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6" s="56" t="str">
        <f t="shared" si="3"/>
        <v>Selection should confirm the model-specific operating range, capacity, accuracy, interfaces, utilities, accessories, standards, environmental limits and service requirements. Final capabilities depend on the approved ChroZen PAL RSI/RTC SPME Arrow configuration.</v>
      </c>
      <c r="Q46" s="56"/>
      <c r="R46" s="56" t="str">
        <f t="shared" si="4"/>
        <v>Autosamplers applications; laboratory research, engineering development, quality control and industrial deployment where applicable. Suitability must be confirmed against the user's sample, process, environment and required standards.</v>
      </c>
      <c r="S46" s="56"/>
      <c r="T46" s="56" t="str">
        <f t="shared" si="5"/>
        <v>ChroZen PAL RSI/RTC SPME Arrow from Young In Chromass</v>
      </c>
      <c r="U46" s="56"/>
      <c r="V46" s="56" t="s">
        <v>2673</v>
      </c>
      <c r="W46" s="56" t="str">
        <f t="shared" si="6"/>
        <v>See other Autosamplers products</v>
      </c>
      <c r="X46" s="56" t="str">
        <f t="shared" si="7"/>
        <v>Autosamplers enquiry → website group enquiry form → category owner assignment</v>
      </c>
      <c r="Y46" s="56" t="str">
        <f t="shared" si="8"/>
        <v>ChroZen PAL RSI/RTC SPME Arrow, Autosamplers, Young In Chromass, technical equipment, DIWAN</v>
      </c>
      <c r="Z46" s="56" t="s">
        <v>2247</v>
      </c>
      <c r="AA46" s="57">
        <v>46257</v>
      </c>
      <c r="AB46" s="56" t="s">
        <v>2465</v>
      </c>
      <c r="AC46" s="64" t="str">
        <f t="shared" si="9"/>
        <v>Content drafted - assets/specs pending</v>
      </c>
      <c r="AD46"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 s="59"/>
      <c r="AF46" s="59"/>
      <c r="AG46" s="59" t="s">
        <v>2467</v>
      </c>
      <c r="AH46" s="59" t="s">
        <v>2468</v>
      </c>
      <c r="AI46" s="60" t="s">
        <v>2469</v>
      </c>
    </row>
    <row r="47" spans="1:35" ht="42" customHeight="1" x14ac:dyDescent="0.35">
      <c r="A47" s="69">
        <f t="shared" si="0"/>
        <v>6</v>
      </c>
      <c r="B47" s="103" t="s">
        <v>2825</v>
      </c>
      <c r="C47" s="104" t="s">
        <v>3</v>
      </c>
      <c r="D47" s="105" t="s">
        <v>4</v>
      </c>
      <c r="E47" s="50" t="s">
        <v>87</v>
      </c>
      <c r="F47" s="51" t="s">
        <v>2969</v>
      </c>
      <c r="G47" s="50" t="s">
        <v>3045</v>
      </c>
      <c r="H47" s="52">
        <v>46257</v>
      </c>
      <c r="I47" s="53" t="s">
        <v>1575</v>
      </c>
      <c r="J47" s="53" t="s">
        <v>862</v>
      </c>
      <c r="K47" s="53" t="str">
        <f t="shared" si="1"/>
        <v>YL28xT All-In-One Autosampler is an autosamplers product from Young In Chromass for application-specific laboratory, engineering or industrial use.</v>
      </c>
      <c r="L47" s="53" t="str">
        <f t="shared" si="2"/>
        <v>YL28xT All-In-One Autosampler from Young In Chromass for autosamplers applications. Review configuration requirements and request technical information or a quotation from DIWAN.</v>
      </c>
      <c r="M47" s="53" t="s">
        <v>2020</v>
      </c>
      <c r="N47" s="62" t="s">
        <v>2672</v>
      </c>
      <c r="O47" s="54" t="str" cm="1">
        <f t="array" ref="O47">_xlfn.LET(_xlpm.n,LOWER(E47),_xlpm.c,LOWER(B47),_xlpm.t,_xlfn.IFS(OR(ISNUMBER(SEARCH("lens",_xlpm.n)),ISNUMBER(SEARCH("optic",_xlpm.n)),ISNUMBER(SEARCH("polarizer",_xlpm.n))),"precision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"),E47&amp;" is "&amp;_xlpm.art&amp;_xlpm.t&amp;" from "&amp;C47&amp;" designed for application-specific laboratory, engineering or industrial use. It belongs to DIWAN's "&amp;B47&amp;" portfolio; final configuration must be selected against performance, integration and compliance requirements.")</f>
        <v>YL28xT All-In-One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7" s="56" t="str">
        <f t="shared" si="3"/>
        <v>Selection should confirm the model-specific operating range, capacity, accuracy, interfaces, utilities, accessories, standards, environmental limits and service requirements. Final capabilities depend on the approved YL28xT All-In-One Autosampler configuration.</v>
      </c>
      <c r="Q47" s="56"/>
      <c r="R47" s="56" t="str">
        <f t="shared" si="4"/>
        <v>Autosamplers applications; laboratory research, engineering development, quality control and industrial deployment where applicable. Suitability must be confirmed against the user's sample, process, environment and required standards.</v>
      </c>
      <c r="S47" s="56"/>
      <c r="T47" s="56" t="str">
        <f t="shared" si="5"/>
        <v>YL28xT All-In-One Autosampler from Young In Chromass</v>
      </c>
      <c r="U47" s="56"/>
      <c r="V47" s="56" t="s">
        <v>2673</v>
      </c>
      <c r="W47" s="56" t="str">
        <f t="shared" si="6"/>
        <v>See other Autosamplers products</v>
      </c>
      <c r="X47" s="56" t="str">
        <f t="shared" si="7"/>
        <v>Autosamplers enquiry → website group enquiry form → category owner assignment</v>
      </c>
      <c r="Y47" s="56" t="str">
        <f t="shared" si="8"/>
        <v>YL28xT All-In-One Autosampler, Autosamplers, Young In Chromass, technical equipment, DIWAN</v>
      </c>
      <c r="Z47" s="56" t="s">
        <v>2247</v>
      </c>
      <c r="AA47" s="57">
        <v>46257</v>
      </c>
      <c r="AB47" s="56" t="s">
        <v>2465</v>
      </c>
      <c r="AC47" s="64" t="str">
        <f t="shared" si="9"/>
        <v>Content drafted - assets/specs pending</v>
      </c>
      <c r="AD47"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 s="59"/>
      <c r="AF47" s="59"/>
      <c r="AG47" s="59" t="s">
        <v>2467</v>
      </c>
      <c r="AH47" s="59" t="s">
        <v>2468</v>
      </c>
      <c r="AI47" s="60" t="s">
        <v>2469</v>
      </c>
    </row>
    <row r="48" spans="1:35" ht="42" customHeight="1" x14ac:dyDescent="0.35">
      <c r="A48" s="69">
        <f t="shared" si="0"/>
        <v>6</v>
      </c>
      <c r="B48" s="103" t="s">
        <v>2825</v>
      </c>
      <c r="C48" s="104" t="s">
        <v>3</v>
      </c>
      <c r="D48" s="105" t="s">
        <v>4</v>
      </c>
      <c r="E48" s="50" t="s">
        <v>88</v>
      </c>
      <c r="F48" s="51" t="s">
        <v>2969</v>
      </c>
      <c r="G48" s="50" t="s">
        <v>3045</v>
      </c>
      <c r="H48" s="52">
        <v>46257</v>
      </c>
      <c r="I48" s="53" t="s">
        <v>1576</v>
      </c>
      <c r="J48" s="53" t="s">
        <v>863</v>
      </c>
      <c r="K48" s="53" t="str">
        <f t="shared" si="1"/>
        <v>YL2x00H Headspace Autosampler is an autosamplers product from Young In Chromass for application-specific laboratory, engineering or industrial use.</v>
      </c>
      <c r="L48" s="53" t="str">
        <f t="shared" si="2"/>
        <v>YL2x00H Headspace Autosampler from Young In Chromass for autosamplers applications. Review configuration requirements and request technical information or a quotation from DIWAN.</v>
      </c>
      <c r="M48" s="53" t="s">
        <v>2020</v>
      </c>
      <c r="N48" s="62" t="s">
        <v>2672</v>
      </c>
      <c r="O48" s="54" t="str" cm="1">
        <f t="array" ref="O48">_xlfn.LET(_xlpm.n,LOWER(E48),_xlpm.c,LOWER(B48),_xlpm.t,_xlfn.IFS(OR(ISNUMBER(SEARCH("lens",_xlpm.n)),ISNUMBER(SEARCH("optic",_xlpm.n)),ISNUMBER(SEARCH("polarizer",_xlpm.n))),"precision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"),E48&amp;" is "&amp;_xlpm.art&amp;_xlpm.t&amp;" from "&amp;C48&amp;" designed for application-specific laboratory, engineering or industrial use. It belongs to DIWAN's "&amp;B48&amp;" portfolio; final configuration must be selected against performance, integration and compliance requirements.")</f>
        <v>YL2x00H Headspace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8" s="56" t="str">
        <f t="shared" si="3"/>
        <v>Selection should confirm the model-specific operating range, capacity, accuracy, interfaces, utilities, accessories, standards, environmental limits and service requirements. Final capabilities depend on the approved YL2x00H Headspace Autosampler configuration.</v>
      </c>
      <c r="Q48" s="56"/>
      <c r="R48" s="56" t="str">
        <f t="shared" si="4"/>
        <v>Autosamplers applications; laboratory research, engineering development, quality control and industrial deployment where applicable. Suitability must be confirmed against the user's sample, process, environment and required standards.</v>
      </c>
      <c r="S48" s="56"/>
      <c r="T48" s="56" t="str">
        <f t="shared" si="5"/>
        <v>YL2x00H Headspace Autosampler from Young In Chromass</v>
      </c>
      <c r="U48" s="56"/>
      <c r="V48" s="56" t="s">
        <v>2673</v>
      </c>
      <c r="W48" s="56" t="str">
        <f t="shared" si="6"/>
        <v>See other Autosamplers products</v>
      </c>
      <c r="X48" s="56" t="str">
        <f t="shared" si="7"/>
        <v>Autosamplers enquiry → website group enquiry form → category owner assignment</v>
      </c>
      <c r="Y48" s="56" t="str">
        <f t="shared" si="8"/>
        <v>YL2x00H Headspace Autosampler, Autosamplers, Young In Chromass, technical equipment, DIWAN</v>
      </c>
      <c r="Z48" s="56" t="s">
        <v>2247</v>
      </c>
      <c r="AA48" s="57">
        <v>46257</v>
      </c>
      <c r="AB48" s="56" t="s">
        <v>2465</v>
      </c>
      <c r="AC48" s="64" t="str">
        <f t="shared" si="9"/>
        <v>Content drafted - assets/specs pending</v>
      </c>
      <c r="AD48"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 s="59"/>
      <c r="AF48" s="59"/>
      <c r="AG48" s="59" t="s">
        <v>2467</v>
      </c>
      <c r="AH48" s="59" t="s">
        <v>2468</v>
      </c>
      <c r="AI48" s="60" t="s">
        <v>2469</v>
      </c>
    </row>
    <row r="49" spans="1:35" ht="42" customHeight="1" x14ac:dyDescent="0.35">
      <c r="A49" s="69">
        <f t="shared" si="0"/>
        <v>6</v>
      </c>
      <c r="B49" s="103" t="s">
        <v>2825</v>
      </c>
      <c r="C49" s="104" t="s">
        <v>3</v>
      </c>
      <c r="D49" s="105" t="s">
        <v>4</v>
      </c>
      <c r="E49" s="50" t="s">
        <v>89</v>
      </c>
      <c r="F49" s="51" t="s">
        <v>2969</v>
      </c>
      <c r="G49" s="50" t="s">
        <v>3045</v>
      </c>
      <c r="H49" s="52">
        <v>46257</v>
      </c>
      <c r="I49" s="53" t="s">
        <v>1577</v>
      </c>
      <c r="J49" s="53" t="s">
        <v>864</v>
      </c>
      <c r="K49" s="53" t="str">
        <f t="shared" si="1"/>
        <v>Versa Headspace Autosampler is an autosamplers product from Young In Chromass for application-specific laboratory, engineering or industrial use.</v>
      </c>
      <c r="L49" s="53" t="str">
        <f t="shared" si="2"/>
        <v>Versa Headspace Autosampler from Young In Chromass for autosamplers applications. Review configuration requirements and request technical information or a quotation from DIWAN.</v>
      </c>
      <c r="M49" s="53" t="s">
        <v>2020</v>
      </c>
      <c r="N49" s="62" t="s">
        <v>2672</v>
      </c>
      <c r="O49" s="54" t="str" cm="1">
        <f t="array" ref="O49">_xlfn.LET(_xlpm.n,LOWER(E49),_xlpm.c,LOWER(B49),_xlpm.t,_xlfn.IFS(OR(ISNUMBER(SEARCH("lens",_xlpm.n)),ISNUMBER(SEARCH("optic",_xlpm.n)),ISNUMBER(SEARCH("polarizer",_xlpm.n))),"precision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"),E49&amp;" is "&amp;_xlpm.art&amp;_xlpm.t&amp;" from "&amp;C49&amp;" designed for application-specific laboratory, engineering or industrial use. It belongs to DIWAN's "&amp;B49&amp;" portfolio; final configuration must be selected against performance, integration and compliance requirements.")</f>
        <v>Versa Headspace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49" s="56" t="str">
        <f t="shared" si="3"/>
        <v>Selection should confirm the model-specific operating range, capacity, accuracy, interfaces, utilities, accessories, standards, environmental limits and service requirements. Final capabilities depend on the approved Versa Headspace Autosampler configuration.</v>
      </c>
      <c r="Q49" s="56"/>
      <c r="R49" s="56" t="str">
        <f t="shared" si="4"/>
        <v>Autosamplers applications; laboratory research, engineering development, quality control and industrial deployment where applicable. Suitability must be confirmed against the user's sample, process, environment and required standards.</v>
      </c>
      <c r="S49" s="56"/>
      <c r="T49" s="56" t="str">
        <f t="shared" si="5"/>
        <v>Versa Headspace Autosampler from Young In Chromass</v>
      </c>
      <c r="U49" s="56"/>
      <c r="V49" s="56" t="s">
        <v>2673</v>
      </c>
      <c r="W49" s="56" t="str">
        <f t="shared" si="6"/>
        <v>See other Autosamplers products</v>
      </c>
      <c r="X49" s="56" t="str">
        <f t="shared" si="7"/>
        <v>Autosamplers enquiry → website group enquiry form → category owner assignment</v>
      </c>
      <c r="Y49" s="56" t="str">
        <f t="shared" si="8"/>
        <v>Versa Headspace Autosampler, Autosamplers, Young In Chromass, technical equipment, DIWAN</v>
      </c>
      <c r="Z49" s="56" t="s">
        <v>2247</v>
      </c>
      <c r="AA49" s="57">
        <v>46257</v>
      </c>
      <c r="AB49" s="56" t="s">
        <v>2465</v>
      </c>
      <c r="AC49" s="64" t="str">
        <f t="shared" si="9"/>
        <v>Content drafted - assets/specs pending</v>
      </c>
      <c r="AD49"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 s="59"/>
      <c r="AF49" s="59"/>
      <c r="AG49" s="59" t="s">
        <v>2467</v>
      </c>
      <c r="AH49" s="59" t="s">
        <v>2468</v>
      </c>
      <c r="AI49" s="60" t="s">
        <v>2469</v>
      </c>
    </row>
    <row r="50" spans="1:35" ht="42" customHeight="1" x14ac:dyDescent="0.35">
      <c r="A50" s="69">
        <f t="shared" si="0"/>
        <v>6</v>
      </c>
      <c r="B50" s="103" t="s">
        <v>2825</v>
      </c>
      <c r="C50" s="104" t="s">
        <v>3</v>
      </c>
      <c r="D50" s="105" t="s">
        <v>4</v>
      </c>
      <c r="E50" s="50" t="s">
        <v>90</v>
      </c>
      <c r="F50" s="51" t="s">
        <v>2969</v>
      </c>
      <c r="G50" s="50" t="s">
        <v>3045</v>
      </c>
      <c r="H50" s="52">
        <v>46257</v>
      </c>
      <c r="I50" s="53" t="s">
        <v>1578</v>
      </c>
      <c r="J50" s="53" t="s">
        <v>865</v>
      </c>
      <c r="K50" s="53" t="str">
        <f t="shared" si="1"/>
        <v>HT3 Static and Dynamic Headspace Autosampler is an autosamplers product from Young In Chromass for application-specific laboratory, engineering or industrial use.</v>
      </c>
      <c r="L50" s="53" t="str">
        <f t="shared" si="2"/>
        <v>HT3 Static and Dynamic Headspace Autosampler from Young In Chromass for autosamplers applications. Review configuration requirements and request technical information or a quotation from DIWAN.</v>
      </c>
      <c r="M50" s="53" t="s">
        <v>2020</v>
      </c>
      <c r="N50" s="62" t="s">
        <v>2672</v>
      </c>
      <c r="O50" s="54" t="str" cm="1">
        <f t="array" ref="O50">_xlfn.LET(_xlpm.n,LOWER(E50),_xlpm.c,LOWER(B50),_xlpm.t,_xlfn.IFS(OR(ISNUMBER(SEARCH("lens",_xlpm.n)),ISNUMBER(SEARCH("optic",_xlpm.n)),ISNUMBER(SEARCH("polarizer",_xlpm.n))),"precision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"),E50&amp;" is "&amp;_xlpm.art&amp;_xlpm.t&amp;" from "&amp;C50&amp;" designed for application-specific laboratory, engineering or industrial use. It belongs to DIWAN's "&amp;B50&amp;" portfolio; final configuration must be selected against performance, integration and compliance requirements.")</f>
        <v>HT3 Static and Dynamic Headspace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50" s="56" t="str">
        <f t="shared" si="3"/>
        <v>Selection should confirm the model-specific operating range, capacity, accuracy, interfaces, utilities, accessories, standards, environmental limits and service requirements. Final capabilities depend on the approved HT3 Static and Dynamic Headspace Autosampler configuration.</v>
      </c>
      <c r="Q50" s="56"/>
      <c r="R50" s="56" t="str">
        <f t="shared" si="4"/>
        <v>Autosamplers applications; laboratory research, engineering development, quality control and industrial deployment where applicable. Suitability must be confirmed against the user's sample, process, environment and required standards.</v>
      </c>
      <c r="S50" s="56"/>
      <c r="T50" s="56" t="str">
        <f t="shared" si="5"/>
        <v>HT3 Static and Dynamic Headspace Autosampler from Young In Chromass</v>
      </c>
      <c r="U50" s="56"/>
      <c r="V50" s="56" t="s">
        <v>2673</v>
      </c>
      <c r="W50" s="56" t="str">
        <f t="shared" si="6"/>
        <v>See other Autosamplers products</v>
      </c>
      <c r="X50" s="56" t="str">
        <f t="shared" si="7"/>
        <v>Autosamplers enquiry → website group enquiry form → category owner assignment</v>
      </c>
      <c r="Y50" s="56" t="str">
        <f t="shared" si="8"/>
        <v>HT3 Static and Dynamic Headspace Autosampler, Autosamplers, Young In Chromass, technical equipment, DIWAN</v>
      </c>
      <c r="Z50" s="56" t="s">
        <v>2247</v>
      </c>
      <c r="AA50" s="57">
        <v>46257</v>
      </c>
      <c r="AB50" s="56" t="s">
        <v>2465</v>
      </c>
      <c r="AC50" s="64" t="str">
        <f t="shared" si="9"/>
        <v>Content drafted - assets/specs pending</v>
      </c>
      <c r="AD50"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 s="59"/>
      <c r="AF50" s="59"/>
      <c r="AG50" s="59" t="s">
        <v>2467</v>
      </c>
      <c r="AH50" s="59" t="s">
        <v>2468</v>
      </c>
      <c r="AI50" s="60" t="s">
        <v>2469</v>
      </c>
    </row>
    <row r="51" spans="1:35" ht="42" customHeight="1" x14ac:dyDescent="0.35">
      <c r="A51" s="69">
        <f t="shared" si="0"/>
        <v>6</v>
      </c>
      <c r="B51" s="103" t="s">
        <v>2825</v>
      </c>
      <c r="C51" s="104" t="s">
        <v>3</v>
      </c>
      <c r="D51" s="105" t="s">
        <v>4</v>
      </c>
      <c r="E51" s="50" t="s">
        <v>91</v>
      </c>
      <c r="F51" s="51" t="s">
        <v>2969</v>
      </c>
      <c r="G51" s="50" t="s">
        <v>3045</v>
      </c>
      <c r="H51" s="52">
        <v>46257</v>
      </c>
      <c r="I51" s="53" t="s">
        <v>1579</v>
      </c>
      <c r="J51" s="53" t="s">
        <v>866</v>
      </c>
      <c r="K51" s="53" t="str">
        <f t="shared" si="1"/>
        <v>ChroZen PAL RSI/RTC SPME Fiber is an autosamplers product from Young In Chromass for application-specific laboratory, engineering or industrial use.</v>
      </c>
      <c r="L51" s="53" t="str">
        <f t="shared" si="2"/>
        <v>ChroZen PAL RSI/RTC SPME Fiber from Young In Chromass for autosamplers applications. Review configuration requirements and request technical information or a quotation from DIWAN.</v>
      </c>
      <c r="M51" s="53" t="s">
        <v>2020</v>
      </c>
      <c r="N51" s="62" t="s">
        <v>2672</v>
      </c>
      <c r="O51" s="54" t="str" cm="1">
        <f t="array" ref="O51">_xlfn.LET(_xlpm.n,LOWER(E51),_xlpm.c,LOWER(B51),_xlpm.t,_xlfn.IFS(OR(ISNUMBER(SEARCH("lens",_xlpm.n)),ISNUMBER(SEARCH("optic",_xlpm.n)),ISNUMBER(SEARCH("polarizer",_xlpm.n))),"precision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"),E51&amp;" is "&amp;_xlpm.art&amp;_xlpm.t&amp;" from "&amp;C51&amp;" designed for application-specific laboratory, engineering or industrial use. It belongs to DIWAN's "&amp;B51&amp;" portfolio; final configuration must be selected against performance, integration and compliance requirements.")</f>
        <v>ChroZen PAL RSI/RTC SPME Fiber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51" s="56" t="str">
        <f t="shared" si="3"/>
        <v>Selection should confirm the model-specific operating range, capacity, accuracy, interfaces, utilities, accessories, standards, environmental limits and service requirements. Final capabilities depend on the approved ChroZen PAL RSI/RTC SPME Fiber configuration.</v>
      </c>
      <c r="Q51" s="56"/>
      <c r="R51" s="56" t="str">
        <f t="shared" si="4"/>
        <v>Autosamplers applications; laboratory research, engineering development, quality control and industrial deployment where applicable. Suitability must be confirmed against the user's sample, process, environment and required standards.</v>
      </c>
      <c r="S51" s="56"/>
      <c r="T51" s="56" t="str">
        <f t="shared" si="5"/>
        <v>ChroZen PAL RSI/RTC SPME Fiber from Young In Chromass</v>
      </c>
      <c r="U51" s="56"/>
      <c r="V51" s="56" t="s">
        <v>2673</v>
      </c>
      <c r="W51" s="56" t="str">
        <f t="shared" si="6"/>
        <v>See other Autosamplers products</v>
      </c>
      <c r="X51" s="56" t="str">
        <f t="shared" si="7"/>
        <v>Autosamplers enquiry → website group enquiry form → category owner assignment</v>
      </c>
      <c r="Y51" s="56" t="str">
        <f t="shared" si="8"/>
        <v>ChroZen PAL RSI/RTC SPME Fiber, Autosamplers, Young In Chromass, technical equipment, DIWAN</v>
      </c>
      <c r="Z51" s="56" t="s">
        <v>2247</v>
      </c>
      <c r="AA51" s="57">
        <v>46257</v>
      </c>
      <c r="AB51" s="56" t="s">
        <v>2465</v>
      </c>
      <c r="AC51" s="64" t="str">
        <f t="shared" si="9"/>
        <v>Content drafted - assets/specs pending</v>
      </c>
      <c r="AD51"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 s="59"/>
      <c r="AF51" s="59"/>
      <c r="AG51" s="59" t="s">
        <v>2467</v>
      </c>
      <c r="AH51" s="59" t="s">
        <v>2468</v>
      </c>
      <c r="AI51" s="60" t="s">
        <v>2469</v>
      </c>
    </row>
    <row r="52" spans="1:35" ht="42" customHeight="1" x14ac:dyDescent="0.35">
      <c r="A52" s="69">
        <f t="shared" si="0"/>
        <v>6</v>
      </c>
      <c r="B52" s="103" t="s">
        <v>2825</v>
      </c>
      <c r="C52" s="104" t="s">
        <v>3</v>
      </c>
      <c r="D52" s="105" t="s">
        <v>4</v>
      </c>
      <c r="E52" s="50" t="s">
        <v>94</v>
      </c>
      <c r="F52" s="51" t="s">
        <v>2969</v>
      </c>
      <c r="G52" s="50" t="s">
        <v>3045</v>
      </c>
      <c r="H52" s="52">
        <v>46257</v>
      </c>
      <c r="I52" s="53" t="s">
        <v>1583</v>
      </c>
      <c r="J52" s="53" t="s">
        <v>870</v>
      </c>
      <c r="K52" s="53" t="str">
        <f t="shared" si="1"/>
        <v>AQUATek LVA Waters-Only Autosampler is an autosamplers product from Young In Chromass for application-specific laboratory, engineering or industrial use.</v>
      </c>
      <c r="L52" s="53" t="str">
        <f t="shared" si="2"/>
        <v>AQUATek LVA Waters-Only Autosampler from Young In Chromass for autosamplers applications. Review configuration requirements and request technical information or a quotation from DIWAN.</v>
      </c>
      <c r="M52" s="53" t="s">
        <v>2020</v>
      </c>
      <c r="N52" s="62" t="s">
        <v>2672</v>
      </c>
      <c r="O52" s="54" t="str" cm="1">
        <f t="array" ref="O52">_xlfn.LET(_xlpm.n,LOWER(E52),_xlpm.c,LOWER(B52),_xlpm.t,_xlfn.IFS(OR(ISNUMBER(SEARCH("lens",_xlpm.n)),ISNUMBER(SEARCH("optic",_xlpm.n)),ISNUMBER(SEARCH("polarizer",_xlpm.n))),"precision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"),E52&amp;" is "&amp;_xlpm.art&amp;_xlpm.t&amp;" from "&amp;C52&amp;" designed for application-specific laboratory, engineering or industrial use. It belongs to DIWAN's "&amp;B52&amp;" portfolio; final configuration must be selected against performance, integration and compliance requirements.")</f>
        <v>AQUATek LVA Waters-Only Autosampler is a specialized autosamplers product from Young In Chromass designed for application-specific laboratory, engineering or industrial use. It belongs to DIWAN's Autosamplers portfolio; final configuration must be selected against performance, integration and compliance requirements.</v>
      </c>
      <c r="P52" s="56" t="str">
        <f t="shared" si="3"/>
        <v>Selection should confirm the model-specific operating range, capacity, accuracy, interfaces, utilities, accessories, standards, environmental limits and service requirements. Final capabilities depend on the approved AQUATek LVA Waters-Only Autosampler configuration.</v>
      </c>
      <c r="Q52" s="56"/>
      <c r="R52" s="56" t="str">
        <f t="shared" si="4"/>
        <v>Autosamplers applications; laboratory research, engineering development, quality control and industrial deployment where applicable. Suitability must be confirmed against the user's sample, process, environment and required standards.</v>
      </c>
      <c r="S52" s="56"/>
      <c r="T52" s="56" t="str">
        <f t="shared" si="5"/>
        <v>AQUATek LVA Waters-Only Autosampler from Young In Chromass</v>
      </c>
      <c r="U52" s="56"/>
      <c r="V52" s="56" t="s">
        <v>2673</v>
      </c>
      <c r="W52" s="56" t="str">
        <f t="shared" si="6"/>
        <v>See other Autosamplers products</v>
      </c>
      <c r="X52" s="56" t="str">
        <f t="shared" si="7"/>
        <v>Autosamplers enquiry → website group enquiry form → category owner assignment</v>
      </c>
      <c r="Y52" s="56" t="str">
        <f t="shared" si="8"/>
        <v>AQUATek LVA Waters-Only Autosampler, Autosamplers, Young In Chromass, technical equipment, DIWAN</v>
      </c>
      <c r="Z52" s="56" t="s">
        <v>2247</v>
      </c>
      <c r="AA52" s="57">
        <v>46257</v>
      </c>
      <c r="AB52" s="56" t="s">
        <v>2465</v>
      </c>
      <c r="AC52" s="64" t="str">
        <f t="shared" si="9"/>
        <v>Content drafted - assets/specs pending</v>
      </c>
      <c r="AD52"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 s="59"/>
      <c r="AF52" s="59"/>
      <c r="AG52" s="59" t="s">
        <v>2467</v>
      </c>
      <c r="AH52" s="59" t="s">
        <v>2468</v>
      </c>
      <c r="AI52" s="60" t="s">
        <v>2469</v>
      </c>
    </row>
    <row r="53" spans="1:35" ht="42" customHeight="1" x14ac:dyDescent="0.35">
      <c r="A53" s="69">
        <f t="shared" si="0"/>
        <v>7</v>
      </c>
      <c r="B53" s="103" t="s">
        <v>2831</v>
      </c>
      <c r="C53" s="104" t="s">
        <v>3</v>
      </c>
      <c r="D53" s="105" t="s">
        <v>4</v>
      </c>
      <c r="E53" s="50" t="s">
        <v>27</v>
      </c>
      <c r="F53" s="51" t="s">
        <v>2970</v>
      </c>
      <c r="G53" s="50" t="s">
        <v>3045</v>
      </c>
      <c r="H53" s="52">
        <v>46257</v>
      </c>
      <c r="I53" s="53" t="s">
        <v>1581</v>
      </c>
      <c r="J53" s="53" t="s">
        <v>868</v>
      </c>
      <c r="K53" s="53" t="str">
        <f t="shared" si="1"/>
        <v>Valves is a chromatography accessories product from Young In Chromass for application-specific laboratory, engineering or industrial use.</v>
      </c>
      <c r="L53" s="53" t="str">
        <f t="shared" si="2"/>
        <v>Valves from Young In Chromass for chromatography accessories applications. Review configuration requirements and request technical information or a quotation from DIWAN.</v>
      </c>
      <c r="M53" s="53" t="s">
        <v>2020</v>
      </c>
      <c r="N53" s="62" t="s">
        <v>2672</v>
      </c>
      <c r="O53" s="54" t="str" cm="1">
        <f t="array" ref="O53">_xlfn.LET(_xlpm.n,LOWER(E53),_xlpm.c,LOWER(B53),_xlpm.t,_xlfn.IFS(OR(ISNUMBER(SEARCH("lens",_xlpm.n)),ISNUMBER(SEARCH("optic",_xlpm.n)),ISNUMBER(SEARCH("polarizer",_xlpm.n))),"precision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"),E53&amp;" is "&amp;_xlpm.art&amp;_xlpm.t&amp;" from "&amp;C53&amp;" designed for application-specific laboratory, engineering or industrial use. It belongs to DIWAN's "&amp;B53&amp;" portfolio; final configuration must be selected against performance, integration and compliance requirements.")</f>
        <v>Valves is a specialized chromatography accessories product from Young In Chromass designed for application-specific laboratory, engineering or industrial use. It belongs to DIWAN's Chromatography Accessories portfolio; final configuration must be selected against performance, integration and compliance requirements.</v>
      </c>
      <c r="P53" s="56" t="str">
        <f t="shared" si="3"/>
        <v>Selection should confirm the model-specific operating range, capacity, accuracy, interfaces, utilities, accessories, standards, environmental limits and service requirements. Final capabilities depend on the approved Valves configuration.</v>
      </c>
      <c r="Q53" s="56"/>
      <c r="R53" s="56" t="str">
        <f t="shared" si="4"/>
        <v>Chromatography Accessories applications; laboratory research, engineering development, quality control and industrial deployment where applicable. Suitability must be confirmed against the user's sample, process, environment and required standards.</v>
      </c>
      <c r="S53" s="56"/>
      <c r="T53" s="56" t="str">
        <f t="shared" si="5"/>
        <v>Valves from Young In Chromass</v>
      </c>
      <c r="U53" s="56"/>
      <c r="V53" s="56" t="s">
        <v>2673</v>
      </c>
      <c r="W53" s="56" t="str">
        <f t="shared" si="6"/>
        <v>See other Chromatography Accessories products</v>
      </c>
      <c r="X53" s="56" t="str">
        <f t="shared" si="7"/>
        <v>Chromatography Accessories enquiry → website group enquiry form → category owner assignment</v>
      </c>
      <c r="Y53" s="56" t="str">
        <f t="shared" si="8"/>
        <v>Valves, Chromatography Accessories, Young In Chromass, technical equipment, DIWAN</v>
      </c>
      <c r="Z53" s="56" t="s">
        <v>2247</v>
      </c>
      <c r="AA53" s="57">
        <v>46257</v>
      </c>
      <c r="AB53" s="56" t="s">
        <v>2465</v>
      </c>
      <c r="AC53" s="64" t="str">
        <f t="shared" si="9"/>
        <v>Content drafted - assets/specs pending</v>
      </c>
      <c r="AD53"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3" s="59"/>
      <c r="AF53" s="59"/>
      <c r="AG53" s="59" t="s">
        <v>2467</v>
      </c>
      <c r="AH53" s="59" t="s">
        <v>2468</v>
      </c>
      <c r="AI53" s="60" t="s">
        <v>2469</v>
      </c>
    </row>
    <row r="54" spans="1:35" ht="42" customHeight="1" x14ac:dyDescent="0.35">
      <c r="A54" s="69">
        <f t="shared" si="0"/>
        <v>8</v>
      </c>
      <c r="B54" s="103" t="s">
        <v>2832</v>
      </c>
      <c r="C54" s="104" t="s">
        <v>3</v>
      </c>
      <c r="D54" s="105" t="s">
        <v>4</v>
      </c>
      <c r="E54" s="50" t="s">
        <v>96</v>
      </c>
      <c r="F54" s="51" t="s">
        <v>2971</v>
      </c>
      <c r="G54" s="50" t="s">
        <v>3045</v>
      </c>
      <c r="H54" s="52">
        <v>46257</v>
      </c>
      <c r="I54" s="53" t="s">
        <v>1585</v>
      </c>
      <c r="J54" s="53" t="s">
        <v>872</v>
      </c>
      <c r="K54" s="53" t="str">
        <f t="shared" si="1"/>
        <v>YL-Clarity Chromatography Data System is a chromatography software product from Young In Chromass for application-specific laboratory, engineering or industrial use.</v>
      </c>
      <c r="L54" s="53" t="str">
        <f t="shared" si="2"/>
        <v>YL-Clarity Chromatography Data System from Young In Chromass for chromatography software applications. Review configuration requirements and request technical information or a quotation from DIWAN.</v>
      </c>
      <c r="M54" s="53" t="s">
        <v>2020</v>
      </c>
      <c r="N54" s="62" t="s">
        <v>2672</v>
      </c>
      <c r="O54" s="54" t="str" cm="1">
        <f t="array" ref="O54">_xlfn.LET(_xlpm.n,LOWER(E54),_xlpm.c,LOWER(B54),_xlpm.t,_xlfn.IFS(OR(ISNUMBER(SEARCH("lens",_xlpm.n)),ISNUMBER(SEARCH("optic",_xlpm.n)),ISNUMBER(SEARCH("polarizer",_xlpm.n))),"precision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"),E54&amp;" is "&amp;_xlpm.art&amp;_xlpm.t&amp;" from "&amp;C54&amp;" designed for application-specific laboratory, engineering or industrial use. It belongs to DIWAN's "&amp;B54&amp;" portfolio; final configuration must be selected against performance, integration and compliance requirements.")</f>
        <v>YL-Clarity Chromatography Data System is an analytical laboratory instrument from Young In Chromass designed for application-specific laboratory, engineering or industrial use. It belongs to DIWAN's Chromatography Software portfolio; final configuration must be selected against performance, integration and compliance requirements.</v>
      </c>
      <c r="P54" s="56" t="str">
        <f t="shared" si="3"/>
        <v>Selection should confirm the model-specific operating range, capacity, accuracy, interfaces, utilities, accessories, standards, environmental limits and service requirements. Final capabilities depend on the approved YL-Clarity Chromatography Data System configuration.</v>
      </c>
      <c r="Q54" s="56"/>
      <c r="R54" s="56" t="str">
        <f t="shared" si="4"/>
        <v>Chromatography Software applications; laboratory research, engineering development, quality control and industrial deployment where applicable. Suitability must be confirmed against the user's sample, process, environment and required standards.</v>
      </c>
      <c r="S54" s="56"/>
      <c r="T54" s="56" t="str">
        <f t="shared" si="5"/>
        <v>YL-Clarity Chromatography Data System from Young In Chromass</v>
      </c>
      <c r="U54" s="56"/>
      <c r="V54" s="56" t="s">
        <v>2673</v>
      </c>
      <c r="W54" s="56" t="str">
        <f t="shared" si="6"/>
        <v>See other Chromatography Software products</v>
      </c>
      <c r="X54" s="56" t="str">
        <f t="shared" si="7"/>
        <v>Chromatography Software enquiry → website group enquiry form → category owner assignment</v>
      </c>
      <c r="Y54" s="56" t="str">
        <f t="shared" si="8"/>
        <v>YL-Clarity Chromatography Data System, Chromatography Software, Young In Chromass, technical equipment, DIWAN</v>
      </c>
      <c r="Z54" s="56" t="s">
        <v>2247</v>
      </c>
      <c r="AA54" s="57">
        <v>46257</v>
      </c>
      <c r="AB54" s="56" t="s">
        <v>2465</v>
      </c>
      <c r="AC54" s="64" t="str">
        <f t="shared" si="9"/>
        <v>Content drafted - assets/specs pending</v>
      </c>
      <c r="AD54"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4" s="59"/>
      <c r="AF54" s="59"/>
      <c r="AG54" s="59" t="s">
        <v>2467</v>
      </c>
      <c r="AH54" s="59" t="s">
        <v>2468</v>
      </c>
      <c r="AI54" s="60" t="s">
        <v>2469</v>
      </c>
    </row>
    <row r="55" spans="1:35" ht="42" customHeight="1" thickBot="1" x14ac:dyDescent="0.4">
      <c r="A55" s="69">
        <f t="shared" si="0"/>
        <v>9</v>
      </c>
      <c r="B55" s="103" t="s">
        <v>2827</v>
      </c>
      <c r="C55" s="104" t="s">
        <v>3</v>
      </c>
      <c r="D55" s="105" t="s">
        <v>4</v>
      </c>
      <c r="E55" s="50" t="s">
        <v>70</v>
      </c>
      <c r="F55" s="51" t="s">
        <v>2972</v>
      </c>
      <c r="G55" s="50" t="s">
        <v>3045</v>
      </c>
      <c r="H55" s="52">
        <v>46257</v>
      </c>
      <c r="I55" s="53" t="s">
        <v>1558</v>
      </c>
      <c r="J55" s="53" t="s">
        <v>845</v>
      </c>
      <c r="K55" s="53" t="str">
        <f t="shared" si="1"/>
        <v>ACE 1100 IMR-MS is an environmental ms product from Young In Chromass for application-specific laboratory, engineering or industrial use.</v>
      </c>
      <c r="L55" s="53" t="str">
        <f t="shared" si="2"/>
        <v>ACE 1100 IMR-MS from Young In Chromass for environmental ms applications. Review configuration requirements and request technical information or a quotation from DIWAN.</v>
      </c>
      <c r="M55" s="53" t="s">
        <v>2020</v>
      </c>
      <c r="N55" s="62" t="s">
        <v>2672</v>
      </c>
      <c r="O55" s="54" t="str" cm="1">
        <f t="array" ref="O55">_xlfn.LET(_xlpm.n,LOWER(E55),_xlpm.c,LOWER(B55),_xlpm.t,_xlfn.IFS(OR(ISNUMBER(SEARCH("lens",_xlpm.n)),ISNUMBER(SEARCH("optic",_xlpm.n)),ISNUMBER(SEARCH("polarizer",_xlpm.n))),"precision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"),E55&amp;" is "&amp;_xlpm.art&amp;_xlpm.t&amp;" from "&amp;C55&amp;" designed for application-specific laboratory, engineering or industrial use. It belongs to DIWAN's "&amp;B55&amp;" portfolio; final configuration must be selected against performance, integration and compliance requirements.")</f>
        <v>ACE 1100 IMR-MS is a specialized environmental ms product from Young In Chromass designed for application-specific laboratory, engineering or industrial use. It belongs to DIWAN's Environmental MS portfolio; final configuration must be selected against performance, integration and compliance requirements.</v>
      </c>
      <c r="P55" s="56" t="str">
        <f t="shared" si="3"/>
        <v>Selection should confirm the model-specific operating range, capacity, accuracy, interfaces, utilities, accessories, standards, environmental limits and service requirements. Final capabilities depend on the approved ACE 1100 IMR-MS configuration.</v>
      </c>
      <c r="Q55" s="56"/>
      <c r="R55" s="56" t="str">
        <f t="shared" si="4"/>
        <v>Environmental MS applications; laboratory research, engineering development, quality control and industrial deployment where applicable. Suitability must be confirmed against the user's sample, process, environment and required standards.</v>
      </c>
      <c r="S55" s="56"/>
      <c r="T55" s="56" t="str">
        <f t="shared" si="5"/>
        <v>ACE 1100 IMR-MS from Young In Chromass</v>
      </c>
      <c r="U55" s="56"/>
      <c r="V55" s="56" t="s">
        <v>2673</v>
      </c>
      <c r="W55" s="56" t="str">
        <f t="shared" si="6"/>
        <v>See other Environmental MS products</v>
      </c>
      <c r="X55" s="56" t="str">
        <f t="shared" si="7"/>
        <v>Environmental MS enquiry → website group enquiry form → category owner assignment</v>
      </c>
      <c r="Y55" s="56" t="str">
        <f t="shared" si="8"/>
        <v>ACE 1100 IMR-MS, Environmental MS, Young In Chromass, technical equipment, DIWAN</v>
      </c>
      <c r="Z55" s="56" t="s">
        <v>2247</v>
      </c>
      <c r="AA55" s="57">
        <v>46257</v>
      </c>
      <c r="AB55" s="56" t="s">
        <v>2465</v>
      </c>
      <c r="AC55" s="64" t="str">
        <f t="shared" si="9"/>
        <v>Content drafted - assets/specs pending</v>
      </c>
      <c r="AD55" s="56" t="str">
        <f t="shared" si="1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5" s="59"/>
      <c r="AF55" s="59"/>
      <c r="AG55" s="59" t="s">
        <v>2467</v>
      </c>
      <c r="AH55" s="59" t="s">
        <v>2468</v>
      </c>
      <c r="AI55" s="60" t="s">
        <v>2469</v>
      </c>
    </row>
    <row r="56" spans="1:35" ht="42" customHeight="1" x14ac:dyDescent="0.35">
      <c r="A56" s="69">
        <f t="shared" si="0"/>
        <v>10</v>
      </c>
      <c r="B56" s="87" t="s">
        <v>2822</v>
      </c>
      <c r="C56" s="88" t="s">
        <v>3</v>
      </c>
      <c r="D56" s="89" t="s">
        <v>4</v>
      </c>
      <c r="E56" s="90" t="s">
        <v>56</v>
      </c>
      <c r="F56" s="91" t="s">
        <v>2973</v>
      </c>
      <c r="G56" s="90" t="s">
        <v>3045</v>
      </c>
      <c r="H56" s="92">
        <v>46257</v>
      </c>
      <c r="I56" s="93" t="s">
        <v>1541</v>
      </c>
      <c r="J56" s="93" t="s">
        <v>828</v>
      </c>
      <c r="K56" s="93" t="str">
        <f>E56&amp;" is "&amp;IF(ISNUMBER(SEARCH(LEFT(LOWER(B56),1),"aeiou")),"an ","a ")&amp;LOWER(B56)&amp;" product from "&amp;C56&amp;" for application-specific laboratory, engineering or industrial use."</f>
        <v>AURA II LPG Vaporizer is a gas chromatography product from Young In Chromass for application-specific laboratory, engineering or industrial use.</v>
      </c>
      <c r="L56" s="93" t="str">
        <f>E56&amp;" from "&amp;C56&amp;" for "&amp;LOWER(B56)&amp;" applications. Review configuration requirements and request technical information or a quotation from DIWAN."</f>
        <v>AURA II LPG Vaporizer from Young In Chromass for gas chromatography applications. Review configuration requirements and request technical information or a quotation from DIWAN.</v>
      </c>
      <c r="M56" s="93" t="s">
        <v>2020</v>
      </c>
      <c r="N56" s="94" t="s">
        <v>2672</v>
      </c>
      <c r="O56" s="82" t="str" cm="1">
        <f t="array" ref="O56">_xlfn.LET(_xlpm.n,LOWER(E56),_xlpm.c,LOWER(B56),_xlpm.t,_xlfn.IFS(OR(ISNUMBER(SEARCH("lens",_xlpm.n)),ISNUMBER(SEARCH("optic",_xlpm.n)),ISNUMBER(SEARCH("polarizer",_xlpm.n))),"precision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"),E56&amp;" is "&amp;_xlpm.art&amp;_xlpm.t&amp;" from "&amp;C56&amp;" designed for application-specific laboratory, engineering or industrial use. It belongs to DIWAN's "&amp;B56&amp;" portfolio; final configuration must be selected against performance, integration and compliance requirements.")</f>
        <v>AURA II LPG Vaporizer is a specialized gas chromatography product from Young In Chromass designed for application-specific laboratory, engineering or industrial use. It belongs to DIWAN's Gas Chromatography portfolio; final configuration must be selected against performance, integration and compliance requirements.</v>
      </c>
      <c r="P56" s="95" t="str">
        <f>"Selection should confirm the model-specific operating range, capacity, accuracy, interfaces, utilities, accessories, standards, environmental limits and service requirements. Final capabilities depend on the approved "&amp;E56&amp;" configuration."</f>
        <v>Selection should confirm the model-specific operating range, capacity, accuracy, interfaces, utilities, accessories, standards, environmental limits and service requirements. Final capabilities depend on the approved AURA II LPG Vaporizer configuration.</v>
      </c>
      <c r="Q56" s="95"/>
      <c r="R56" s="95" t="str">
        <f>B56&amp;" applications; laboratory research, engineering development, quality control and industrial deployment where applicable. Suitability must be confirmed against the user's sample, process, environment and required standards."</f>
        <v>Gas Chromatography applications; laboratory research, engineering development, quality control and industrial deployment where applicable. Suitability must be confirmed against the user's sample, process, environment and required standards.</v>
      </c>
      <c r="S56" s="95"/>
      <c r="T56" s="95" t="str">
        <f>E56&amp;" from "&amp;C56</f>
        <v>AURA II LPG Vaporizer from Young In Chromass</v>
      </c>
      <c r="U56" s="95"/>
      <c r="V56" s="95" t="s">
        <v>2673</v>
      </c>
      <c r="W56" s="95" t="str">
        <f>"See other "&amp;B56&amp;" products"</f>
        <v>See other Gas Chromatography products</v>
      </c>
      <c r="X56" s="95" t="str">
        <f>B56&amp;" enquiry → website group enquiry form → category owner assignment"</f>
        <v>Gas Chromatography enquiry → website group enquiry form → category owner assignment</v>
      </c>
      <c r="Y56" s="95" t="str">
        <f>E56&amp;", "&amp;B56&amp;", "&amp;C56&amp;", technical equipment, DIWAN"</f>
        <v>AURA II LPG Vaporizer, Gas Chromatography, Young In Chromass, technical equipment, DIWAN</v>
      </c>
      <c r="Z56" s="95" t="s">
        <v>2247</v>
      </c>
      <c r="AA56" s="96">
        <v>46257</v>
      </c>
      <c r="AB56" s="95" t="s">
        <v>2465</v>
      </c>
      <c r="AC56" s="97" t="str">
        <f>IF(AND(O56&lt;&gt;"",P56&lt;&gt;"",R56&lt;&gt;"",T56&lt;&gt;"",X56&lt;&gt;"",Y56&lt;&gt;"",Z56&lt;&gt;"",AA56&lt;&gt;"",AB56&lt;&gt;""),IF(AND(Q56&lt;&gt;"",S56&lt;&gt;"",U56&lt;&gt;""),"Ready for approval","Content drafted - assets/specs pending"),IF(COUNTA(O56:AB56)=0,"Not started","In progress"))</f>
        <v>Content drafted - assets/specs pending</v>
      </c>
      <c r="AD56" s="95" t="str">
        <f>"Baseline definition created from the official catalog name, partner and category classification ("&amp;G56&amp;").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6" s="98"/>
      <c r="AF56" s="98"/>
      <c r="AG56" s="98" t="s">
        <v>2467</v>
      </c>
      <c r="AH56" s="98" t="s">
        <v>2468</v>
      </c>
      <c r="AI56" s="106" t="s">
        <v>2469</v>
      </c>
    </row>
    <row r="57" spans="1:35" ht="42" customHeight="1" x14ac:dyDescent="0.35">
      <c r="A57" s="69">
        <f t="shared" si="0"/>
        <v>10</v>
      </c>
      <c r="B57" s="103" t="s">
        <v>2822</v>
      </c>
      <c r="C57" s="104" t="s">
        <v>3</v>
      </c>
      <c r="D57" s="105" t="s">
        <v>4</v>
      </c>
      <c r="E57" s="50" t="s">
        <v>57</v>
      </c>
      <c r="F57" s="51" t="s">
        <v>2973</v>
      </c>
      <c r="G57" s="50" t="s">
        <v>3045</v>
      </c>
      <c r="H57" s="52">
        <v>46257</v>
      </c>
      <c r="I57" s="53" t="s">
        <v>1542</v>
      </c>
      <c r="J57" s="53" t="s">
        <v>829</v>
      </c>
      <c r="K57" s="53" t="str">
        <f t="shared" ref="K57:K84" si="11">E57&amp;" is "&amp;IF(ISNUMBER(SEARCH(LEFT(LOWER(B57),1),"aeiou")),"an ","a ")&amp;LOWER(B57)&amp;" product from "&amp;C57&amp;" for application-specific laboratory, engineering or industrial use."</f>
        <v>ZEPHYR II Automated Gas Dilutor is a gas chromatography product from Young In Chromass for application-specific laboratory, engineering or industrial use.</v>
      </c>
      <c r="L57" s="53" t="str">
        <f t="shared" ref="L57:L84" si="12">E57&amp;" from "&amp;C57&amp;" for "&amp;LOWER(B57)&amp;" applications. Review configuration requirements and request technical information or a quotation from DIWAN."</f>
        <v>ZEPHYR II Automated Gas Dilutor from Young In Chromass for gas chromatography applications. Review configuration requirements and request technical information or a quotation from DIWAN.</v>
      </c>
      <c r="M57" s="53" t="s">
        <v>2020</v>
      </c>
      <c r="N57" s="62" t="s">
        <v>2672</v>
      </c>
      <c r="O57" s="54" t="str" cm="1">
        <f t="array" ref="O57">_xlfn.LET(_xlpm.n,LOWER(E57),_xlpm.c,LOWER(B57),_xlpm.t,_xlfn.IFS(OR(ISNUMBER(SEARCH("lens",_xlpm.n)),ISNUMBER(SEARCH("optic",_xlpm.n)),ISNUMBER(SEARCH("polarizer",_xlpm.n))),"precision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"),E57&amp;" is "&amp;_xlpm.art&amp;_xlpm.t&amp;" from "&amp;C57&amp;" designed for application-specific laboratory, engineering or industrial use. It belongs to DIWAN's "&amp;B57&amp;" portfolio; final configuration must be selected against performance, integration and compliance requirements.")</f>
        <v>ZEPHYR II Automated Gas Dilutor is a specialized gas chromatography product from Young In Chromass designed for application-specific laboratory, engineering or industrial use. It belongs to DIWAN's Gas Chromatography portfolio; final configuration must be selected against performance, integration and compliance requirements.</v>
      </c>
      <c r="P57" s="56" t="str">
        <f t="shared" ref="P57:P59" si="13">"Selection should confirm the model-specific operating range, capacity, accuracy, interfaces, utilities, accessories, standards, environmental limits and service requirements. Final capabilities depend on the approved "&amp;E57&amp;" configuration."</f>
        <v>Selection should confirm the model-specific operating range, capacity, accuracy, interfaces, utilities, accessories, standards, environmental limits and service requirements. Final capabilities depend on the approved ZEPHYR II Automated Gas Dilutor configuration.</v>
      </c>
      <c r="Q57" s="56"/>
      <c r="R57" s="56" t="str">
        <f t="shared" ref="R57:R59" si="14">B57&amp;" applications; laboratory research, engineering development, quality control and industrial deployment where applicable. Suitability must be confirmed against the user's sample, process, environment and required standards."</f>
        <v>Gas Chromatography applications; laboratory research, engineering development, quality control and industrial deployment where applicable. Suitability must be confirmed against the user's sample, process, environment and required standards.</v>
      </c>
      <c r="S57" s="56"/>
      <c r="T57" s="56" t="str">
        <f t="shared" ref="T57:T84" si="15">E57&amp;" from "&amp;C57</f>
        <v>ZEPHYR II Automated Gas Dilutor from Young In Chromass</v>
      </c>
      <c r="U57" s="56"/>
      <c r="V57" s="56" t="s">
        <v>2673</v>
      </c>
      <c r="W57" s="56" t="str">
        <f t="shared" ref="W57:W84" si="16">"See other "&amp;B57&amp;" products"</f>
        <v>See other Gas Chromatography products</v>
      </c>
      <c r="X57" s="56" t="str">
        <f t="shared" ref="X57:X84" si="17">B57&amp;" enquiry → website group enquiry form → category owner assignment"</f>
        <v>Gas Chromatography enquiry → website group enquiry form → category owner assignment</v>
      </c>
      <c r="Y57" s="56" t="str">
        <f t="shared" ref="Y57:Y84" si="18">E57&amp;", "&amp;B57&amp;", "&amp;C57&amp;", technical equipment, DIWAN"</f>
        <v>ZEPHYR II Automated Gas Dilutor, Gas Chromatography, Young In Chromass, technical equipment, DIWAN</v>
      </c>
      <c r="Z57" s="56" t="s">
        <v>2247</v>
      </c>
      <c r="AA57" s="57">
        <v>46257</v>
      </c>
      <c r="AB57" s="56" t="s">
        <v>2465</v>
      </c>
      <c r="AC57" s="64" t="str">
        <f t="shared" ref="AC57:AC84" si="19">IF(AND(O57&lt;&gt;"",P57&lt;&gt;"",R57&lt;&gt;"",T57&lt;&gt;"",X57&lt;&gt;"",Y57&lt;&gt;"",Z57&lt;&gt;"",AA57&lt;&gt;"",AB57&lt;&gt;""),IF(AND(Q57&lt;&gt;"",S57&lt;&gt;"",U57&lt;&gt;""),"Ready for approval","Content drafted - assets/specs pending"),IF(COUNTA(O57:AB57)=0,"Not started","In progress"))</f>
        <v>Content drafted - assets/specs pending</v>
      </c>
      <c r="AD57" s="56" t="str">
        <f t="shared" ref="AD57:AD59" si="20">"Baseline definition created from the official catalog name, partner and category classification ("&amp;G57&amp;").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7" s="59"/>
      <c r="AF57" s="59"/>
      <c r="AG57" s="59" t="s">
        <v>2467</v>
      </c>
      <c r="AH57" s="59" t="s">
        <v>2468</v>
      </c>
      <c r="AI57" s="60" t="s">
        <v>2469</v>
      </c>
    </row>
    <row r="58" spans="1:35" ht="42" customHeight="1" x14ac:dyDescent="0.35">
      <c r="A58" s="69">
        <f t="shared" si="0"/>
        <v>10</v>
      </c>
      <c r="B58" s="103" t="s">
        <v>2822</v>
      </c>
      <c r="C58" s="104" t="s">
        <v>3</v>
      </c>
      <c r="D58" s="105" t="s">
        <v>4</v>
      </c>
      <c r="E58" s="50" t="s">
        <v>25</v>
      </c>
      <c r="F58" s="51" t="s">
        <v>2973</v>
      </c>
      <c r="G58" s="50" t="s">
        <v>3045</v>
      </c>
      <c r="H58" s="52">
        <v>46257</v>
      </c>
      <c r="I58" s="53" t="s">
        <v>1544</v>
      </c>
      <c r="J58" s="53" t="s">
        <v>831</v>
      </c>
      <c r="K58" s="53" t="str">
        <f t="shared" si="11"/>
        <v>ChroZen GC is a gas chromatography product from Young In Chromass for application-specific laboratory, engineering or industrial use.</v>
      </c>
      <c r="L58" s="53" t="str">
        <f t="shared" si="12"/>
        <v>ChroZen GC from Young In Chromass for gas chromatography applications. Review configuration requirements and request technical information or a quotation from DIWAN.</v>
      </c>
      <c r="M58" s="53" t="s">
        <v>2020</v>
      </c>
      <c r="N58" s="62" t="s">
        <v>2672</v>
      </c>
      <c r="O58" s="54" t="str" cm="1">
        <f t="array" ref="O58">_xlfn.LET(_xlpm.n,LOWER(E58),_xlpm.c,LOWER(B58),_xlpm.t,_xlfn.IFS(OR(ISNUMBER(SEARCH("lens",_xlpm.n)),ISNUMBER(SEARCH("optic",_xlpm.n)),ISNUMBER(SEARCH("polarizer",_xlpm.n))),"precision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"),E58&amp;" is "&amp;_xlpm.art&amp;_xlpm.t&amp;" from "&amp;C58&amp;" designed for application-specific laboratory, engineering or industrial use. It belongs to DIWAN's "&amp;B58&amp;" portfolio; final configuration must be selected against performance, integration and compliance requirements.")</f>
        <v>ChroZen GC is a specialized gas chromatography product from Young In Chromass designed for application-specific laboratory, engineering or industrial use. It belongs to DIWAN's Gas Chromatography portfolio; final configuration must be selected against performance, integration and compliance requirements.</v>
      </c>
      <c r="P58" s="56" t="str">
        <f t="shared" si="13"/>
        <v>Selection should confirm the model-specific operating range, capacity, accuracy, interfaces, utilities, accessories, standards, environmental limits and service requirements. Final capabilities depend on the approved ChroZen GC configuration.</v>
      </c>
      <c r="Q58" s="56"/>
      <c r="R58" s="56" t="str">
        <f t="shared" si="14"/>
        <v>Gas Chromatography applications; laboratory research, engineering development, quality control and industrial deployment where applicable. Suitability must be confirmed against the user's sample, process, environment and required standards.</v>
      </c>
      <c r="S58" s="56"/>
      <c r="T58" s="56" t="str">
        <f t="shared" si="15"/>
        <v>ChroZen GC from Young In Chromass</v>
      </c>
      <c r="U58" s="56"/>
      <c r="V58" s="56" t="s">
        <v>2673</v>
      </c>
      <c r="W58" s="56" t="str">
        <f t="shared" si="16"/>
        <v>See other Gas Chromatography products</v>
      </c>
      <c r="X58" s="56" t="str">
        <f t="shared" si="17"/>
        <v>Gas Chromatography enquiry → website group enquiry form → category owner assignment</v>
      </c>
      <c r="Y58" s="56" t="str">
        <f t="shared" si="18"/>
        <v>ChroZen GC, Gas Chromatography, Young In Chromass, technical equipment, DIWAN</v>
      </c>
      <c r="Z58" s="56" t="s">
        <v>2247</v>
      </c>
      <c r="AA58" s="57">
        <v>46257</v>
      </c>
      <c r="AB58" s="56" t="s">
        <v>2465</v>
      </c>
      <c r="AC58" s="64" t="str">
        <f t="shared" si="19"/>
        <v>Content drafted - assets/specs pending</v>
      </c>
      <c r="AD58" s="56" t="str">
        <f t="shared" si="2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8" s="59"/>
      <c r="AF58" s="59"/>
      <c r="AG58" s="59" t="s">
        <v>2467</v>
      </c>
      <c r="AH58" s="59" t="s">
        <v>2468</v>
      </c>
      <c r="AI58" s="60" t="s">
        <v>2469</v>
      </c>
    </row>
    <row r="59" spans="1:35" ht="42" customHeight="1" x14ac:dyDescent="0.35">
      <c r="A59" s="69">
        <f t="shared" si="0"/>
        <v>10</v>
      </c>
      <c r="B59" s="103" t="s">
        <v>2822</v>
      </c>
      <c r="C59" s="104" t="s">
        <v>3</v>
      </c>
      <c r="D59" s="105" t="s">
        <v>4</v>
      </c>
      <c r="E59" s="50" t="s">
        <v>58</v>
      </c>
      <c r="F59" s="51" t="s">
        <v>2973</v>
      </c>
      <c r="G59" s="50" t="s">
        <v>3045</v>
      </c>
      <c r="H59" s="52">
        <v>46257</v>
      </c>
      <c r="I59" s="53" t="s">
        <v>1545</v>
      </c>
      <c r="J59" s="53" t="s">
        <v>832</v>
      </c>
      <c r="K59" s="53" t="str">
        <f t="shared" si="11"/>
        <v>ChroZen GC-VUV is a gas chromatography product from Young In Chromass for application-specific laboratory, engineering or industrial use.</v>
      </c>
      <c r="L59" s="53" t="str">
        <f t="shared" si="12"/>
        <v>ChroZen GC-VUV from Young In Chromass for gas chromatography applications. Review configuration requirements and request technical information or a quotation from DIWAN.</v>
      </c>
      <c r="M59" s="53" t="s">
        <v>2020</v>
      </c>
      <c r="N59" s="62" t="s">
        <v>2672</v>
      </c>
      <c r="O59" s="54" t="str" cm="1">
        <f t="array" ref="O59">_xlfn.LET(_xlpm.n,LOWER(E59),_xlpm.c,LOWER(B59),_xlpm.t,_xlfn.IFS(OR(ISNUMBER(SEARCH("lens",_xlpm.n)),ISNUMBER(SEARCH("optic",_xlpm.n)),ISNUMBER(SEARCH("polarizer",_xlpm.n))),"precision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"),E59&amp;" is "&amp;_xlpm.art&amp;_xlpm.t&amp;" from "&amp;C59&amp;" designed for application-specific laboratory, engineering or industrial use. It belongs to DIWAN's "&amp;B59&amp;" portfolio; final configuration must be selected against performance, integration and compliance requirements.")</f>
        <v>ChroZen GC-VUV is a specialized gas chromatography product from Young In Chromass designed for application-specific laboratory, engineering or industrial use. It belongs to DIWAN's Gas Chromatography portfolio; final configuration must be selected against performance, integration and compliance requirements.</v>
      </c>
      <c r="P59" s="56" t="str">
        <f t="shared" si="13"/>
        <v>Selection should confirm the model-specific operating range, capacity, accuracy, interfaces, utilities, accessories, standards, environmental limits and service requirements. Final capabilities depend on the approved ChroZen GC-VUV configuration.</v>
      </c>
      <c r="Q59" s="56"/>
      <c r="R59" s="56" t="str">
        <f t="shared" si="14"/>
        <v>Gas Chromatography applications; laboratory research, engineering development, quality control and industrial deployment where applicable. Suitability must be confirmed against the user's sample, process, environment and required standards.</v>
      </c>
      <c r="S59" s="56"/>
      <c r="T59" s="56" t="str">
        <f t="shared" si="15"/>
        <v>ChroZen GC-VUV from Young In Chromass</v>
      </c>
      <c r="U59" s="56"/>
      <c r="V59" s="56" t="s">
        <v>2673</v>
      </c>
      <c r="W59" s="56" t="str">
        <f t="shared" si="16"/>
        <v>See other Gas Chromatography products</v>
      </c>
      <c r="X59" s="56" t="str">
        <f t="shared" si="17"/>
        <v>Gas Chromatography enquiry → website group enquiry form → category owner assignment</v>
      </c>
      <c r="Y59" s="56" t="str">
        <f t="shared" si="18"/>
        <v>ChroZen GC-VUV, Gas Chromatography, Young In Chromass, technical equipment, DIWAN</v>
      </c>
      <c r="Z59" s="56" t="s">
        <v>2247</v>
      </c>
      <c r="AA59" s="57">
        <v>46257</v>
      </c>
      <c r="AB59" s="56" t="s">
        <v>2465</v>
      </c>
      <c r="AC59" s="64" t="str">
        <f t="shared" si="19"/>
        <v>Content drafted - assets/specs pending</v>
      </c>
      <c r="AD59" s="56" t="str">
        <f t="shared" si="2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9" s="59"/>
      <c r="AF59" s="59"/>
      <c r="AG59" s="59" t="s">
        <v>2467</v>
      </c>
      <c r="AH59" s="59" t="s">
        <v>2468</v>
      </c>
      <c r="AI59" s="60" t="s">
        <v>2469</v>
      </c>
    </row>
    <row r="60" spans="1:35" ht="42" customHeight="1" x14ac:dyDescent="0.35">
      <c r="A60" s="69">
        <f t="shared" si="0"/>
        <v>11</v>
      </c>
      <c r="B60" s="103" t="s">
        <v>2833</v>
      </c>
      <c r="C60" s="104" t="s">
        <v>3</v>
      </c>
      <c r="D60" s="105" t="s">
        <v>4</v>
      </c>
      <c r="E60" s="50" t="s">
        <v>2804</v>
      </c>
      <c r="F60" s="107" t="s">
        <v>2974</v>
      </c>
      <c r="G60" s="50" t="s">
        <v>3045</v>
      </c>
      <c r="H60" s="52">
        <v>46257</v>
      </c>
      <c r="I60" s="53" t="s">
        <v>2805</v>
      </c>
      <c r="J60" s="53" t="s">
        <v>2806</v>
      </c>
      <c r="K60" s="53" t="str">
        <f t="shared" si="11"/>
        <v>Whisper Nitrogen Generator (External Compressor) is a gas generators product from Young In Chromass for application-specific laboratory, engineering or industrial use.</v>
      </c>
      <c r="L60" s="53" t="str">
        <f t="shared" si="12"/>
        <v>Whisper Nitrogen Generator (External Compressor) from Young In Chromass for gas generators applications. Review configuration requirements and request technical information or a quotation from DIWAN.</v>
      </c>
      <c r="M60" s="53" t="s">
        <v>2020</v>
      </c>
      <c r="N60" s="62" t="s">
        <v>2672</v>
      </c>
      <c r="O60" s="56" t="s">
        <v>2810</v>
      </c>
      <c r="P60" s="56" t="s">
        <v>2811</v>
      </c>
      <c r="Q60" s="56" t="s">
        <v>2812</v>
      </c>
      <c r="R60" s="56" t="s">
        <v>2813</v>
      </c>
      <c r="S60" s="56" t="s">
        <v>2925</v>
      </c>
      <c r="T60" s="56" t="str">
        <f t="shared" si="15"/>
        <v>Whisper Nitrogen Generator (External Compressor) from Young In Chromass</v>
      </c>
      <c r="U60" s="56"/>
      <c r="V60" s="56" t="s">
        <v>2673</v>
      </c>
      <c r="W60" s="56" t="str">
        <f t="shared" si="16"/>
        <v>See other Gas Generators products</v>
      </c>
      <c r="X60" s="56" t="str">
        <f t="shared" si="17"/>
        <v>Gas Generators enquiry → website group enquiry form → category owner assignment</v>
      </c>
      <c r="Y60" s="56" t="str">
        <f t="shared" si="18"/>
        <v>Whisper Nitrogen Generator (External Compressor), Gas Generators, Young In Chromass, technical equipment, DIWAN</v>
      </c>
      <c r="Z60" s="56" t="s">
        <v>2818</v>
      </c>
      <c r="AA60" s="57">
        <v>46257</v>
      </c>
      <c r="AB60" s="56" t="s">
        <v>2465</v>
      </c>
      <c r="AC60" s="64" t="str">
        <f t="shared" si="19"/>
        <v>Content drafted - assets/specs pending</v>
      </c>
      <c r="AD60" s="56" t="s">
        <v>2820</v>
      </c>
      <c r="AE60" s="59"/>
      <c r="AF60" s="59"/>
      <c r="AG60" s="59" t="s">
        <v>2467</v>
      </c>
      <c r="AH60" s="59" t="s">
        <v>2468</v>
      </c>
      <c r="AI60" s="60" t="s">
        <v>2469</v>
      </c>
    </row>
    <row r="61" spans="1:35" ht="42" customHeight="1" x14ac:dyDescent="0.35">
      <c r="A61" s="69">
        <f t="shared" si="0"/>
        <v>11</v>
      </c>
      <c r="B61" s="103" t="s">
        <v>2833</v>
      </c>
      <c r="C61" s="104" t="s">
        <v>3</v>
      </c>
      <c r="D61" s="105" t="s">
        <v>4</v>
      </c>
      <c r="E61" s="50" t="s">
        <v>2835</v>
      </c>
      <c r="F61" s="107" t="s">
        <v>2974</v>
      </c>
      <c r="G61" s="50" t="s">
        <v>3045</v>
      </c>
      <c r="H61" s="52">
        <v>46257</v>
      </c>
      <c r="I61" s="53" t="s">
        <v>2836</v>
      </c>
      <c r="J61" s="53" t="s">
        <v>2837</v>
      </c>
      <c r="K61" s="53" t="str">
        <f t="shared" si="11"/>
        <v>N2 Tower Plus (High Purity N2) Generator is a gas generators product from Young In Chromass for application-specific laboratory, engineering or industrial use.</v>
      </c>
      <c r="L61" s="53" t="str">
        <f t="shared" si="12"/>
        <v>N2 Tower Plus (High Purity N2) Generator from Young In Chromass for gas generators applications. Review configuration requirements and request technical information or a quotation from DIWAN.</v>
      </c>
      <c r="M61" s="53" t="s">
        <v>2020</v>
      </c>
      <c r="N61" s="62" t="s">
        <v>2672</v>
      </c>
      <c r="O61" s="54" t="str" cm="1">
        <f t="array" ref="O61">_xlfn.LET(_xlpm.n,LOWER(E61),_xlpm.c,LOWER(B61),_xlpm.t,_xlfn.IFS(OR(ISNUMBER(SEARCH("lens",_xlpm.n)),ISNUMBER(SEARCH("optic",_xlpm.n)),ISNUMBER(SEARCH("polarizer",_xlpm.n))),"precision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"),E61&amp;" is "&amp;_xlpm.art&amp;_xlpm.t&amp;" from "&amp;C61&amp;" designed for application-specific laboratory, engineering or industrial use. It belongs to DIWAN's "&amp;B61&amp;" portfolio; final configuration must be selected against performance, integration and compliance requirements.")</f>
        <v>N2 Tower Plus (High Purity N2) Generator is a specialized gas generators product from Young In Chromass designed for application-specific laboratory, engineering or industrial use. It belongs to DIWAN's Gas Generators portfolio; final configuration must be selected against performance, integration and compliance requirements.</v>
      </c>
      <c r="P61" s="56" t="str">
        <f t="shared" ref="P61:P70" si="21">"Selection should confirm the model-specific operating range, capacity, accuracy, interfaces, utilities, accessories, standards, environmental limits and service requirements. Final capabilities depend on the approved "&amp;E61&amp;" configuration."</f>
        <v>Selection should confirm the model-specific operating range, capacity, accuracy, interfaces, utilities, accessories, standards, environmental limits and service requirements. Final capabilities depend on the approved N2 Tower Plus (High Purity N2) Generator configuration.</v>
      </c>
      <c r="Q61" s="56"/>
      <c r="R61" s="56" t="str">
        <f t="shared" ref="R61:R70" si="22">B61&amp;" applications; laboratory research, engineering development, quality control and industrial deployment where applicable. Suitability must be confirmed against the user's sample, process, environment and required standards."</f>
        <v>Gas Generators applications; laboratory research, engineering development, quality control and industrial deployment where applicable. Suitability must be confirmed against the user's sample, process, environment and required standards.</v>
      </c>
      <c r="S61" s="56" t="s">
        <v>2926</v>
      </c>
      <c r="T61" s="56" t="str">
        <f t="shared" si="15"/>
        <v>N2 Tower Plus (High Purity N2) Generator from Young In Chromass</v>
      </c>
      <c r="U61" s="56"/>
      <c r="V61" s="56" t="s">
        <v>2673</v>
      </c>
      <c r="W61" s="56" t="str">
        <f t="shared" si="16"/>
        <v>See other Gas Generators products</v>
      </c>
      <c r="X61" s="56" t="str">
        <f t="shared" si="17"/>
        <v>Gas Generators enquiry → website group enquiry form → category owner assignment</v>
      </c>
      <c r="Y61" s="56" t="str">
        <f t="shared" si="18"/>
        <v>N2 Tower Plus (High Purity N2) Generator, Gas Generators, Young In Chromass, technical equipment, DIWAN</v>
      </c>
      <c r="Z61" s="56" t="s">
        <v>2838</v>
      </c>
      <c r="AA61" s="57">
        <v>46257</v>
      </c>
      <c r="AB61" s="56" t="s">
        <v>2465</v>
      </c>
      <c r="AC61" s="64" t="str">
        <f t="shared" si="19"/>
        <v>Content drafted - assets/specs pending</v>
      </c>
      <c r="AD61" s="56" t="str">
        <f t="shared" ref="AD61:AD70" si="23">"Baseline definition created from the official catalog name, partner and category classification ("&amp;G61&amp;").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1" s="59"/>
      <c r="AF61" s="59"/>
      <c r="AG61" s="59" t="s">
        <v>2467</v>
      </c>
      <c r="AH61" s="59" t="s">
        <v>2468</v>
      </c>
      <c r="AI61" s="60" t="s">
        <v>2469</v>
      </c>
    </row>
    <row r="62" spans="1:35" ht="42" customHeight="1" x14ac:dyDescent="0.35">
      <c r="A62" s="69">
        <f t="shared" si="0"/>
        <v>11</v>
      </c>
      <c r="B62" s="103" t="s">
        <v>2833</v>
      </c>
      <c r="C62" s="104" t="s">
        <v>3</v>
      </c>
      <c r="D62" s="105" t="s">
        <v>4</v>
      </c>
      <c r="E62" s="50" t="s">
        <v>2839</v>
      </c>
      <c r="F62" s="107" t="s">
        <v>2974</v>
      </c>
      <c r="G62" s="50" t="s">
        <v>3045</v>
      </c>
      <c r="H62" s="52">
        <v>46257</v>
      </c>
      <c r="I62" s="53" t="s">
        <v>2840</v>
      </c>
      <c r="J62" s="53" t="s">
        <v>2841</v>
      </c>
      <c r="K62" s="53" t="str">
        <f t="shared" si="11"/>
        <v>Air Ultra Zero Generator (Hydrocarbon Trap Type) is a gas generators product from Young In Chromass for application-specific laboratory, engineering or industrial use.</v>
      </c>
      <c r="L62" s="53" t="str">
        <f t="shared" si="12"/>
        <v>Air Ultra Zero Generator (Hydrocarbon Trap Type) from Young In Chromass for gas generators applications. Review configuration requirements and request technical information or a quotation from DIWAN.</v>
      </c>
      <c r="M62" s="53" t="s">
        <v>2020</v>
      </c>
      <c r="N62" s="62" t="s">
        <v>2672</v>
      </c>
      <c r="O62" s="54" t="str" cm="1">
        <f t="array" ref="O62">_xlfn.LET(_xlpm.n,LOWER(E62),_xlpm.c,LOWER(B62),_xlpm.t,_xlfn.IFS(OR(ISNUMBER(SEARCH("lens",_xlpm.n)),ISNUMBER(SEARCH("optic",_xlpm.n)),ISNUMBER(SEARCH("polarizer",_xlpm.n))),"precision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"),E62&amp;" is "&amp;_xlpm.art&amp;_xlpm.t&amp;" from "&amp;C62&amp;" designed for application-specific laboratory, engineering or industrial use. It belongs to DIWAN's "&amp;B62&amp;" portfolio; final configuration must be selected against performance, integration and compliance requirements.")</f>
        <v>Air Ultra Zero Generator (Hydrocarbon Trap Type) is a specialized gas generators product from Young In Chromass designed for application-specific laboratory, engineering or industrial use. It belongs to DIWAN's Gas Generators portfolio; final configuration must be selected against performance, integration and compliance requirements.</v>
      </c>
      <c r="P62" s="56" t="str">
        <f t="shared" si="21"/>
        <v>Selection should confirm the model-specific operating range, capacity, accuracy, interfaces, utilities, accessories, standards, environmental limits and service requirements. Final capabilities depend on the approved Air Ultra Zero Generator (Hydrocarbon Trap Type) configuration.</v>
      </c>
      <c r="Q62" s="56"/>
      <c r="R62" s="56" t="str">
        <f t="shared" si="22"/>
        <v>Gas Generators applications; laboratory research, engineering development, quality control and industrial deployment where applicable. Suitability must be confirmed against the user's sample, process, environment and required standards.</v>
      </c>
      <c r="S62" s="56" t="s">
        <v>2927</v>
      </c>
      <c r="T62" s="56" t="str">
        <f t="shared" si="15"/>
        <v>Air Ultra Zero Generator (Hydrocarbon Trap Type) from Young In Chromass</v>
      </c>
      <c r="U62" s="56"/>
      <c r="V62" s="56" t="s">
        <v>2673</v>
      </c>
      <c r="W62" s="56" t="str">
        <f t="shared" si="16"/>
        <v>See other Gas Generators products</v>
      </c>
      <c r="X62" s="56" t="str">
        <f t="shared" si="17"/>
        <v>Gas Generators enquiry → website group enquiry form → category owner assignment</v>
      </c>
      <c r="Y62" s="56" t="str">
        <f t="shared" si="18"/>
        <v>Air Ultra Zero Generator (Hydrocarbon Trap Type), Gas Generators, Young In Chromass, technical equipment, DIWAN</v>
      </c>
      <c r="Z62" s="56" t="s">
        <v>2842</v>
      </c>
      <c r="AA62" s="57">
        <v>46257</v>
      </c>
      <c r="AB62" s="56" t="s">
        <v>2465</v>
      </c>
      <c r="AC62" s="64" t="str">
        <f t="shared" si="19"/>
        <v>Content drafted - assets/specs pending</v>
      </c>
      <c r="AD62"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2" s="59"/>
      <c r="AF62" s="59"/>
      <c r="AG62" s="59" t="s">
        <v>2467</v>
      </c>
      <c r="AH62" s="59" t="s">
        <v>2468</v>
      </c>
      <c r="AI62" s="60" t="s">
        <v>2469</v>
      </c>
    </row>
    <row r="63" spans="1:35" ht="42" customHeight="1" x14ac:dyDescent="0.35">
      <c r="A63" s="69">
        <f t="shared" si="0"/>
        <v>11</v>
      </c>
      <c r="B63" s="103" t="s">
        <v>2833</v>
      </c>
      <c r="C63" s="104" t="s">
        <v>3</v>
      </c>
      <c r="D63" s="105" t="s">
        <v>4</v>
      </c>
      <c r="E63" s="50" t="s">
        <v>2843</v>
      </c>
      <c r="F63" s="107" t="s">
        <v>2974</v>
      </c>
      <c r="G63" s="50" t="s">
        <v>3045</v>
      </c>
      <c r="H63" s="52">
        <v>46257</v>
      </c>
      <c r="I63" s="53" t="s">
        <v>2844</v>
      </c>
      <c r="J63" s="53" t="s">
        <v>2845</v>
      </c>
      <c r="K63" s="53" t="str">
        <f t="shared" si="11"/>
        <v>Air Generator (Zero Air GC Series) is a gas generators product from Young In Chromass for application-specific laboratory, engineering or industrial use.</v>
      </c>
      <c r="L63" s="53" t="str">
        <f t="shared" si="12"/>
        <v>Air Generator (Zero Air GC Series) from Young In Chromass for gas generators applications. Review configuration requirements and request technical information or a quotation from DIWAN.</v>
      </c>
      <c r="M63" s="53" t="s">
        <v>2020</v>
      </c>
      <c r="N63" s="62" t="s">
        <v>2672</v>
      </c>
      <c r="O63" s="54" t="str" cm="1">
        <f t="array" ref="O63">_xlfn.LET(_xlpm.n,LOWER(E63),_xlpm.c,LOWER(B63),_xlpm.t,_xlfn.IFS(OR(ISNUMBER(SEARCH("lens",_xlpm.n)),ISNUMBER(SEARCH("optic",_xlpm.n)),ISNUMBER(SEARCH("polarizer",_xlpm.n))),"precision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"),E63&amp;" is "&amp;_xlpm.art&amp;_xlpm.t&amp;" from "&amp;C63&amp;" designed for application-specific laboratory, engineering or industrial use. It belongs to DIWAN's "&amp;B63&amp;" portfolio; final configuration must be selected against performance, integration and compliance requirements.")</f>
        <v>Air Generator (Zero Air GC Series) is a specialized gas generators product from Young In Chromass designed for application-specific laboratory, engineering or industrial use. It belongs to DIWAN's Gas Generators portfolio; final configuration must be selected against performance, integration and compliance requirements.</v>
      </c>
      <c r="P63" s="56" t="str">
        <f t="shared" si="21"/>
        <v>Selection should confirm the model-specific operating range, capacity, accuracy, interfaces, utilities, accessories, standards, environmental limits and service requirements. Final capabilities depend on the approved Air Generator (Zero Air GC Series) configuration.</v>
      </c>
      <c r="Q63" s="56"/>
      <c r="R63" s="56" t="str">
        <f t="shared" si="22"/>
        <v>Gas Generators applications; laboratory research, engineering development, quality control and industrial deployment where applicable. Suitability must be confirmed against the user's sample, process, environment and required standards.</v>
      </c>
      <c r="S63" s="56" t="s">
        <v>2928</v>
      </c>
      <c r="T63" s="56" t="str">
        <f t="shared" si="15"/>
        <v>Air Generator (Zero Air GC Series) from Young In Chromass</v>
      </c>
      <c r="U63" s="56"/>
      <c r="V63" s="56" t="s">
        <v>2673</v>
      </c>
      <c r="W63" s="56" t="str">
        <f t="shared" si="16"/>
        <v>See other Gas Generators products</v>
      </c>
      <c r="X63" s="56" t="str">
        <f t="shared" si="17"/>
        <v>Gas Generators enquiry → website group enquiry form → category owner assignment</v>
      </c>
      <c r="Y63" s="56" t="str">
        <f t="shared" si="18"/>
        <v>Air Generator (Zero Air GC Series), Gas Generators, Young In Chromass, technical equipment, DIWAN</v>
      </c>
      <c r="Z63" s="56" t="s">
        <v>2846</v>
      </c>
      <c r="AA63" s="57">
        <v>46257</v>
      </c>
      <c r="AB63" s="56" t="s">
        <v>2465</v>
      </c>
      <c r="AC63" s="64" t="str">
        <f t="shared" si="19"/>
        <v>Content drafted - assets/specs pending</v>
      </c>
      <c r="AD63"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3" s="59"/>
      <c r="AF63" s="59"/>
      <c r="AG63" s="59" t="s">
        <v>2467</v>
      </c>
      <c r="AH63" s="59" t="s">
        <v>2468</v>
      </c>
      <c r="AI63" s="60" t="s">
        <v>2469</v>
      </c>
    </row>
    <row r="64" spans="1:35" ht="42" customHeight="1" x14ac:dyDescent="0.35">
      <c r="A64" s="69">
        <f t="shared" si="0"/>
        <v>11</v>
      </c>
      <c r="B64" s="103" t="s">
        <v>2833</v>
      </c>
      <c r="C64" s="104" t="s">
        <v>3</v>
      </c>
      <c r="D64" s="105" t="s">
        <v>4</v>
      </c>
      <c r="E64" s="50" t="s">
        <v>2847</v>
      </c>
      <c r="F64" s="107" t="s">
        <v>2974</v>
      </c>
      <c r="G64" s="50" t="s">
        <v>3045</v>
      </c>
      <c r="H64" s="52">
        <v>46257</v>
      </c>
      <c r="I64" s="53" t="s">
        <v>2848</v>
      </c>
      <c r="J64" s="53" t="s">
        <v>2849</v>
      </c>
      <c r="K64" s="53" t="str">
        <f t="shared" si="11"/>
        <v>Mistral Evolution (Built-in Compressor) is a gas generators product from Young In Chromass for application-specific laboratory, engineering or industrial use.</v>
      </c>
      <c r="L64" s="53" t="str">
        <f t="shared" si="12"/>
        <v>Mistral Evolution (Built-in Compressor) from Young In Chromass for gas generators applications. Review configuration requirements and request technical information or a quotation from DIWAN.</v>
      </c>
      <c r="M64" s="53" t="s">
        <v>2020</v>
      </c>
      <c r="N64" s="62" t="s">
        <v>2672</v>
      </c>
      <c r="O64" s="54" t="str" cm="1">
        <f t="array" ref="O64">_xlfn.LET(_xlpm.n,LOWER(E64),_xlpm.c,LOWER(B64),_xlpm.t,_xlfn.IFS(OR(ISNUMBER(SEARCH("lens",_xlpm.n)),ISNUMBER(SEARCH("optic",_xlpm.n)),ISNUMBER(SEARCH("polarizer",_xlpm.n))),"precision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"),E64&amp;" is "&amp;_xlpm.art&amp;_xlpm.t&amp;" from "&amp;C64&amp;" designed for application-specific laboratory, engineering or industrial use. It belongs to DIWAN's "&amp;B64&amp;" portfolio; final configuration must be selected against performance, integration and compliance requirements.")</f>
        <v>Mistral Evolution (Built-in Compressor) is a specialized gas generators product from Young In Chromass designed for application-specific laboratory, engineering or industrial use. It belongs to DIWAN's Gas Generators portfolio; final configuration must be selected against performance, integration and compliance requirements.</v>
      </c>
      <c r="P64" s="56" t="str">
        <f t="shared" si="21"/>
        <v>Selection should confirm the model-specific operating range, capacity, accuracy, interfaces, utilities, accessories, standards, environmental limits and service requirements. Final capabilities depend on the approved Mistral Evolution (Built-in Compressor) configuration.</v>
      </c>
      <c r="Q64" s="56"/>
      <c r="R64" s="56" t="str">
        <f t="shared" si="22"/>
        <v>Gas Generators applications; laboratory research, engineering development, quality control and industrial deployment where applicable. Suitability must be confirmed against the user's sample, process, environment and required standards.</v>
      </c>
      <c r="S64" s="56" t="s">
        <v>2929</v>
      </c>
      <c r="T64" s="56" t="str">
        <f t="shared" si="15"/>
        <v>Mistral Evolution (Built-in Compressor) from Young In Chromass</v>
      </c>
      <c r="U64" s="56"/>
      <c r="V64" s="56" t="s">
        <v>2673</v>
      </c>
      <c r="W64" s="56" t="str">
        <f t="shared" si="16"/>
        <v>See other Gas Generators products</v>
      </c>
      <c r="X64" s="56" t="str">
        <f t="shared" si="17"/>
        <v>Gas Generators enquiry → website group enquiry form → category owner assignment</v>
      </c>
      <c r="Y64" s="56" t="str">
        <f t="shared" si="18"/>
        <v>Mistral Evolution (Built-in Compressor), Gas Generators, Young In Chromass, technical equipment, DIWAN</v>
      </c>
      <c r="Z64" s="56" t="s">
        <v>2850</v>
      </c>
      <c r="AA64" s="57">
        <v>46257</v>
      </c>
      <c r="AB64" s="56" t="s">
        <v>2465</v>
      </c>
      <c r="AC64" s="64" t="str">
        <f t="shared" si="19"/>
        <v>Content drafted - assets/specs pending</v>
      </c>
      <c r="AD64"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4" s="59"/>
      <c r="AF64" s="59"/>
      <c r="AG64" s="59" t="s">
        <v>2467</v>
      </c>
      <c r="AH64" s="59" t="s">
        <v>2468</v>
      </c>
      <c r="AI64" s="60" t="s">
        <v>2469</v>
      </c>
    </row>
    <row r="65" spans="1:35" ht="42" customHeight="1" x14ac:dyDescent="0.35">
      <c r="A65" s="69">
        <f t="shared" si="0"/>
        <v>12</v>
      </c>
      <c r="B65" s="103" t="s">
        <v>2828</v>
      </c>
      <c r="C65" s="104" t="s">
        <v>3</v>
      </c>
      <c r="D65" s="105" t="s">
        <v>4</v>
      </c>
      <c r="E65" s="50" t="s">
        <v>74</v>
      </c>
      <c r="F65" s="51" t="s">
        <v>2975</v>
      </c>
      <c r="G65" s="50" t="s">
        <v>3045</v>
      </c>
      <c r="H65" s="52">
        <v>46257</v>
      </c>
      <c r="I65" s="53" t="s">
        <v>1562</v>
      </c>
      <c r="J65" s="53" t="s">
        <v>849</v>
      </c>
      <c r="K65" s="53" t="str">
        <f t="shared" si="11"/>
        <v>ChroZen IC Modules is an ion chromatography product from Young In Chromass for application-specific laboratory, engineering or industrial use.</v>
      </c>
      <c r="L65" s="53" t="str">
        <f t="shared" si="12"/>
        <v>ChroZen IC Modules from Young In Chromass for ion chromatography applications. Review configuration requirements and request technical information or a quotation from DIWAN.</v>
      </c>
      <c r="M65" s="53" t="s">
        <v>2020</v>
      </c>
      <c r="N65" s="62" t="s">
        <v>2672</v>
      </c>
      <c r="O65" s="54" t="str" cm="1">
        <f t="array" ref="O65">_xlfn.LET(_xlpm.n,LOWER(E65),_xlpm.c,LOWER(B65),_xlpm.t,_xlfn.IFS(OR(ISNUMBER(SEARCH("lens",_xlpm.n)),ISNUMBER(SEARCH("optic",_xlpm.n)),ISNUMBER(SEARCH("polarizer",_xlpm.n))),"precision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"),E65&amp;" is "&amp;_xlpm.art&amp;_xlpm.t&amp;" from "&amp;C65&amp;" designed for application-specific laboratory, engineering or industrial use. It belongs to DIWAN's "&amp;B65&amp;" portfolio; final configuration must be selected against performance, integration and compliance requirements.")</f>
        <v>ChroZen IC Modules is a specialized ion chromatography product from Young In Chromass designed for application-specific laboratory, engineering or industrial use. It belongs to DIWAN's Ion Chromatography portfolio; final configuration must be selected against performance, integration and compliance requirements.</v>
      </c>
      <c r="P65" s="56" t="str">
        <f t="shared" si="21"/>
        <v>Selection should confirm the model-specific operating range, capacity, accuracy, interfaces, utilities, accessories, standards, environmental limits and service requirements. Final capabilities depend on the approved ChroZen IC Modules configuration.</v>
      </c>
      <c r="Q65" s="56"/>
      <c r="R65" s="56" t="str">
        <f t="shared" si="22"/>
        <v>Ion Chromatography applications; laboratory research, engineering development, quality control and industrial deployment where applicable. Suitability must be confirmed against the user's sample, process, environment and required standards.</v>
      </c>
      <c r="S65" s="56"/>
      <c r="T65" s="56" t="str">
        <f t="shared" si="15"/>
        <v>ChroZen IC Modules from Young In Chromass</v>
      </c>
      <c r="U65" s="56"/>
      <c r="V65" s="56" t="s">
        <v>2673</v>
      </c>
      <c r="W65" s="56" t="str">
        <f t="shared" si="16"/>
        <v>See other Ion Chromatography products</v>
      </c>
      <c r="X65" s="56" t="str">
        <f t="shared" si="17"/>
        <v>Ion Chromatography enquiry → website group enquiry form → category owner assignment</v>
      </c>
      <c r="Y65" s="56" t="str">
        <f t="shared" si="18"/>
        <v>ChroZen IC Modules, Ion Chromatography, Young In Chromass, technical equipment, DIWAN</v>
      </c>
      <c r="Z65" s="56" t="s">
        <v>2247</v>
      </c>
      <c r="AA65" s="57">
        <v>46257</v>
      </c>
      <c r="AB65" s="56" t="s">
        <v>2465</v>
      </c>
      <c r="AC65" s="64" t="str">
        <f t="shared" si="19"/>
        <v>Content drafted - assets/specs pending</v>
      </c>
      <c r="AD65"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5" s="59"/>
      <c r="AF65" s="59"/>
      <c r="AG65" s="59" t="s">
        <v>2467</v>
      </c>
      <c r="AH65" s="59" t="s">
        <v>2468</v>
      </c>
      <c r="AI65" s="60" t="s">
        <v>2469</v>
      </c>
    </row>
    <row r="66" spans="1:35" ht="42" customHeight="1" x14ac:dyDescent="0.35">
      <c r="A66" s="69">
        <f t="shared" si="0"/>
        <v>12</v>
      </c>
      <c r="B66" s="103" t="s">
        <v>2828</v>
      </c>
      <c r="C66" s="104" t="s">
        <v>3</v>
      </c>
      <c r="D66" s="105" t="s">
        <v>4</v>
      </c>
      <c r="E66" s="50" t="s">
        <v>78</v>
      </c>
      <c r="F66" s="51" t="s">
        <v>2975</v>
      </c>
      <c r="G66" s="50" t="s">
        <v>3045</v>
      </c>
      <c r="H66" s="52">
        <v>46257</v>
      </c>
      <c r="I66" s="53" t="s">
        <v>1566</v>
      </c>
      <c r="J66" s="53" t="s">
        <v>853</v>
      </c>
      <c r="K66" s="53" t="str">
        <f t="shared" si="11"/>
        <v>ChroZen IC Consumables (Columns &amp; Suppressors) is an ion chromatography product from Young In Chromass for application-specific laboratory, engineering or industrial use.</v>
      </c>
      <c r="L66" s="53" t="str">
        <f t="shared" si="12"/>
        <v>ChroZen IC Consumables (Columns &amp; Suppressors) from Young In Chromass for ion chromatography applications. Review configuration requirements and request technical information or a quotation from DIWAN.</v>
      </c>
      <c r="M66" s="53" t="s">
        <v>2020</v>
      </c>
      <c r="N66" s="62" t="s">
        <v>2672</v>
      </c>
      <c r="O66" s="54" t="str" cm="1">
        <f t="array" ref="O66">_xlfn.LET(_xlpm.n,LOWER(E66),_xlpm.c,LOWER(B66),_xlpm.t,_xlfn.IFS(OR(ISNUMBER(SEARCH("lens",_xlpm.n)),ISNUMBER(SEARCH("optic",_xlpm.n)),ISNUMBER(SEARCH("polarizer",_xlpm.n))),"precision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"),E66&amp;" is "&amp;_xlpm.art&amp;_xlpm.t&amp;" from "&amp;C66&amp;" designed for application-specific laboratory, engineering or industrial use. It belongs to DIWAN's "&amp;B66&amp;" portfolio; final configuration must be selected against performance, integration and compliance requirements.")</f>
        <v>ChroZen IC Consumables (Columns &amp; Suppressors) is a specialized ion chromatography product from Young In Chromass designed for application-specific laboratory, engineering or industrial use. It belongs to DIWAN's Ion Chromatography portfolio; final configuration must be selected against performance, integration and compliance requirements.</v>
      </c>
      <c r="P66" s="56" t="str">
        <f t="shared" si="21"/>
        <v>Selection should confirm the model-specific operating range, capacity, accuracy, interfaces, utilities, accessories, standards, environmental limits and service requirements. Final capabilities depend on the approved ChroZen IC Consumables (Columns &amp; Suppressors) configuration.</v>
      </c>
      <c r="Q66" s="56"/>
      <c r="R66" s="56" t="str">
        <f t="shared" si="22"/>
        <v>Ion Chromatography applications; laboratory research, engineering development, quality control and industrial deployment where applicable. Suitability must be confirmed against the user's sample, process, environment and required standards.</v>
      </c>
      <c r="S66" s="56"/>
      <c r="T66" s="56" t="str">
        <f t="shared" si="15"/>
        <v>ChroZen IC Consumables (Columns &amp; Suppressors) from Young In Chromass</v>
      </c>
      <c r="U66" s="56"/>
      <c r="V66" s="56" t="s">
        <v>2673</v>
      </c>
      <c r="W66" s="56" t="str">
        <f t="shared" si="16"/>
        <v>See other Ion Chromatography products</v>
      </c>
      <c r="X66" s="56" t="str">
        <f t="shared" si="17"/>
        <v>Ion Chromatography enquiry → website group enquiry form → category owner assignment</v>
      </c>
      <c r="Y66" s="56" t="str">
        <f t="shared" si="18"/>
        <v>ChroZen IC Consumables (Columns &amp; Suppressors), Ion Chromatography, Young In Chromass, technical equipment, DIWAN</v>
      </c>
      <c r="Z66" s="56" t="s">
        <v>2247</v>
      </c>
      <c r="AA66" s="57">
        <v>46257</v>
      </c>
      <c r="AB66" s="56" t="s">
        <v>2465</v>
      </c>
      <c r="AC66" s="64" t="str">
        <f t="shared" si="19"/>
        <v>Content drafted - assets/specs pending</v>
      </c>
      <c r="AD66"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6" s="59"/>
      <c r="AF66" s="59"/>
      <c r="AG66" s="59" t="s">
        <v>2467</v>
      </c>
      <c r="AH66" s="59" t="s">
        <v>2468</v>
      </c>
      <c r="AI66" s="60" t="s">
        <v>2469</v>
      </c>
    </row>
    <row r="67" spans="1:35" ht="42" customHeight="1" x14ac:dyDescent="0.35">
      <c r="A67" s="69">
        <f t="shared" si="0"/>
        <v>13</v>
      </c>
      <c r="B67" s="103" t="s">
        <v>2823</v>
      </c>
      <c r="C67" s="104" t="s">
        <v>3</v>
      </c>
      <c r="D67" s="105" t="s">
        <v>4</v>
      </c>
      <c r="E67" s="50" t="s">
        <v>23</v>
      </c>
      <c r="F67" s="51" t="s">
        <v>2976</v>
      </c>
      <c r="G67" s="50" t="s">
        <v>3045</v>
      </c>
      <c r="H67" s="52">
        <v>46257</v>
      </c>
      <c r="I67" s="53" t="s">
        <v>1543</v>
      </c>
      <c r="J67" s="53" t="s">
        <v>830</v>
      </c>
      <c r="K67" s="53" t="str">
        <f t="shared" si="11"/>
        <v>ChroZen HPLC is a liquid chromatography product from Young In Chromass for application-specific laboratory, engineering or industrial use.</v>
      </c>
      <c r="L67" s="53" t="str">
        <f t="shared" si="12"/>
        <v>ChroZen HPLC from Young In Chromass for liquid chromatography applications. Review configuration requirements and request technical information or a quotation from DIWAN.</v>
      </c>
      <c r="M67" s="53" t="s">
        <v>2020</v>
      </c>
      <c r="N67" s="62" t="s">
        <v>2672</v>
      </c>
      <c r="O67" s="54" t="str" cm="1">
        <f t="array" ref="O67">_xlfn.LET(_xlpm.n,LOWER(E67),_xlpm.c,LOWER(B67),_xlpm.t,_xlfn.IFS(OR(ISNUMBER(SEARCH("lens",_xlpm.n)),ISNUMBER(SEARCH("optic",_xlpm.n)),ISNUMBER(SEARCH("polarizer",_xlpm.n))),"precision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"),E67&amp;" is "&amp;_xlpm.art&amp;_xlpm.t&amp;" from "&amp;C67&amp;" designed for application-specific laboratory, engineering or industrial use. It belongs to DIWAN's "&amp;B67&amp;" portfolio; final configuration must be selected against performance, integration and compliance requirements.")</f>
        <v>ChroZen HPLC is an analytical laboratory instrument from Young In Chromass designed for application-specific laboratory, engineering or industrial use. It belongs to DIWAN's Liquid Chromatography portfolio; final configuration must be selected against performance, integration and compliance requirements.</v>
      </c>
      <c r="P67" s="56" t="str">
        <f t="shared" si="21"/>
        <v>Selection should confirm the model-specific operating range, capacity, accuracy, interfaces, utilities, accessories, standards, environmental limits and service requirements. Final capabilities depend on the approved ChroZen HPLC configuration.</v>
      </c>
      <c r="Q67" s="56"/>
      <c r="R67" s="56" t="str">
        <f t="shared" si="22"/>
        <v>Liquid Chromatography applications; laboratory research, engineering development, quality control and industrial deployment where applicable. Suitability must be confirmed against the user's sample, process, environment and required standards.</v>
      </c>
      <c r="S67" s="56"/>
      <c r="T67" s="56" t="str">
        <f t="shared" si="15"/>
        <v>ChroZen HPLC from Young In Chromass</v>
      </c>
      <c r="U67" s="56"/>
      <c r="V67" s="56" t="s">
        <v>2673</v>
      </c>
      <c r="W67" s="56" t="str">
        <f t="shared" si="16"/>
        <v>See other Liquid Chromatography products</v>
      </c>
      <c r="X67" s="56" t="str">
        <f t="shared" si="17"/>
        <v>Liquid Chromatography enquiry → website group enquiry form → category owner assignment</v>
      </c>
      <c r="Y67" s="56" t="str">
        <f t="shared" si="18"/>
        <v>ChroZen HPLC, Liquid Chromatography, Young In Chromass, technical equipment, DIWAN</v>
      </c>
      <c r="Z67" s="56" t="s">
        <v>2247</v>
      </c>
      <c r="AA67" s="57">
        <v>46257</v>
      </c>
      <c r="AB67" s="56" t="s">
        <v>2465</v>
      </c>
      <c r="AC67" s="64" t="str">
        <f t="shared" si="19"/>
        <v>Content drafted - assets/specs pending</v>
      </c>
      <c r="AD67"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7" s="59"/>
      <c r="AF67" s="59"/>
      <c r="AG67" s="59" t="s">
        <v>2467</v>
      </c>
      <c r="AH67" s="59" t="s">
        <v>2468</v>
      </c>
      <c r="AI67" s="60" t="s">
        <v>2469</v>
      </c>
    </row>
    <row r="68" spans="1:35" ht="42" customHeight="1" x14ac:dyDescent="0.35">
      <c r="A68" s="69">
        <f t="shared" ref="A68:A131" si="24">IF(B68=B67,A67,A67+1)</f>
        <v>13</v>
      </c>
      <c r="B68" s="103" t="s">
        <v>2823</v>
      </c>
      <c r="C68" s="104" t="s">
        <v>3</v>
      </c>
      <c r="D68" s="105" t="s">
        <v>4</v>
      </c>
      <c r="E68" s="50" t="s">
        <v>24</v>
      </c>
      <c r="F68" s="51" t="s">
        <v>2976</v>
      </c>
      <c r="G68" s="50" t="s">
        <v>3045</v>
      </c>
      <c r="H68" s="52">
        <v>46257</v>
      </c>
      <c r="I68" s="53" t="s">
        <v>1546</v>
      </c>
      <c r="J68" s="53" t="s">
        <v>833</v>
      </c>
      <c r="K68" s="53" t="str">
        <f t="shared" si="11"/>
        <v>ChroZen UHPLC is a liquid chromatography product from Young In Chromass for application-specific laboratory, engineering or industrial use.</v>
      </c>
      <c r="L68" s="53" t="str">
        <f t="shared" si="12"/>
        <v>ChroZen UHPLC from Young In Chromass for liquid chromatography applications. Review configuration requirements and request technical information or a quotation from DIWAN.</v>
      </c>
      <c r="M68" s="53" t="s">
        <v>2020</v>
      </c>
      <c r="N68" s="62" t="s">
        <v>2672</v>
      </c>
      <c r="O68" s="54" t="str" cm="1">
        <f t="array" ref="O68">_xlfn.LET(_xlpm.n,LOWER(E68),_xlpm.c,LOWER(B68),_xlpm.t,_xlfn.IFS(OR(ISNUMBER(SEARCH("lens",_xlpm.n)),ISNUMBER(SEARCH("optic",_xlpm.n)),ISNUMBER(SEARCH("polarizer",_xlpm.n))),"precision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"),E68&amp;" is "&amp;_xlpm.art&amp;_xlpm.t&amp;" from "&amp;C68&amp;" designed for application-specific laboratory, engineering or industrial use. It belongs to DIWAN's "&amp;B68&amp;" portfolio; final configuration must be selected against performance, integration and compliance requirements.")</f>
        <v>ChroZen UHPLC is an analytical laboratory instrument from Young In Chromass designed for application-specific laboratory, engineering or industrial use. It belongs to DIWAN's Liquid Chromatography portfolio; final configuration must be selected against performance, integration and compliance requirements.</v>
      </c>
      <c r="P68" s="56" t="str">
        <f t="shared" si="21"/>
        <v>Selection should confirm the model-specific operating range, capacity, accuracy, interfaces, utilities, accessories, standards, environmental limits and service requirements. Final capabilities depend on the approved ChroZen UHPLC configuration.</v>
      </c>
      <c r="Q68" s="56"/>
      <c r="R68" s="56" t="str">
        <f t="shared" si="22"/>
        <v>Liquid Chromatography applications; laboratory research, engineering development, quality control and industrial deployment where applicable. Suitability must be confirmed against the user's sample, process, environment and required standards.</v>
      </c>
      <c r="S68" s="56"/>
      <c r="T68" s="56" t="str">
        <f t="shared" si="15"/>
        <v>ChroZen UHPLC from Young In Chromass</v>
      </c>
      <c r="U68" s="56"/>
      <c r="V68" s="56" t="s">
        <v>2673</v>
      </c>
      <c r="W68" s="56" t="str">
        <f t="shared" si="16"/>
        <v>See other Liquid Chromatography products</v>
      </c>
      <c r="X68" s="56" t="str">
        <f t="shared" si="17"/>
        <v>Liquid Chromatography enquiry → website group enquiry form → category owner assignment</v>
      </c>
      <c r="Y68" s="56" t="str">
        <f t="shared" si="18"/>
        <v>ChroZen UHPLC, Liquid Chromatography, Young In Chromass, technical equipment, DIWAN</v>
      </c>
      <c r="Z68" s="56" t="s">
        <v>2247</v>
      </c>
      <c r="AA68" s="57">
        <v>46257</v>
      </c>
      <c r="AB68" s="56" t="s">
        <v>2465</v>
      </c>
      <c r="AC68" s="64" t="str">
        <f t="shared" si="19"/>
        <v>Content drafted - assets/specs pending</v>
      </c>
      <c r="AD68"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8" s="59"/>
      <c r="AF68" s="59"/>
      <c r="AG68" s="59" t="s">
        <v>2467</v>
      </c>
      <c r="AH68" s="59" t="s">
        <v>2468</v>
      </c>
      <c r="AI68" s="60" t="s">
        <v>2469</v>
      </c>
    </row>
    <row r="69" spans="1:35" ht="42" customHeight="1" x14ac:dyDescent="0.35">
      <c r="A69" s="69">
        <f t="shared" si="24"/>
        <v>13</v>
      </c>
      <c r="B69" s="103" t="s">
        <v>2823</v>
      </c>
      <c r="C69" s="104" t="s">
        <v>3</v>
      </c>
      <c r="D69" s="105" t="s">
        <v>4</v>
      </c>
      <c r="E69" s="50" t="s">
        <v>97</v>
      </c>
      <c r="F69" s="51" t="s">
        <v>2976</v>
      </c>
      <c r="G69" s="50" t="s">
        <v>3045</v>
      </c>
      <c r="H69" s="52">
        <v>46257</v>
      </c>
      <c r="I69" s="53" t="s">
        <v>1586</v>
      </c>
      <c r="J69" s="53" t="s">
        <v>873</v>
      </c>
      <c r="K69" s="53" t="str">
        <f t="shared" si="11"/>
        <v>ChroZen GPC System is a liquid chromatography product from Young In Chromass for application-specific laboratory, engineering or industrial use.</v>
      </c>
      <c r="L69" s="53" t="str">
        <f t="shared" si="12"/>
        <v>ChroZen GPC System from Young In Chromass for liquid chromatography applications. Review configuration requirements and request technical information or a quotation from DIWAN.</v>
      </c>
      <c r="M69" s="53" t="s">
        <v>2020</v>
      </c>
      <c r="N69" s="62" t="s">
        <v>2672</v>
      </c>
      <c r="O69" s="54" t="str" cm="1">
        <f t="array" ref="O69">_xlfn.LET(_xlpm.n,LOWER(E69),_xlpm.c,LOWER(B69),_xlpm.t,_xlfn.IFS(OR(ISNUMBER(SEARCH("lens",_xlpm.n)),ISNUMBER(SEARCH("optic",_xlpm.n)),ISNUMBER(SEARCH("polarizer",_xlpm.n))),"precision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"),E69&amp;" is "&amp;_xlpm.art&amp;_xlpm.t&amp;" from "&amp;C69&amp;" designed for application-specific laboratory, engineering or industrial use. It belongs to DIWAN's "&amp;B69&amp;" portfolio; final configuration must be selected against performance, integration and compliance requirements.")</f>
        <v>ChroZen GPC System is a specialized liquid chromatography product from Young In Chromass designed for application-specific laboratory, engineering or industrial use. It belongs to DIWAN's Liquid Chromatography portfolio; final configuration must be selected against performance, integration and compliance requirements.</v>
      </c>
      <c r="P69" s="56" t="str">
        <f t="shared" si="21"/>
        <v>Selection should confirm the model-specific operating range, capacity, accuracy, interfaces, utilities, accessories, standards, environmental limits and service requirements. Final capabilities depend on the approved ChroZen GPC System configuration.</v>
      </c>
      <c r="Q69" s="56"/>
      <c r="R69" s="56" t="str">
        <f t="shared" si="22"/>
        <v>Liquid Chromatography applications; laboratory research, engineering development, quality control and industrial deployment where applicable. Suitability must be confirmed against the user's sample, process, environment and required standards.</v>
      </c>
      <c r="S69" s="56"/>
      <c r="T69" s="56" t="str">
        <f t="shared" si="15"/>
        <v>ChroZen GPC System from Young In Chromass</v>
      </c>
      <c r="U69" s="56"/>
      <c r="V69" s="56" t="s">
        <v>2673</v>
      </c>
      <c r="W69" s="56" t="str">
        <f t="shared" si="16"/>
        <v>See other Liquid Chromatography products</v>
      </c>
      <c r="X69" s="56" t="str">
        <f t="shared" si="17"/>
        <v>Liquid Chromatography enquiry → website group enquiry form → category owner assignment</v>
      </c>
      <c r="Y69" s="56" t="str">
        <f t="shared" si="18"/>
        <v>ChroZen GPC System, Liquid Chromatography, Young In Chromass, technical equipment, DIWAN</v>
      </c>
      <c r="Z69" s="56" t="s">
        <v>2247</v>
      </c>
      <c r="AA69" s="57">
        <v>46257</v>
      </c>
      <c r="AB69" s="56" t="s">
        <v>2465</v>
      </c>
      <c r="AC69" s="64" t="str">
        <f t="shared" si="19"/>
        <v>Content drafted - assets/specs pending</v>
      </c>
      <c r="AD69"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69" s="59"/>
      <c r="AF69" s="59"/>
      <c r="AG69" s="59" t="s">
        <v>2467</v>
      </c>
      <c r="AH69" s="59" t="s">
        <v>2468</v>
      </c>
      <c r="AI69" s="60" t="s">
        <v>2469</v>
      </c>
    </row>
    <row r="70" spans="1:35" ht="42" customHeight="1" x14ac:dyDescent="0.35">
      <c r="A70" s="69">
        <f t="shared" si="24"/>
        <v>13</v>
      </c>
      <c r="B70" s="103" t="s">
        <v>2823</v>
      </c>
      <c r="C70" s="104" t="s">
        <v>3</v>
      </c>
      <c r="D70" s="105" t="s">
        <v>4</v>
      </c>
      <c r="E70" s="50" t="s">
        <v>98</v>
      </c>
      <c r="F70" s="51" t="s">
        <v>2976</v>
      </c>
      <c r="G70" s="50" t="s">
        <v>3045</v>
      </c>
      <c r="H70" s="52">
        <v>46257</v>
      </c>
      <c r="I70" s="53" t="s">
        <v>1587</v>
      </c>
      <c r="J70" s="53" t="s">
        <v>874</v>
      </c>
      <c r="K70" s="53" t="str">
        <f t="shared" si="11"/>
        <v>ChroZen HPLC Semi-Prep is a liquid chromatography product from Young In Chromass for application-specific laboratory, engineering or industrial use.</v>
      </c>
      <c r="L70" s="53" t="str">
        <f t="shared" si="12"/>
        <v>ChroZen HPLC Semi-Prep from Young In Chromass for liquid chromatography applications. Review configuration requirements and request technical information or a quotation from DIWAN.</v>
      </c>
      <c r="M70" s="53" t="s">
        <v>2020</v>
      </c>
      <c r="N70" s="62" t="s">
        <v>2672</v>
      </c>
      <c r="O70" s="54" t="str" cm="1">
        <f t="array" ref="O70">_xlfn.LET(_xlpm.n,LOWER(E70),_xlpm.c,LOWER(B70),_xlpm.t,_xlfn.IFS(OR(ISNUMBER(SEARCH("lens",_xlpm.n)),ISNUMBER(SEARCH("optic",_xlpm.n)),ISNUMBER(SEARCH("polarizer",_xlpm.n))),"precision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"),E70&amp;" is "&amp;_xlpm.art&amp;_xlpm.t&amp;" from "&amp;C70&amp;" designed for application-specific laboratory, engineering or industrial use. It belongs to DIWAN's "&amp;B70&amp;" portfolio; final configuration must be selected against performance, integration and compliance requirements.")</f>
        <v>ChroZen HPLC Semi-Prep is an analytical laboratory instrument from Young In Chromass designed for application-specific laboratory, engineering or industrial use. It belongs to DIWAN's Liquid Chromatography portfolio; final configuration must be selected against performance, integration and compliance requirements.</v>
      </c>
      <c r="P70" s="56" t="str">
        <f t="shared" si="21"/>
        <v>Selection should confirm the model-specific operating range, capacity, accuracy, interfaces, utilities, accessories, standards, environmental limits and service requirements. Final capabilities depend on the approved ChroZen HPLC Semi-Prep configuration.</v>
      </c>
      <c r="Q70" s="56"/>
      <c r="R70" s="56" t="str">
        <f t="shared" si="22"/>
        <v>Liquid Chromatography applications; laboratory research, engineering development, quality control and industrial deployment where applicable. Suitability must be confirmed against the user's sample, process, environment and required standards.</v>
      </c>
      <c r="S70" s="56"/>
      <c r="T70" s="56" t="str">
        <f t="shared" si="15"/>
        <v>ChroZen HPLC Semi-Prep from Young In Chromass</v>
      </c>
      <c r="U70" s="56"/>
      <c r="V70" s="56" t="s">
        <v>2673</v>
      </c>
      <c r="W70" s="56" t="str">
        <f t="shared" si="16"/>
        <v>See other Liquid Chromatography products</v>
      </c>
      <c r="X70" s="56" t="str">
        <f t="shared" si="17"/>
        <v>Liquid Chromatography enquiry → website group enquiry form → category owner assignment</v>
      </c>
      <c r="Y70" s="56" t="str">
        <f t="shared" si="18"/>
        <v>ChroZen HPLC Semi-Prep, Liquid Chromatography, Young In Chromass, technical equipment, DIWAN</v>
      </c>
      <c r="Z70" s="56" t="s">
        <v>2247</v>
      </c>
      <c r="AA70" s="57">
        <v>46257</v>
      </c>
      <c r="AB70" s="56" t="s">
        <v>2465</v>
      </c>
      <c r="AC70" s="64" t="str">
        <f t="shared" si="19"/>
        <v>Content drafted - assets/specs pending</v>
      </c>
      <c r="AD70" s="56" t="str">
        <f t="shared" si="2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0" s="59"/>
      <c r="AF70" s="59"/>
      <c r="AG70" s="59" t="s">
        <v>2467</v>
      </c>
      <c r="AH70" s="59" t="s">
        <v>2468</v>
      </c>
      <c r="AI70" s="60" t="s">
        <v>2469</v>
      </c>
    </row>
    <row r="71" spans="1:35" ht="42" customHeight="1" x14ac:dyDescent="0.35">
      <c r="A71" s="69">
        <f t="shared" si="24"/>
        <v>14</v>
      </c>
      <c r="B71" s="103" t="s">
        <v>2834</v>
      </c>
      <c r="C71" s="104" t="s">
        <v>3</v>
      </c>
      <c r="D71" s="105" t="s">
        <v>4</v>
      </c>
      <c r="E71" s="50" t="s">
        <v>2807</v>
      </c>
      <c r="F71" s="107" t="s">
        <v>2977</v>
      </c>
      <c r="G71" s="50" t="s">
        <v>3045</v>
      </c>
      <c r="H71" s="52">
        <v>46257</v>
      </c>
      <c r="I71" s="53" t="s">
        <v>2808</v>
      </c>
      <c r="J71" s="53" t="s">
        <v>2809</v>
      </c>
      <c r="K71" s="53" t="str">
        <f t="shared" si="11"/>
        <v>SP930D Solvent Delivery Pump is a liquid pumps product from Young In Chromass for application-specific laboratory, engineering or industrial use.</v>
      </c>
      <c r="L71" s="53" t="str">
        <f t="shared" si="12"/>
        <v>SP930D Solvent Delivery Pump from Young In Chromass for liquid pumps applications. Review configuration requirements and request technical information or a quotation from DIWAN.</v>
      </c>
      <c r="M71" s="53" t="s">
        <v>2020</v>
      </c>
      <c r="N71" s="62" t="s">
        <v>2672</v>
      </c>
      <c r="O71" s="56" t="s">
        <v>2814</v>
      </c>
      <c r="P71" s="56" t="s">
        <v>2815</v>
      </c>
      <c r="Q71" s="56" t="s">
        <v>2816</v>
      </c>
      <c r="R71" s="56" t="s">
        <v>2817</v>
      </c>
      <c r="S71" s="56" t="s">
        <v>2930</v>
      </c>
      <c r="T71" s="56" t="str">
        <f t="shared" si="15"/>
        <v>SP930D Solvent Delivery Pump from Young In Chromass</v>
      </c>
      <c r="U71" s="56"/>
      <c r="V71" s="56" t="s">
        <v>2673</v>
      </c>
      <c r="W71" s="56" t="str">
        <f t="shared" si="16"/>
        <v>See other Liquid Pumps products</v>
      </c>
      <c r="X71" s="56" t="str">
        <f t="shared" si="17"/>
        <v>Liquid Pumps enquiry → website group enquiry form → category owner assignment</v>
      </c>
      <c r="Y71" s="56" t="str">
        <f t="shared" si="18"/>
        <v>SP930D Solvent Delivery Pump, Liquid Pumps, Young In Chromass, technical equipment, DIWAN</v>
      </c>
      <c r="Z71" s="56" t="s">
        <v>2819</v>
      </c>
      <c r="AA71" s="57">
        <v>46257</v>
      </c>
      <c r="AB71" s="56" t="s">
        <v>2465</v>
      </c>
      <c r="AC71" s="64" t="str">
        <f t="shared" si="19"/>
        <v>Content drafted - assets/specs pending</v>
      </c>
      <c r="AD71" s="56" t="s">
        <v>2821</v>
      </c>
      <c r="AE71" s="59"/>
      <c r="AF71" s="59"/>
      <c r="AG71" s="59" t="s">
        <v>2467</v>
      </c>
      <c r="AH71" s="59" t="s">
        <v>2468</v>
      </c>
      <c r="AI71" s="60" t="s">
        <v>2469</v>
      </c>
    </row>
    <row r="72" spans="1:35" ht="42" customHeight="1" x14ac:dyDescent="0.35">
      <c r="A72" s="69">
        <f t="shared" si="24"/>
        <v>14</v>
      </c>
      <c r="B72" s="103" t="s">
        <v>2834</v>
      </c>
      <c r="C72" s="104" t="s">
        <v>3</v>
      </c>
      <c r="D72" s="105" t="s">
        <v>4</v>
      </c>
      <c r="E72" s="50" t="s">
        <v>2851</v>
      </c>
      <c r="F72" s="107" t="s">
        <v>2977</v>
      </c>
      <c r="G72" s="50" t="s">
        <v>3045</v>
      </c>
      <c r="H72" s="52">
        <v>46257</v>
      </c>
      <c r="I72" s="53" t="s">
        <v>2852</v>
      </c>
      <c r="J72" s="53" t="s">
        <v>2853</v>
      </c>
      <c r="K72" s="53" t="str">
        <f t="shared" si="11"/>
        <v>YL9200 Series Single Pump is a liquid pumps product from Young In Chromass for application-specific laboratory, engineering or industrial use.</v>
      </c>
      <c r="L72" s="53" t="str">
        <f t="shared" si="12"/>
        <v>YL9200 Series Single Pump from Young In Chromass for liquid pumps applications. Review configuration requirements and request technical information or a quotation from DIWAN.</v>
      </c>
      <c r="M72" s="53" t="s">
        <v>2020</v>
      </c>
      <c r="N72" s="62" t="s">
        <v>2672</v>
      </c>
      <c r="O72" s="54" t="str" cm="1">
        <f t="array" ref="O72">_xlfn.LET(_xlpm.n,LOWER(E72),_xlpm.c,LOWER(B72),_xlpm.t,_xlfn.IFS(OR(ISNUMBER(SEARCH("lens",_xlpm.n)),ISNUMBER(SEARCH("optic",_xlpm.n)),ISNUMBER(SEARCH("polarizer",_xlpm.n))),"precision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"),E72&amp;" is "&amp;_xlpm.art&amp;_xlpm.t&amp;" from "&amp;C72&amp;" designed for application-specific laboratory, engineering or industrial use. It belongs to DIWAN's "&amp;B72&amp;" portfolio; final configuration must be selected against performance, integration and compliance requirements.")</f>
        <v>YL9200 Series Single Pump is a precision fluid-delivery system from Young In Chromass designed for application-specific laboratory, engineering or industrial use. It belongs to DIWAN's Liquid Pumps portfolio; final configuration must be selected against performance, integration and compliance requirements.</v>
      </c>
      <c r="P72" s="56" t="str">
        <f t="shared" ref="P72:P84" si="25">"Selection should confirm the model-specific operating range, capacity, accuracy, interfaces, utilities, accessories, standards, environmental limits and service requirements. Final capabilities depend on the approved "&amp;E72&amp;" configuration."</f>
        <v>Selection should confirm the model-specific operating range, capacity, accuracy, interfaces, utilities, accessories, standards, environmental limits and service requirements. Final capabilities depend on the approved YL9200 Series Single Pump configuration.</v>
      </c>
      <c r="Q72" s="56"/>
      <c r="R72" s="56" t="str">
        <f t="shared" ref="R72:R84" si="26">B72&amp;" applications; laboratory research, engineering development, quality control and industrial deployment where applicable. Suitability must be confirmed against the user's sample, process, environment and required standards."</f>
        <v>Liquid Pumps applications; laboratory research, engineering development, quality control and industrial deployment where applicable. Suitability must be confirmed against the user's sample, process, environment and required standards.</v>
      </c>
      <c r="S72" s="56"/>
      <c r="T72" s="56" t="str">
        <f t="shared" si="15"/>
        <v>YL9200 Series Single Pump from Young In Chromass</v>
      </c>
      <c r="U72" s="56"/>
      <c r="V72" s="56" t="s">
        <v>2673</v>
      </c>
      <c r="W72" s="56" t="str">
        <f t="shared" si="16"/>
        <v>See other Liquid Pumps products</v>
      </c>
      <c r="X72" s="56" t="str">
        <f t="shared" si="17"/>
        <v>Liquid Pumps enquiry → website group enquiry form → category owner assignment</v>
      </c>
      <c r="Y72" s="56" t="str">
        <f t="shared" si="18"/>
        <v>YL9200 Series Single Pump, Liquid Pumps, Young In Chromass, technical equipment, DIWAN</v>
      </c>
      <c r="Z72" s="56" t="s">
        <v>2854</v>
      </c>
      <c r="AA72" s="57">
        <v>46257</v>
      </c>
      <c r="AB72" s="56" t="s">
        <v>2465</v>
      </c>
      <c r="AC72" s="64" t="str">
        <f t="shared" si="19"/>
        <v>Content drafted - assets/specs pending</v>
      </c>
      <c r="AD72" s="56" t="str">
        <f t="shared" ref="AD72:AD84" si="27">"Baseline definition created from the official catalog name, partner and category classification ("&amp;G72&amp;").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2" s="59"/>
      <c r="AF72" s="59"/>
      <c r="AG72" s="59" t="s">
        <v>2467</v>
      </c>
      <c r="AH72" s="59" t="s">
        <v>2468</v>
      </c>
      <c r="AI72" s="60" t="s">
        <v>2469</v>
      </c>
    </row>
    <row r="73" spans="1:35" ht="42" customHeight="1" x14ac:dyDescent="0.35">
      <c r="A73" s="69">
        <f t="shared" si="24"/>
        <v>15</v>
      </c>
      <c r="B73" s="103" t="s">
        <v>2829</v>
      </c>
      <c r="C73" s="104" t="s">
        <v>3</v>
      </c>
      <c r="D73" s="105" t="s">
        <v>4</v>
      </c>
      <c r="E73" s="50" t="s">
        <v>75</v>
      </c>
      <c r="F73" s="51" t="s">
        <v>2978</v>
      </c>
      <c r="G73" s="50" t="s">
        <v>3045</v>
      </c>
      <c r="H73" s="52">
        <v>46257</v>
      </c>
      <c r="I73" s="53" t="s">
        <v>1563</v>
      </c>
      <c r="J73" s="53" t="s">
        <v>850</v>
      </c>
      <c r="K73" s="53" t="str">
        <f t="shared" si="11"/>
        <v>Mass Spectra Designer Drugs 2023 is a mass spectral libraries product from Young In Chromass for application-specific laboratory, engineering or industrial use.</v>
      </c>
      <c r="L73" s="53" t="str">
        <f t="shared" si="12"/>
        <v>Mass Spectra Designer Drugs 2023 from Young In Chromass for mass spectral libraries applications. Review configuration requirements and request technical information or a quotation from DIWAN.</v>
      </c>
      <c r="M73" s="53" t="s">
        <v>2020</v>
      </c>
      <c r="N73" s="62" t="s">
        <v>2672</v>
      </c>
      <c r="O73" s="54" t="str" cm="1">
        <f t="array" ref="O73">_xlfn.LET(_xlpm.n,LOWER(E73),_xlpm.c,LOWER(B73),_xlpm.t,_xlfn.IFS(OR(ISNUMBER(SEARCH("lens",_xlpm.n)),ISNUMBER(SEARCH("optic",_xlpm.n)),ISNUMBER(SEARCH("polarizer",_xlpm.n))),"precision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"),E73&amp;" is "&amp;_xlpm.art&amp;_xlpm.t&amp;" from "&amp;C73&amp;" designed for application-specific laboratory, engineering or industrial use. It belongs to DIWAN's "&amp;B73&amp;" portfolio; final configuration must be selected against performance, integration and compliance requirements.")</f>
        <v>Mass Spectra Designer Drugs 2023 is a specialized mass spectral libraries product from Young In Chromass designed for application-specific laboratory, engineering or industrial use. It belongs to DIWAN's Mass Spectral Libraries portfolio; final configuration must be selected against performance, integration and compliance requirements.</v>
      </c>
      <c r="P73" s="56" t="str">
        <f t="shared" si="25"/>
        <v>Selection should confirm the model-specific operating range, capacity, accuracy, interfaces, utilities, accessories, standards, environmental limits and service requirements. Final capabilities depend on the approved Mass Spectra Designer Drugs 2023 configuration.</v>
      </c>
      <c r="Q73" s="56"/>
      <c r="R73" s="56" t="str">
        <f t="shared" si="26"/>
        <v>Mass Spectral Libraries applications; laboratory research, engineering development, quality control and industrial deployment where applicable. Suitability must be confirmed against the user's sample, process, environment and required standards.</v>
      </c>
      <c r="S73" s="56"/>
      <c r="T73" s="56" t="str">
        <f t="shared" si="15"/>
        <v>Mass Spectra Designer Drugs 2023 from Young In Chromass</v>
      </c>
      <c r="U73" s="56"/>
      <c r="V73" s="56" t="s">
        <v>2673</v>
      </c>
      <c r="W73" s="56" t="str">
        <f t="shared" si="16"/>
        <v>See other Mass Spectral Libraries products</v>
      </c>
      <c r="X73" s="56" t="str">
        <f t="shared" si="17"/>
        <v>Mass Spectral Libraries enquiry → website group enquiry form → category owner assignment</v>
      </c>
      <c r="Y73" s="56" t="str">
        <f t="shared" si="18"/>
        <v>Mass Spectra Designer Drugs 2023, Mass Spectral Libraries, Young In Chromass, technical equipment, DIWAN</v>
      </c>
      <c r="Z73" s="56" t="s">
        <v>2247</v>
      </c>
      <c r="AA73" s="57">
        <v>46257</v>
      </c>
      <c r="AB73" s="56" t="s">
        <v>2465</v>
      </c>
      <c r="AC73" s="64" t="str">
        <f t="shared" si="19"/>
        <v>Content drafted - assets/specs pending</v>
      </c>
      <c r="AD73"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3" s="59"/>
      <c r="AF73" s="59"/>
      <c r="AG73" s="59" t="s">
        <v>2467</v>
      </c>
      <c r="AH73" s="59" t="s">
        <v>2468</v>
      </c>
      <c r="AI73" s="60" t="s">
        <v>2469</v>
      </c>
    </row>
    <row r="74" spans="1:35" ht="42" customHeight="1" x14ac:dyDescent="0.35">
      <c r="A74" s="69">
        <f t="shared" si="24"/>
        <v>15</v>
      </c>
      <c r="B74" s="103" t="s">
        <v>2829</v>
      </c>
      <c r="C74" s="104" t="s">
        <v>3</v>
      </c>
      <c r="D74" s="105" t="s">
        <v>4</v>
      </c>
      <c r="E74" s="50" t="s">
        <v>76</v>
      </c>
      <c r="F74" s="51" t="s">
        <v>2978</v>
      </c>
      <c r="G74" s="50" t="s">
        <v>3045</v>
      </c>
      <c r="H74" s="52">
        <v>46257</v>
      </c>
      <c r="I74" s="53" t="s">
        <v>1564</v>
      </c>
      <c r="J74" s="53" t="s">
        <v>851</v>
      </c>
      <c r="K74" s="53" t="str">
        <f t="shared" si="11"/>
        <v>Mass Spectral Library of Drugs, Poisons, Pesticides, Pollutants and Metabolites, 5th Edition is a mass spectral libraries product from Young In Chromass for application-specific laboratory, engineering or industrial use.</v>
      </c>
      <c r="L74" s="53" t="str">
        <f t="shared" si="12"/>
        <v>Mass Spectral Library of Drugs, Poisons, Pesticides, Pollutants and Metabolites, 5th Edition from Young In Chromass for mass spectral libraries applications. Review configuration requirements and request technical information or a quotation from DIWAN.</v>
      </c>
      <c r="M74" s="53" t="s">
        <v>2020</v>
      </c>
      <c r="N74" s="62" t="s">
        <v>2672</v>
      </c>
      <c r="O74" s="54" t="str" cm="1">
        <f t="array" ref="O74">_xlfn.LET(_xlpm.n,LOWER(E74),_xlpm.c,LOWER(B74),_xlpm.t,_xlfn.IFS(OR(ISNUMBER(SEARCH("lens",_xlpm.n)),ISNUMBER(SEARCH("optic",_xlpm.n)),ISNUMBER(SEARCH("polarizer",_xlpm.n))),"precision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"),E74&amp;" is "&amp;_xlpm.art&amp;_xlpm.t&amp;" from "&amp;C74&amp;" designed for application-specific laboratory, engineering or industrial use. It belongs to DIWAN's "&amp;B74&amp;" portfolio; final configuration must be selected against performance, integration and compliance requirements.")</f>
        <v>Mass Spectral Library of Drugs, Poisons, Pesticides, Pollutants and Metabolites, 5th Edition is a specialized mass spectral libraries product from Young In Chromass designed for application-specific laboratory, engineering or industrial use. It belongs to DIWAN's Mass Spectral Libraries portfolio; final configuration must be selected against performance, integration and compliance requirements.</v>
      </c>
      <c r="P74" s="56" t="str">
        <f t="shared" si="25"/>
        <v>Selection should confirm the model-specific operating range, capacity, accuracy, interfaces, utilities, accessories, standards, environmental limits and service requirements. Final capabilities depend on the approved Mass Spectral Library of Drugs, Poisons, Pesticides, Pollutants and Metabolites, 5th Edition configuration.</v>
      </c>
      <c r="Q74" s="56"/>
      <c r="R74" s="56" t="str">
        <f t="shared" si="26"/>
        <v>Mass Spectral Libraries applications; laboratory research, engineering development, quality control and industrial deployment where applicable. Suitability must be confirmed against the user's sample, process, environment and required standards.</v>
      </c>
      <c r="S74" s="56"/>
      <c r="T74" s="56" t="str">
        <f t="shared" si="15"/>
        <v>Mass Spectral Library of Drugs, Poisons, Pesticides, Pollutants and Metabolites, 5th Edition from Young In Chromass</v>
      </c>
      <c r="U74" s="56"/>
      <c r="V74" s="56" t="s">
        <v>2673</v>
      </c>
      <c r="W74" s="56" t="str">
        <f t="shared" si="16"/>
        <v>See other Mass Spectral Libraries products</v>
      </c>
      <c r="X74" s="56" t="str">
        <f t="shared" si="17"/>
        <v>Mass Spectral Libraries enquiry → website group enquiry form → category owner assignment</v>
      </c>
      <c r="Y74" s="56" t="str">
        <f t="shared" si="18"/>
        <v>Mass Spectral Library of Drugs, Poisons, Pesticides, Pollutants and Metabolites, 5th Edition, Mass Spectral Libraries, Young In Chromass, technical equipment, DIWAN</v>
      </c>
      <c r="Z74" s="56" t="s">
        <v>2247</v>
      </c>
      <c r="AA74" s="57">
        <v>46257</v>
      </c>
      <c r="AB74" s="56" t="s">
        <v>2465</v>
      </c>
      <c r="AC74" s="64" t="str">
        <f t="shared" si="19"/>
        <v>Content drafted - assets/specs pending</v>
      </c>
      <c r="AD74"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4" s="59"/>
      <c r="AF74" s="59"/>
      <c r="AG74" s="59" t="s">
        <v>2467</v>
      </c>
      <c r="AH74" s="59" t="s">
        <v>2468</v>
      </c>
      <c r="AI74" s="60" t="s">
        <v>2469</v>
      </c>
    </row>
    <row r="75" spans="1:35" ht="42" customHeight="1" x14ac:dyDescent="0.35">
      <c r="A75" s="69">
        <f t="shared" si="24"/>
        <v>16</v>
      </c>
      <c r="B75" s="103" t="s">
        <v>2855</v>
      </c>
      <c r="C75" s="104" t="s">
        <v>3</v>
      </c>
      <c r="D75" s="105" t="s">
        <v>4</v>
      </c>
      <c r="E75" s="50" t="s">
        <v>2856</v>
      </c>
      <c r="F75" s="107" t="s">
        <v>2979</v>
      </c>
      <c r="G75" s="50" t="s">
        <v>3045</v>
      </c>
      <c r="H75" s="52">
        <v>46257</v>
      </c>
      <c r="I75" s="53" t="s">
        <v>2857</v>
      </c>
      <c r="J75" s="53" t="s">
        <v>2858</v>
      </c>
      <c r="K75" s="53" t="str">
        <f t="shared" si="11"/>
        <v>ACE 3000 ICP-MS is a mass spectrometry product from Young In Chromass for application-specific laboratory, engineering or industrial use.</v>
      </c>
      <c r="L75" s="53" t="str">
        <f t="shared" si="12"/>
        <v>ACE 3000 ICP-MS from Young In Chromass for mass spectrometry applications. Review configuration requirements and request technical information or a quotation from DIWAN.</v>
      </c>
      <c r="M75" s="53" t="s">
        <v>2020</v>
      </c>
      <c r="N75" s="62" t="s">
        <v>2672</v>
      </c>
      <c r="O75" s="54" t="str" cm="1">
        <f t="array" ref="O75">_xlfn.LET(_xlpm.n,LOWER(E75),_xlpm.c,LOWER(B75),_xlpm.t,_xlfn.IFS(OR(ISNUMBER(SEARCH("lens",_xlpm.n)),ISNUMBER(SEARCH("optic",_xlpm.n)),ISNUMBER(SEARCH("polarizer",_xlpm.n))),"precision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"),E75&amp;" is "&amp;_xlpm.art&amp;_xlpm.t&amp;" from "&amp;C75&amp;" designed for application-specific laboratory, engineering or industrial use. It belongs to DIWAN's "&amp;B75&amp;" portfolio; final configuration must be selected against performance, integration and compliance requirements.")</f>
        <v>ACE 3000 ICP-MS is a specialized mass spectrometry product from Young In Chromass designed for application-specific laboratory, engineering or industrial use. It belongs to DIWAN's Mass Spectrometry portfolio; final configuration must be selected against performance, integration and compliance requirements.</v>
      </c>
      <c r="P75" s="56" t="str">
        <f t="shared" si="25"/>
        <v>Selection should confirm the model-specific operating range, capacity, accuracy, interfaces, utilities, accessories, standards, environmental limits and service requirements. Final capabilities depend on the approved ACE 3000 ICP-MS configuration.</v>
      </c>
      <c r="Q75" s="56"/>
      <c r="R75" s="56" t="str">
        <f t="shared" si="26"/>
        <v>Mass Spectrometry applications; laboratory research, engineering development, quality control and industrial deployment where applicable. Suitability must be confirmed against the user's sample, process, environment and required standards.</v>
      </c>
      <c r="S75" s="56" t="s">
        <v>2931</v>
      </c>
      <c r="T75" s="56" t="str">
        <f t="shared" si="15"/>
        <v>ACE 3000 ICP-MS from Young In Chromass</v>
      </c>
      <c r="U75" s="56"/>
      <c r="V75" s="56" t="s">
        <v>2673</v>
      </c>
      <c r="W75" s="56" t="str">
        <f t="shared" si="16"/>
        <v>See other Mass Spectrometry products</v>
      </c>
      <c r="X75" s="56" t="str">
        <f t="shared" si="17"/>
        <v>Mass Spectrometry enquiry → website group enquiry form → category owner assignment</v>
      </c>
      <c r="Y75" s="56" t="str">
        <f t="shared" si="18"/>
        <v>ACE 3000 ICP-MS, Mass Spectrometry, Young In Chromass, technical equipment, DIWAN</v>
      </c>
      <c r="Z75" s="56" t="s">
        <v>2859</v>
      </c>
      <c r="AA75" s="57">
        <v>46257</v>
      </c>
      <c r="AB75" s="56" t="s">
        <v>2465</v>
      </c>
      <c r="AC75" s="64" t="str">
        <f t="shared" si="19"/>
        <v>Content drafted - assets/specs pending</v>
      </c>
      <c r="AD75"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5" s="59"/>
      <c r="AF75" s="59"/>
      <c r="AG75" s="59" t="s">
        <v>2467</v>
      </c>
      <c r="AH75" s="59" t="s">
        <v>2468</v>
      </c>
      <c r="AI75" s="60" t="s">
        <v>2469</v>
      </c>
    </row>
    <row r="76" spans="1:35" ht="42" customHeight="1" x14ac:dyDescent="0.35">
      <c r="A76" s="69">
        <f t="shared" si="24"/>
        <v>17</v>
      </c>
      <c r="B76" s="103" t="s">
        <v>2830</v>
      </c>
      <c r="C76" s="104" t="s">
        <v>3</v>
      </c>
      <c r="D76" s="105" t="s">
        <v>4</v>
      </c>
      <c r="E76" s="50" t="s">
        <v>92</v>
      </c>
      <c r="F76" s="51" t="s">
        <v>2980</v>
      </c>
      <c r="G76" s="50" t="s">
        <v>3045</v>
      </c>
      <c r="H76" s="52">
        <v>46257</v>
      </c>
      <c r="I76" s="53" t="s">
        <v>1580</v>
      </c>
      <c r="J76" s="53" t="s">
        <v>867</v>
      </c>
      <c r="K76" s="53" t="str">
        <f t="shared" si="11"/>
        <v>Pyroprobe 6000 Series Pyrolyzer is a sample preparation product from Young In Chromass for application-specific laboratory, engineering or industrial use.</v>
      </c>
      <c r="L76" s="53" t="str">
        <f t="shared" si="12"/>
        <v>Pyroprobe 6000 Series Pyrolyzer from Young In Chromass for sample preparation applications. Review configuration requirements and request technical information or a quotation from DIWAN.</v>
      </c>
      <c r="M76" s="53" t="s">
        <v>2020</v>
      </c>
      <c r="N76" s="62" t="s">
        <v>2672</v>
      </c>
      <c r="O76" s="54" t="str" cm="1">
        <f t="array" ref="O76">_xlfn.LET(_xlpm.n,LOWER(E76),_xlpm.c,LOWER(B76),_xlpm.t,_xlfn.IFS(OR(ISNUMBER(SEARCH("lens",_xlpm.n)),ISNUMBER(SEARCH("optic",_xlpm.n)),ISNUMBER(SEARCH("polarizer",_xlpm.n))),"precision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"),E76&amp;" is "&amp;_xlpm.art&amp;_xlpm.t&amp;" from "&amp;C76&amp;" designed for application-specific laboratory, engineering or industrial use. It belongs to DIWAN's "&amp;B76&amp;" portfolio; final configuration must be selected against performance, integration and compliance requirements.")</f>
        <v>Pyroprobe 6000 Series Pyrolyzer is a specialized sample preparation product from Young In Chromass designed for application-specific laboratory, engineering or industrial use. It belongs to DIWAN's Sample Preparation portfolio; final configuration must be selected against performance, integration and compliance requirements.</v>
      </c>
      <c r="P76" s="56" t="str">
        <f t="shared" si="25"/>
        <v>Selection should confirm the model-specific operating range, capacity, accuracy, interfaces, utilities, accessories, standards, environmental limits and service requirements. Final capabilities depend on the approved Pyroprobe 6000 Series Pyrolyzer configuration.</v>
      </c>
      <c r="Q76" s="56"/>
      <c r="R76" s="56" t="str">
        <f t="shared" si="26"/>
        <v>Sample Preparation applications; laboratory research, engineering development, quality control and industrial deployment where applicable. Suitability must be confirmed against the user's sample, process, environment and required standards.</v>
      </c>
      <c r="S76" s="56"/>
      <c r="T76" s="56" t="str">
        <f t="shared" si="15"/>
        <v>Pyroprobe 6000 Series Pyrolyzer from Young In Chromass</v>
      </c>
      <c r="U76" s="56"/>
      <c r="V76" s="56" t="s">
        <v>2673</v>
      </c>
      <c r="W76" s="56" t="str">
        <f t="shared" si="16"/>
        <v>See other Sample Preparation products</v>
      </c>
      <c r="X76" s="56" t="str">
        <f t="shared" si="17"/>
        <v>Sample Preparation enquiry → website group enquiry form → category owner assignment</v>
      </c>
      <c r="Y76" s="56" t="str">
        <f t="shared" si="18"/>
        <v>Pyroprobe 6000 Series Pyrolyzer, Sample Preparation, Young In Chromass, technical equipment, DIWAN</v>
      </c>
      <c r="Z76" s="56" t="s">
        <v>2247</v>
      </c>
      <c r="AA76" s="57">
        <v>46257</v>
      </c>
      <c r="AB76" s="56" t="s">
        <v>2465</v>
      </c>
      <c r="AC76" s="64" t="str">
        <f t="shared" si="19"/>
        <v>Content drafted - assets/specs pending</v>
      </c>
      <c r="AD76"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6" s="59"/>
      <c r="AF76" s="59"/>
      <c r="AG76" s="59" t="s">
        <v>2467</v>
      </c>
      <c r="AH76" s="59" t="s">
        <v>2468</v>
      </c>
      <c r="AI76" s="60" t="s">
        <v>2469</v>
      </c>
    </row>
    <row r="77" spans="1:35" ht="42" customHeight="1" x14ac:dyDescent="0.35">
      <c r="A77" s="69">
        <f t="shared" si="24"/>
        <v>17</v>
      </c>
      <c r="B77" s="103" t="s">
        <v>2830</v>
      </c>
      <c r="C77" s="104" t="s">
        <v>3</v>
      </c>
      <c r="D77" s="105" t="s">
        <v>4</v>
      </c>
      <c r="E77" s="50" t="s">
        <v>93</v>
      </c>
      <c r="F77" s="51" t="s">
        <v>2980</v>
      </c>
      <c r="G77" s="50" t="s">
        <v>3045</v>
      </c>
      <c r="H77" s="52">
        <v>46257</v>
      </c>
      <c r="I77" s="53" t="s">
        <v>1582</v>
      </c>
      <c r="J77" s="53" t="s">
        <v>869</v>
      </c>
      <c r="K77" s="53" t="str">
        <f t="shared" si="11"/>
        <v>Lumin Purge &amp; Trap Concentrator is a sample preparation product from Young In Chromass for application-specific laboratory, engineering or industrial use.</v>
      </c>
      <c r="L77" s="53" t="str">
        <f t="shared" si="12"/>
        <v>Lumin Purge &amp; Trap Concentrator from Young In Chromass for sample preparation applications. Review configuration requirements and request technical information or a quotation from DIWAN.</v>
      </c>
      <c r="M77" s="53" t="s">
        <v>2020</v>
      </c>
      <c r="N77" s="62" t="s">
        <v>2672</v>
      </c>
      <c r="O77" s="54" t="str" cm="1">
        <f t="array" ref="O77">_xlfn.LET(_xlpm.n,LOWER(E77),_xlpm.c,LOWER(B77),_xlpm.t,_xlfn.IFS(OR(ISNUMBER(SEARCH("lens",_xlpm.n)),ISNUMBER(SEARCH("optic",_xlpm.n)),ISNUMBER(SEARCH("polarizer",_xlpm.n))),"precision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"),E77&amp;" is "&amp;_xlpm.art&amp;_xlpm.t&amp;" from "&amp;C77&amp;" designed for application-specific laboratory, engineering or industrial use. It belongs to DIWAN's "&amp;B77&amp;" portfolio; final configuration must be selected against performance, integration and compliance requirements.")</f>
        <v>Lumin Purge &amp; Trap Concentrator is a specialized sample preparation product from Young In Chromass designed for application-specific laboratory, engineering or industrial use. It belongs to DIWAN's Sample Preparation portfolio; final configuration must be selected against performance, integration and compliance requirements.</v>
      </c>
      <c r="P77" s="56" t="str">
        <f t="shared" si="25"/>
        <v>Selection should confirm the model-specific operating range, capacity, accuracy, interfaces, utilities, accessories, standards, environmental limits and service requirements. Final capabilities depend on the approved Lumin Purge &amp; Trap Concentrator configuration.</v>
      </c>
      <c r="Q77" s="56"/>
      <c r="R77" s="56" t="str">
        <f t="shared" si="26"/>
        <v>Sample Preparation applications; laboratory research, engineering development, quality control and industrial deployment where applicable. Suitability must be confirmed against the user's sample, process, environment and required standards.</v>
      </c>
      <c r="S77" s="56"/>
      <c r="T77" s="56" t="str">
        <f t="shared" si="15"/>
        <v>Lumin Purge &amp; Trap Concentrator from Young In Chromass</v>
      </c>
      <c r="U77" s="56"/>
      <c r="V77" s="56" t="s">
        <v>2673</v>
      </c>
      <c r="W77" s="56" t="str">
        <f t="shared" si="16"/>
        <v>See other Sample Preparation products</v>
      </c>
      <c r="X77" s="56" t="str">
        <f t="shared" si="17"/>
        <v>Sample Preparation enquiry → website group enquiry form → category owner assignment</v>
      </c>
      <c r="Y77" s="56" t="str">
        <f t="shared" si="18"/>
        <v>Lumin Purge &amp; Trap Concentrator, Sample Preparation, Young In Chromass, technical equipment, DIWAN</v>
      </c>
      <c r="Z77" s="56" t="s">
        <v>2247</v>
      </c>
      <c r="AA77" s="57">
        <v>46257</v>
      </c>
      <c r="AB77" s="56" t="s">
        <v>2465</v>
      </c>
      <c r="AC77" s="64" t="str">
        <f t="shared" si="19"/>
        <v>Content drafted - assets/specs pending</v>
      </c>
      <c r="AD77"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7" s="59"/>
      <c r="AF77" s="59"/>
      <c r="AG77" s="59" t="s">
        <v>2467</v>
      </c>
      <c r="AH77" s="59" t="s">
        <v>2468</v>
      </c>
      <c r="AI77" s="60" t="s">
        <v>2469</v>
      </c>
    </row>
    <row r="78" spans="1:35" ht="42" customHeight="1" x14ac:dyDescent="0.35">
      <c r="A78" s="69">
        <f t="shared" si="24"/>
        <v>17</v>
      </c>
      <c r="B78" s="103" t="s">
        <v>2830</v>
      </c>
      <c r="C78" s="104" t="s">
        <v>3</v>
      </c>
      <c r="D78" s="105" t="s">
        <v>4</v>
      </c>
      <c r="E78" s="50" t="s">
        <v>95</v>
      </c>
      <c r="F78" s="51" t="s">
        <v>2980</v>
      </c>
      <c r="G78" s="50" t="s">
        <v>3045</v>
      </c>
      <c r="H78" s="52">
        <v>46257</v>
      </c>
      <c r="I78" s="53" t="s">
        <v>1584</v>
      </c>
      <c r="J78" s="53" t="s">
        <v>871</v>
      </c>
      <c r="K78" s="53" t="str">
        <f t="shared" si="11"/>
        <v>Atomx XYZ Automated VOC Sample Prep System is a sample preparation product from Young In Chromass for application-specific laboratory, engineering or industrial use.</v>
      </c>
      <c r="L78" s="53" t="str">
        <f t="shared" si="12"/>
        <v>Atomx XYZ Automated VOC Sample Prep System from Young In Chromass for sample preparation applications. Review configuration requirements and request technical information or a quotation from DIWAN.</v>
      </c>
      <c r="M78" s="53" t="s">
        <v>2020</v>
      </c>
      <c r="N78" s="62" t="s">
        <v>2672</v>
      </c>
      <c r="O78" s="54" t="str" cm="1">
        <f t="array" ref="O78">_xlfn.LET(_xlpm.n,LOWER(E78),_xlpm.c,LOWER(B78),_xlpm.t,_xlfn.IFS(OR(ISNUMBER(SEARCH("lens",_xlpm.n)),ISNUMBER(SEARCH("optic",_xlpm.n)),ISNUMBER(SEARCH("polarizer",_xlpm.n))),"precision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"),E78&amp;" is "&amp;_xlpm.art&amp;_xlpm.t&amp;" from "&amp;C78&amp;" designed for application-specific laboratory, engineering or industrial use. It belongs to DIWAN's "&amp;B78&amp;" portfolio; final configuration must be selected against performance, integration and compliance requirements.")</f>
        <v>Atomx XYZ Automated VOC Sample Prep System is a specialized sample preparation product from Young In Chromass designed for application-specific laboratory, engineering or industrial use. It belongs to DIWAN's Sample Preparation portfolio; final configuration must be selected against performance, integration and compliance requirements.</v>
      </c>
      <c r="P78" s="56" t="str">
        <f t="shared" si="25"/>
        <v>Selection should confirm the model-specific operating range, capacity, accuracy, interfaces, utilities, accessories, standards, environmental limits and service requirements. Final capabilities depend on the approved Atomx XYZ Automated VOC Sample Prep System configuration.</v>
      </c>
      <c r="Q78" s="56"/>
      <c r="R78" s="56" t="str">
        <f t="shared" si="26"/>
        <v>Sample Preparation applications; laboratory research, engineering development, quality control and industrial deployment where applicable. Suitability must be confirmed against the user's sample, process, environment and required standards.</v>
      </c>
      <c r="S78" s="56"/>
      <c r="T78" s="56" t="str">
        <f t="shared" si="15"/>
        <v>Atomx XYZ Automated VOC Sample Prep System from Young In Chromass</v>
      </c>
      <c r="U78" s="56"/>
      <c r="V78" s="56" t="s">
        <v>2673</v>
      </c>
      <c r="W78" s="56" t="str">
        <f t="shared" si="16"/>
        <v>See other Sample Preparation products</v>
      </c>
      <c r="X78" s="56" t="str">
        <f t="shared" si="17"/>
        <v>Sample Preparation enquiry → website group enquiry form → category owner assignment</v>
      </c>
      <c r="Y78" s="56" t="str">
        <f t="shared" si="18"/>
        <v>Atomx XYZ Automated VOC Sample Prep System, Sample Preparation, Young In Chromass, technical equipment, DIWAN</v>
      </c>
      <c r="Z78" s="56" t="s">
        <v>2247</v>
      </c>
      <c r="AA78" s="57">
        <v>46257</v>
      </c>
      <c r="AB78" s="56" t="s">
        <v>2465</v>
      </c>
      <c r="AC78" s="64" t="str">
        <f t="shared" si="19"/>
        <v>Content drafted - assets/specs pending</v>
      </c>
      <c r="AD78"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8" s="59"/>
      <c r="AF78" s="59"/>
      <c r="AG78" s="59" t="s">
        <v>2467</v>
      </c>
      <c r="AH78" s="59" t="s">
        <v>2468</v>
      </c>
      <c r="AI78" s="60" t="s">
        <v>2469</v>
      </c>
    </row>
    <row r="79" spans="1:35" ht="42" customHeight="1" x14ac:dyDescent="0.35">
      <c r="A79" s="69">
        <f t="shared" si="24"/>
        <v>18</v>
      </c>
      <c r="B79" s="103" t="s">
        <v>2824</v>
      </c>
      <c r="C79" s="104" t="s">
        <v>3</v>
      </c>
      <c r="D79" s="105" t="s">
        <v>4</v>
      </c>
      <c r="E79" s="50" t="s">
        <v>59</v>
      </c>
      <c r="F79" s="51" t="s">
        <v>2981</v>
      </c>
      <c r="G79" s="50" t="s">
        <v>3045</v>
      </c>
      <c r="H79" s="52">
        <v>46257</v>
      </c>
      <c r="I79" s="53" t="s">
        <v>1547</v>
      </c>
      <c r="J79" s="53" t="s">
        <v>834</v>
      </c>
      <c r="K79" s="53" t="str">
        <f t="shared" si="11"/>
        <v>aquapuri 511 is a water purification product from Young In Chromass for application-specific laboratory, engineering or industrial use.</v>
      </c>
      <c r="L79" s="53" t="str">
        <f t="shared" si="12"/>
        <v>aquapuri 511 from Young In Chromass for water purification applications. Review configuration requirements and request technical information or a quotation from DIWAN.</v>
      </c>
      <c r="M79" s="53" t="s">
        <v>2020</v>
      </c>
      <c r="N79" s="62" t="s">
        <v>2672</v>
      </c>
      <c r="O79" s="54" t="str" cm="1">
        <f t="array" ref="O79">_xlfn.LET(_xlpm.n,LOWER(E79),_xlpm.c,LOWER(B79),_xlpm.t,_xlfn.IFS(OR(ISNUMBER(SEARCH("lens",_xlpm.n)),ISNUMBER(SEARCH("optic",_xlpm.n)),ISNUMBER(SEARCH("polarizer",_xlpm.n))),"precision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"),E79&amp;" is "&amp;_xlpm.art&amp;_xlpm.t&amp;" from "&amp;C79&amp;" designed for application-specific laboratory, engineering or industrial use. It belongs to DIWAN's "&amp;B79&amp;" portfolio; final configuration must be selected against performance, integration and compliance requirements.")</f>
        <v>aquapuri 511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79" s="56" t="str">
        <f t="shared" si="25"/>
        <v>Selection should confirm the model-specific operating range, capacity, accuracy, interfaces, utilities, accessories, standards, environmental limits and service requirements. Final capabilities depend on the approved aquapuri 511 configuration.</v>
      </c>
      <c r="Q79" s="56"/>
      <c r="R79" s="56" t="str">
        <f t="shared" si="26"/>
        <v>Water Purification applications; laboratory research, engineering development, quality control and industrial deployment where applicable. Suitability must be confirmed against the user's sample, process, environment and required standards.</v>
      </c>
      <c r="S79" s="56"/>
      <c r="T79" s="56" t="str">
        <f t="shared" si="15"/>
        <v>aquapuri 511 from Young In Chromass</v>
      </c>
      <c r="U79" s="56"/>
      <c r="V79" s="56" t="s">
        <v>2673</v>
      </c>
      <c r="W79" s="56" t="str">
        <f t="shared" si="16"/>
        <v>See other Water Purification products</v>
      </c>
      <c r="X79" s="56" t="str">
        <f t="shared" si="17"/>
        <v>Water Purification enquiry → website group enquiry form → category owner assignment</v>
      </c>
      <c r="Y79" s="56" t="str">
        <f t="shared" si="18"/>
        <v>aquapuri 511, Water Purification, Young In Chromass, technical equipment, DIWAN</v>
      </c>
      <c r="Z79" s="56" t="s">
        <v>2247</v>
      </c>
      <c r="AA79" s="57">
        <v>46257</v>
      </c>
      <c r="AB79" s="56" t="s">
        <v>2465</v>
      </c>
      <c r="AC79" s="64" t="str">
        <f t="shared" si="19"/>
        <v>Content drafted - assets/specs pending</v>
      </c>
      <c r="AD79"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79" s="59"/>
      <c r="AF79" s="59"/>
      <c r="AG79" s="59" t="s">
        <v>2467</v>
      </c>
      <c r="AH79" s="59" t="s">
        <v>2468</v>
      </c>
      <c r="AI79" s="60" t="s">
        <v>2469</v>
      </c>
    </row>
    <row r="80" spans="1:35" ht="42" customHeight="1" x14ac:dyDescent="0.35">
      <c r="A80" s="69">
        <f t="shared" si="24"/>
        <v>18</v>
      </c>
      <c r="B80" s="103" t="s">
        <v>2824</v>
      </c>
      <c r="C80" s="104" t="s">
        <v>3</v>
      </c>
      <c r="D80" s="105" t="s">
        <v>4</v>
      </c>
      <c r="E80" s="50" t="s">
        <v>60</v>
      </c>
      <c r="F80" s="51" t="s">
        <v>2981</v>
      </c>
      <c r="G80" s="50" t="s">
        <v>3045</v>
      </c>
      <c r="H80" s="52">
        <v>46257</v>
      </c>
      <c r="I80" s="53" t="s">
        <v>1548</v>
      </c>
      <c r="J80" s="53" t="s">
        <v>835</v>
      </c>
      <c r="K80" s="53" t="str">
        <f t="shared" si="11"/>
        <v>aquapuri 521 is a water purification product from Young In Chromass for application-specific laboratory, engineering or industrial use.</v>
      </c>
      <c r="L80" s="53" t="str">
        <f t="shared" si="12"/>
        <v>aquapuri 521 from Young In Chromass for water purification applications. Review configuration requirements and request technical information or a quotation from DIWAN.</v>
      </c>
      <c r="M80" s="53" t="s">
        <v>2020</v>
      </c>
      <c r="N80" s="62" t="s">
        <v>2672</v>
      </c>
      <c r="O80" s="54" t="str" cm="1">
        <f t="array" ref="O80">_xlfn.LET(_xlpm.n,LOWER(E80),_xlpm.c,LOWER(B80),_xlpm.t,_xlfn.IFS(OR(ISNUMBER(SEARCH("lens",_xlpm.n)),ISNUMBER(SEARCH("optic",_xlpm.n)),ISNUMBER(SEARCH("polarizer",_xlpm.n))),"precision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"),E80&amp;" is "&amp;_xlpm.art&amp;_xlpm.t&amp;" from "&amp;C80&amp;" designed for application-specific laboratory, engineering or industrial use. It belongs to DIWAN's "&amp;B80&amp;" portfolio; final configuration must be selected against performance, integration and compliance requirements.")</f>
        <v>aquapuri 521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80" s="56" t="str">
        <f t="shared" si="25"/>
        <v>Selection should confirm the model-specific operating range, capacity, accuracy, interfaces, utilities, accessories, standards, environmental limits and service requirements. Final capabilities depend on the approved aquapuri 521 configuration.</v>
      </c>
      <c r="Q80" s="56"/>
      <c r="R80" s="56" t="str">
        <f t="shared" si="26"/>
        <v>Water Purification applications; laboratory research, engineering development, quality control and industrial deployment where applicable. Suitability must be confirmed against the user's sample, process, environment and required standards.</v>
      </c>
      <c r="S80" s="56"/>
      <c r="T80" s="56" t="str">
        <f t="shared" si="15"/>
        <v>aquapuri 521 from Young In Chromass</v>
      </c>
      <c r="U80" s="56"/>
      <c r="V80" s="56" t="s">
        <v>2673</v>
      </c>
      <c r="W80" s="56" t="str">
        <f t="shared" si="16"/>
        <v>See other Water Purification products</v>
      </c>
      <c r="X80" s="56" t="str">
        <f t="shared" si="17"/>
        <v>Water Purification enquiry → website group enquiry form → category owner assignment</v>
      </c>
      <c r="Y80" s="56" t="str">
        <f t="shared" si="18"/>
        <v>aquapuri 521, Water Purification, Young In Chromass, technical equipment, DIWAN</v>
      </c>
      <c r="Z80" s="56" t="s">
        <v>2247</v>
      </c>
      <c r="AA80" s="57">
        <v>46257</v>
      </c>
      <c r="AB80" s="56" t="s">
        <v>2465</v>
      </c>
      <c r="AC80" s="64" t="str">
        <f t="shared" si="19"/>
        <v>Content drafted - assets/specs pending</v>
      </c>
      <c r="AD80"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0" s="59"/>
      <c r="AF80" s="59"/>
      <c r="AG80" s="59" t="s">
        <v>2467</v>
      </c>
      <c r="AH80" s="59" t="s">
        <v>2468</v>
      </c>
      <c r="AI80" s="60" t="s">
        <v>2469</v>
      </c>
    </row>
    <row r="81" spans="1:35" ht="42" customHeight="1" x14ac:dyDescent="0.35">
      <c r="A81" s="69">
        <f t="shared" si="24"/>
        <v>18</v>
      </c>
      <c r="B81" s="103" t="s">
        <v>2824</v>
      </c>
      <c r="C81" s="104" t="s">
        <v>3</v>
      </c>
      <c r="D81" s="105" t="s">
        <v>4</v>
      </c>
      <c r="E81" s="50" t="s">
        <v>71</v>
      </c>
      <c r="F81" s="51" t="s">
        <v>2981</v>
      </c>
      <c r="G81" s="50" t="s">
        <v>3045</v>
      </c>
      <c r="H81" s="52">
        <v>46257</v>
      </c>
      <c r="I81" s="53" t="s">
        <v>1559</v>
      </c>
      <c r="J81" s="53" t="s">
        <v>846</v>
      </c>
      <c r="K81" s="53" t="str">
        <f t="shared" si="11"/>
        <v>aquapuri Essence is a water purification product from Young In Chromass for application-specific laboratory, engineering or industrial use.</v>
      </c>
      <c r="L81" s="53" t="str">
        <f t="shared" si="12"/>
        <v>aquapuri Essence from Young In Chromass for water purification applications. Review configuration requirements and request technical information or a quotation from DIWAN.</v>
      </c>
      <c r="M81" s="53" t="s">
        <v>2020</v>
      </c>
      <c r="N81" s="62" t="s">
        <v>2672</v>
      </c>
      <c r="O81" s="54" t="str" cm="1">
        <f t="array" ref="O81">_xlfn.LET(_xlpm.n,LOWER(E81),_xlpm.c,LOWER(B81),_xlpm.t,_xlfn.IFS(OR(ISNUMBER(SEARCH("lens",_xlpm.n)),ISNUMBER(SEARCH("optic",_xlpm.n)),ISNUMBER(SEARCH("polarizer",_xlpm.n))),"precision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"),E81&amp;" is "&amp;_xlpm.art&amp;_xlpm.t&amp;" from "&amp;C81&amp;" designed for application-specific laboratory, engineering or industrial use. It belongs to DIWAN's "&amp;B81&amp;" portfolio; final configuration must be selected against performance, integration and compliance requirements.")</f>
        <v>aquapuri Essence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81" s="56" t="str">
        <f t="shared" si="25"/>
        <v>Selection should confirm the model-specific operating range, capacity, accuracy, interfaces, utilities, accessories, standards, environmental limits and service requirements. Final capabilities depend on the approved aquapuri Essence configuration.</v>
      </c>
      <c r="Q81" s="56"/>
      <c r="R81" s="56" t="str">
        <f t="shared" si="26"/>
        <v>Water Purification applications; laboratory research, engineering development, quality control and industrial deployment where applicable. Suitability must be confirmed against the user's sample, process, environment and required standards.</v>
      </c>
      <c r="S81" s="56"/>
      <c r="T81" s="56" t="str">
        <f t="shared" si="15"/>
        <v>aquapuri Essence from Young In Chromass</v>
      </c>
      <c r="U81" s="56"/>
      <c r="V81" s="56" t="s">
        <v>2673</v>
      </c>
      <c r="W81" s="56" t="str">
        <f t="shared" si="16"/>
        <v>See other Water Purification products</v>
      </c>
      <c r="X81" s="56" t="str">
        <f t="shared" si="17"/>
        <v>Water Purification enquiry → website group enquiry form → category owner assignment</v>
      </c>
      <c r="Y81" s="56" t="str">
        <f t="shared" si="18"/>
        <v>aquapuri Essence, Water Purification, Young In Chromass, technical equipment, DIWAN</v>
      </c>
      <c r="Z81" s="56" t="s">
        <v>2247</v>
      </c>
      <c r="AA81" s="57">
        <v>46257</v>
      </c>
      <c r="AB81" s="56" t="s">
        <v>2465</v>
      </c>
      <c r="AC81" s="64" t="str">
        <f t="shared" si="19"/>
        <v>Content drafted - assets/specs pending</v>
      </c>
      <c r="AD81"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1" s="59"/>
      <c r="AF81" s="59"/>
      <c r="AG81" s="59" t="s">
        <v>2467</v>
      </c>
      <c r="AH81" s="59" t="s">
        <v>2468</v>
      </c>
      <c r="AI81" s="60" t="s">
        <v>2469</v>
      </c>
    </row>
    <row r="82" spans="1:35" ht="42" customHeight="1" x14ac:dyDescent="0.35">
      <c r="A82" s="69">
        <f t="shared" si="24"/>
        <v>18</v>
      </c>
      <c r="B82" s="103" t="s">
        <v>2824</v>
      </c>
      <c r="C82" s="104" t="s">
        <v>3</v>
      </c>
      <c r="D82" s="105" t="s">
        <v>4</v>
      </c>
      <c r="E82" s="50" t="s">
        <v>73</v>
      </c>
      <c r="F82" s="51" t="s">
        <v>2981</v>
      </c>
      <c r="G82" s="50" t="s">
        <v>3045</v>
      </c>
      <c r="H82" s="52">
        <v>46257</v>
      </c>
      <c r="I82" s="53" t="s">
        <v>1561</v>
      </c>
      <c r="J82" s="53" t="s">
        <v>848</v>
      </c>
      <c r="K82" s="53" t="str">
        <f t="shared" si="11"/>
        <v>aquapuri Essence+ is a water purification product from Young In Chromass for application-specific laboratory, engineering or industrial use.</v>
      </c>
      <c r="L82" s="53" t="str">
        <f t="shared" si="12"/>
        <v>aquapuri Essence+ from Young In Chromass for water purification applications. Review configuration requirements and request technical information or a quotation from DIWAN.</v>
      </c>
      <c r="M82" s="53" t="s">
        <v>2020</v>
      </c>
      <c r="N82" s="62" t="s">
        <v>2672</v>
      </c>
      <c r="O82" s="54" t="str" cm="1">
        <f t="array" ref="O82">_xlfn.LET(_xlpm.n,LOWER(E82),_xlpm.c,LOWER(B82),_xlpm.t,_xlfn.IFS(OR(ISNUMBER(SEARCH("lens",_xlpm.n)),ISNUMBER(SEARCH("optic",_xlpm.n)),ISNUMBER(SEARCH("polarizer",_xlpm.n))),"precision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"),E82&amp;" is "&amp;_xlpm.art&amp;_xlpm.t&amp;" from "&amp;C82&amp;" designed for application-specific laboratory, engineering or industrial use. It belongs to DIWAN's "&amp;B82&amp;" portfolio; final configuration must be selected against performance, integration and compliance requirements.")</f>
        <v>aquapuri Essence+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82" s="56" t="str">
        <f t="shared" si="25"/>
        <v>Selection should confirm the model-specific operating range, capacity, accuracy, interfaces, utilities, accessories, standards, environmental limits and service requirements. Final capabilities depend on the approved aquapuri Essence+ configuration.</v>
      </c>
      <c r="Q82" s="56"/>
      <c r="R82" s="56" t="str">
        <f t="shared" si="26"/>
        <v>Water Purification applications; laboratory research, engineering development, quality control and industrial deployment where applicable. Suitability must be confirmed against the user's sample, process, environment and required standards.</v>
      </c>
      <c r="S82" s="56"/>
      <c r="T82" s="56" t="str">
        <f t="shared" si="15"/>
        <v>aquapuri Essence+ from Young In Chromass</v>
      </c>
      <c r="U82" s="56"/>
      <c r="V82" s="56" t="s">
        <v>2673</v>
      </c>
      <c r="W82" s="56" t="str">
        <f t="shared" si="16"/>
        <v>See other Water Purification products</v>
      </c>
      <c r="X82" s="56" t="str">
        <f t="shared" si="17"/>
        <v>Water Purification enquiry → website group enquiry form → category owner assignment</v>
      </c>
      <c r="Y82" s="56" t="str">
        <f t="shared" si="18"/>
        <v>aquapuri Essence+, Water Purification, Young In Chromass, technical equipment, DIWAN</v>
      </c>
      <c r="Z82" s="56" t="s">
        <v>2247</v>
      </c>
      <c r="AA82" s="57">
        <v>46257</v>
      </c>
      <c r="AB82" s="56" t="s">
        <v>2465</v>
      </c>
      <c r="AC82" s="64" t="str">
        <f t="shared" si="19"/>
        <v>Content drafted - assets/specs pending</v>
      </c>
      <c r="AD82"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2" s="59"/>
      <c r="AF82" s="59"/>
      <c r="AG82" s="59" t="s">
        <v>2467</v>
      </c>
      <c r="AH82" s="59" t="s">
        <v>2468</v>
      </c>
      <c r="AI82" s="60" t="s">
        <v>2469</v>
      </c>
    </row>
    <row r="83" spans="1:35" ht="42" customHeight="1" x14ac:dyDescent="0.35">
      <c r="A83" s="69">
        <f t="shared" si="24"/>
        <v>18</v>
      </c>
      <c r="B83" s="103" t="s">
        <v>2824</v>
      </c>
      <c r="C83" s="104" t="s">
        <v>3</v>
      </c>
      <c r="D83" s="105" t="s">
        <v>4</v>
      </c>
      <c r="E83" s="50" t="s">
        <v>77</v>
      </c>
      <c r="F83" s="51" t="s">
        <v>2981</v>
      </c>
      <c r="G83" s="50" t="s">
        <v>3045</v>
      </c>
      <c r="H83" s="52">
        <v>46257</v>
      </c>
      <c r="I83" s="53" t="s">
        <v>1565</v>
      </c>
      <c r="J83" s="53" t="s">
        <v>852</v>
      </c>
      <c r="K83" s="53" t="str">
        <f t="shared" si="11"/>
        <v>aquapuri 541 is a water purification product from Young In Chromass for application-specific laboratory, engineering or industrial use.</v>
      </c>
      <c r="L83" s="53" t="str">
        <f t="shared" si="12"/>
        <v>aquapuri 541 from Young In Chromass for water purification applications. Review configuration requirements and request technical information or a quotation from DIWAN.</v>
      </c>
      <c r="M83" s="53" t="s">
        <v>2020</v>
      </c>
      <c r="N83" s="62" t="s">
        <v>2672</v>
      </c>
      <c r="O83" s="54" t="str" cm="1">
        <f t="array" ref="O83">_xlfn.LET(_xlpm.n,LOWER(E83),_xlpm.c,LOWER(B83),_xlpm.t,_xlfn.IFS(OR(ISNUMBER(SEARCH("lens",_xlpm.n)),ISNUMBER(SEARCH("optic",_xlpm.n)),ISNUMBER(SEARCH("polarizer",_xlpm.n))),"precision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"),E83&amp;" is "&amp;_xlpm.art&amp;_xlpm.t&amp;" from "&amp;C83&amp;" designed for application-specific laboratory, engineering or industrial use. It belongs to DIWAN's "&amp;B83&amp;" portfolio; final configuration must be selected against performance, integration and compliance requirements.")</f>
        <v>aquapuri 541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83" s="56" t="str">
        <f t="shared" si="25"/>
        <v>Selection should confirm the model-specific operating range, capacity, accuracy, interfaces, utilities, accessories, standards, environmental limits and service requirements. Final capabilities depend on the approved aquapuri 541 configuration.</v>
      </c>
      <c r="Q83" s="56"/>
      <c r="R83" s="56" t="str">
        <f t="shared" si="26"/>
        <v>Water Purification applications; laboratory research, engineering development, quality control and industrial deployment where applicable. Suitability must be confirmed against the user's sample, process, environment and required standards.</v>
      </c>
      <c r="S83" s="56"/>
      <c r="T83" s="56" t="str">
        <f t="shared" si="15"/>
        <v>aquapuri 541 from Young In Chromass</v>
      </c>
      <c r="U83" s="56"/>
      <c r="V83" s="56" t="s">
        <v>2673</v>
      </c>
      <c r="W83" s="56" t="str">
        <f t="shared" si="16"/>
        <v>See other Water Purification products</v>
      </c>
      <c r="X83" s="56" t="str">
        <f t="shared" si="17"/>
        <v>Water Purification enquiry → website group enquiry form → category owner assignment</v>
      </c>
      <c r="Y83" s="56" t="str">
        <f t="shared" si="18"/>
        <v>aquapuri 541, Water Purification, Young In Chromass, technical equipment, DIWAN</v>
      </c>
      <c r="Z83" s="56" t="s">
        <v>2247</v>
      </c>
      <c r="AA83" s="57">
        <v>46257</v>
      </c>
      <c r="AB83" s="56" t="s">
        <v>2465</v>
      </c>
      <c r="AC83" s="64" t="str">
        <f t="shared" si="19"/>
        <v>Content drafted - assets/specs pending</v>
      </c>
      <c r="AD83"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3" s="59"/>
      <c r="AF83" s="59"/>
      <c r="AG83" s="59" t="s">
        <v>2467</v>
      </c>
      <c r="AH83" s="59" t="s">
        <v>2468</v>
      </c>
      <c r="AI83" s="60" t="s">
        <v>2469</v>
      </c>
    </row>
    <row r="84" spans="1:35" ht="42" customHeight="1" thickBot="1" x14ac:dyDescent="0.4">
      <c r="A84" s="69">
        <f t="shared" si="24"/>
        <v>18</v>
      </c>
      <c r="B84" s="103" t="s">
        <v>2824</v>
      </c>
      <c r="C84" s="104" t="s">
        <v>3</v>
      </c>
      <c r="D84" s="105" t="s">
        <v>4</v>
      </c>
      <c r="E84" s="50" t="s">
        <v>79</v>
      </c>
      <c r="F84" s="51" t="s">
        <v>2981</v>
      </c>
      <c r="G84" s="50" t="s">
        <v>3045</v>
      </c>
      <c r="H84" s="52">
        <v>46257</v>
      </c>
      <c r="I84" s="53" t="s">
        <v>1567</v>
      </c>
      <c r="J84" s="53" t="s">
        <v>854</v>
      </c>
      <c r="K84" s="53" t="str">
        <f t="shared" si="11"/>
        <v>aquapuri 551 is a water purification product from Young In Chromass for application-specific laboratory, engineering or industrial use.</v>
      </c>
      <c r="L84" s="53" t="str">
        <f t="shared" si="12"/>
        <v>aquapuri 551 from Young In Chromass for water purification applications. Review configuration requirements and request technical information or a quotation from DIWAN.</v>
      </c>
      <c r="M84" s="53" t="s">
        <v>2020</v>
      </c>
      <c r="N84" s="62" t="s">
        <v>2672</v>
      </c>
      <c r="O84" s="54" t="str" cm="1">
        <f t="array" ref="O84">_xlfn.LET(_xlpm.n,LOWER(E84),_xlpm.c,LOWER(B84),_xlpm.t,_xlfn.IFS(OR(ISNUMBER(SEARCH("lens",_xlpm.n)),ISNUMBER(SEARCH("optic",_xlpm.n)),ISNUMBER(SEARCH("polarizer",_xlpm.n))),"precision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"),E84&amp;" is "&amp;_xlpm.art&amp;_xlpm.t&amp;" from "&amp;C84&amp;" designed for application-specific laboratory, engineering or industrial use. It belongs to DIWAN's "&amp;B84&amp;" portfolio; final configuration must be selected against performance, integration and compliance requirements.")</f>
        <v>aquapuri 551 is a specialized water purification product from Young In Chromass designed for application-specific laboratory, engineering or industrial use. It belongs to DIWAN's Water Purification portfolio; final configuration must be selected against performance, integration and compliance requirements.</v>
      </c>
      <c r="P84" s="56" t="str">
        <f t="shared" si="25"/>
        <v>Selection should confirm the model-specific operating range, capacity, accuracy, interfaces, utilities, accessories, standards, environmental limits and service requirements. Final capabilities depend on the approved aquapuri 551 configuration.</v>
      </c>
      <c r="Q84" s="56"/>
      <c r="R84" s="56" t="str">
        <f t="shared" si="26"/>
        <v>Water Purification applications; laboratory research, engineering development, quality control and industrial deployment where applicable. Suitability must be confirmed against the user's sample, process, environment and required standards.</v>
      </c>
      <c r="S84" s="56"/>
      <c r="T84" s="56" t="str">
        <f t="shared" si="15"/>
        <v>aquapuri 551 from Young In Chromass</v>
      </c>
      <c r="U84" s="56"/>
      <c r="V84" s="56" t="s">
        <v>2673</v>
      </c>
      <c r="W84" s="56" t="str">
        <f t="shared" si="16"/>
        <v>See other Water Purification products</v>
      </c>
      <c r="X84" s="56" t="str">
        <f t="shared" si="17"/>
        <v>Water Purification enquiry → website group enquiry form → category owner assignment</v>
      </c>
      <c r="Y84" s="56" t="str">
        <f t="shared" si="18"/>
        <v>aquapuri 551, Water Purification, Young In Chromass, technical equipment, DIWAN</v>
      </c>
      <c r="Z84" s="56" t="s">
        <v>2247</v>
      </c>
      <c r="AA84" s="57">
        <v>46257</v>
      </c>
      <c r="AB84" s="56" t="s">
        <v>2465</v>
      </c>
      <c r="AC84" s="64" t="str">
        <f t="shared" si="19"/>
        <v>Content drafted - assets/specs pending</v>
      </c>
      <c r="AD84" s="56" t="str">
        <f t="shared" si="2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4" s="59"/>
      <c r="AF84" s="59"/>
      <c r="AG84" s="59" t="s">
        <v>2467</v>
      </c>
      <c r="AH84" s="59" t="s">
        <v>2468</v>
      </c>
      <c r="AI84" s="60" t="s">
        <v>2469</v>
      </c>
    </row>
    <row r="85" spans="1:35" ht="42" customHeight="1" x14ac:dyDescent="0.35">
      <c r="A85" s="69">
        <f t="shared" si="24"/>
        <v>19</v>
      </c>
      <c r="B85" s="74" t="s">
        <v>106</v>
      </c>
      <c r="C85" s="75" t="s">
        <v>5</v>
      </c>
      <c r="D85" s="76" t="s">
        <v>6</v>
      </c>
      <c r="E85" s="77" t="s">
        <v>107</v>
      </c>
      <c r="F85" s="86" t="s">
        <v>2982</v>
      </c>
      <c r="G85" s="77" t="s">
        <v>3045</v>
      </c>
      <c r="H85" s="79">
        <v>46257</v>
      </c>
      <c r="I85" s="80" t="s">
        <v>1595</v>
      </c>
      <c r="J85" s="80" t="s">
        <v>882</v>
      </c>
      <c r="K85" s="80" t="str">
        <f t="shared" ref="K24:K95" si="28">E85&amp;" is "&amp;IF(ISNUMBER(SEARCH(LEFT(LOWER(B85),1),"aeiou")),"an ","a ")&amp;LOWER(B85)&amp;" product from "&amp;C85&amp;" for application-specific laboratory, engineering or industrial use."</f>
        <v>QGA 2.0 is a gas analysis product from Hiden Analytical for application-specific laboratory, engineering or industrial use.</v>
      </c>
      <c r="L85" s="80" t="str">
        <f t="shared" ref="L24:L95" si="29">E85&amp;" from "&amp;C85&amp;" for "&amp;LOWER(B85)&amp;" applications. Review configuration requirements and request technical information or a quotation from DIWAN."</f>
        <v>QGA 2.0 from Hiden Analytical for gas analysis applications. Review configuration requirements and request technical information or a quotation from DIWAN.</v>
      </c>
      <c r="M85" s="80" t="s">
        <v>2020</v>
      </c>
      <c r="N85" s="81" t="s">
        <v>2672</v>
      </c>
      <c r="O85" s="82" t="str" cm="1">
        <f t="array" ref="O85">_xlfn.LET(_xlpm.n,LOWER(E85),_xlpm.c,LOWER(B85),_xlpm.t,_xlfn.IFS(OR(ISNUMBER(SEARCH("lens",_xlpm.n)),ISNUMBER(SEARCH("optic",_xlpm.n)),ISNUMBER(SEARCH("polarizer",_xlpm.n))),"precision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"),E85&amp;" is "&amp;_xlpm.art&amp;_xlpm.t&amp;" from "&amp;C85&amp;" designed for application-specific laboratory, engineering or industrial use. It belongs to DIWAN's "&amp;B85&amp;" portfolio; final configuration must be selected against performance, integration and compliance requirements.")</f>
        <v>QGA 2.0 is a specialized gas analysis product from Hiden Analytical designed for application-specific laboratory, engineering or industrial use. It belongs to DIWAN's Gas Analysis portfolio; final configuration must be selected against performance, integration and compliance requirements.</v>
      </c>
      <c r="P85" s="82" t="str">
        <f t="shared" ref="P24:P95" si="30">"Selection should confirm the model-specific operating range, capacity, accuracy, interfaces, utilities, accessories, standards, environmental limits and service requirements. Final capabilities depend on the approved "&amp;E85&amp;" configuration."</f>
        <v>Selection should confirm the model-specific operating range, capacity, accuracy, interfaces, utilities, accessories, standards, environmental limits and service requirements. Final capabilities depend on the approved QGA 2.0 configuration.</v>
      </c>
      <c r="Q85" s="82"/>
      <c r="R85" s="82" t="str">
        <f t="shared" ref="R24:R95" si="31">B85&amp;" applications; laboratory research, engineering development, quality control and industrial deployment where applicable. Suitability must be confirmed against the user's sample, process, environment and required standards."</f>
        <v>Gas Analysis applications; laboratory research, engineering development, quality control and industrial deployment where applicable. Suitability must be confirmed against the user's sample, process, environment and required standards.</v>
      </c>
      <c r="S85" s="82"/>
      <c r="T85" s="82" t="str">
        <f t="shared" ref="T24:T95" si="32">E85&amp;" from "&amp;C85</f>
        <v>QGA 2.0 from Hiden Analytical</v>
      </c>
      <c r="U85" s="82"/>
      <c r="V85" s="82" t="s">
        <v>2673</v>
      </c>
      <c r="W85" s="82" t="str">
        <f t="shared" ref="W24:W95" si="33">"See other "&amp;B85&amp;" products"</f>
        <v>See other Gas Analysis products</v>
      </c>
      <c r="X85" s="82" t="str">
        <f t="shared" ref="X24:X95" si="34">B85&amp;" enquiry → website group enquiry form → category owner assignment"</f>
        <v>Gas Analysis enquiry → website group enquiry form → category owner assignment</v>
      </c>
      <c r="Y85" s="82" t="str">
        <f t="shared" ref="Y24:Y95" si="35">E85&amp;", "&amp;B85&amp;", "&amp;C85&amp;", technical equipment, DIWAN"</f>
        <v>QGA 2.0, Gas Analysis, Hiden Analytical, technical equipment, DIWAN</v>
      </c>
      <c r="Z85" s="82" t="s">
        <v>19</v>
      </c>
      <c r="AA85" s="83">
        <v>46257</v>
      </c>
      <c r="AB85" s="82" t="s">
        <v>2465</v>
      </c>
      <c r="AC85" s="84" t="str">
        <f t="shared" ref="AC24:AC95" si="36">IF(AND(O85&lt;&gt;"",P85&lt;&gt;"",R85&lt;&gt;"",T85&lt;&gt;"",X85&lt;&gt;"",Y85&lt;&gt;"",Z85&lt;&gt;"",AA85&lt;&gt;"",AB85&lt;&gt;""),IF(AND(Q85&lt;&gt;"",S85&lt;&gt;"",U85&lt;&gt;""),"Ready for approval","Content drafted - assets/specs pending"),IF(COUNTA(O85:AB85)=0,"Not started","In progress"))</f>
        <v>Content drafted - assets/specs pending</v>
      </c>
      <c r="AD85" s="82" t="str">
        <f t="shared" ref="AD24:AD95" si="37">"Baseline definition created from the official catalog name, partner and category classification ("&amp;G85&amp;").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5" s="85"/>
      <c r="AF85" s="85" t="s">
        <v>2940</v>
      </c>
      <c r="AG85" s="85" t="s">
        <v>2467</v>
      </c>
      <c r="AH85" s="85" t="s">
        <v>2468</v>
      </c>
      <c r="AI85" s="85" t="s">
        <v>2469</v>
      </c>
    </row>
    <row r="86" spans="1:35" ht="42" customHeight="1" x14ac:dyDescent="0.35">
      <c r="A86" s="69">
        <f t="shared" si="24"/>
        <v>19</v>
      </c>
      <c r="B86" s="70" t="s">
        <v>106</v>
      </c>
      <c r="C86" s="71" t="s">
        <v>5</v>
      </c>
      <c r="D86" s="72" t="s">
        <v>6</v>
      </c>
      <c r="E86" s="45" t="s">
        <v>108</v>
      </c>
      <c r="F86" s="49" t="s">
        <v>2982</v>
      </c>
      <c r="G86" s="45" t="s">
        <v>3045</v>
      </c>
      <c r="H86" s="47">
        <v>46257</v>
      </c>
      <c r="I86" s="48" t="s">
        <v>1596</v>
      </c>
      <c r="J86" s="48" t="s">
        <v>883</v>
      </c>
      <c r="K86" s="48" t="str">
        <f t="shared" si="28"/>
        <v>HPR-20 R&amp;D is a gas analysis product from Hiden Analytical for application-specific laboratory, engineering or industrial use.</v>
      </c>
      <c r="L86" s="48" t="str">
        <f t="shared" si="29"/>
        <v>HPR-20 R&amp;D from Hiden Analytical for gas analysis applications. Review configuration requirements and request technical information or a quotation from DIWAN.</v>
      </c>
      <c r="M86" s="48" t="s">
        <v>2020</v>
      </c>
      <c r="N86" s="61" t="s">
        <v>2672</v>
      </c>
      <c r="O86" s="54" t="str" cm="1">
        <f t="array" ref="O86">_xlfn.LET(_xlpm.n,LOWER(E86),_xlpm.c,LOWER(B86),_xlpm.t,_xlfn.IFS(OR(ISNUMBER(SEARCH("lens",_xlpm.n)),ISNUMBER(SEARCH("optic",_xlpm.n)),ISNUMBER(SEARCH("polarizer",_xlpm.n))),"precision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"),E86&amp;" is "&amp;_xlpm.art&amp;_xlpm.t&amp;" from "&amp;C86&amp;" designed for application-specific laboratory, engineering or industrial use. It belongs to DIWAN's "&amp;B86&amp;" portfolio; final configuration must be selected against performance, integration and compliance requirements.")</f>
        <v>HPR-20 R&amp;D is a specialized gas analysis product from Hiden Analytical designed for application-specific laboratory, engineering or industrial use. It belongs to DIWAN's Gas Analysis portfolio; final configuration must be selected against performance, integration and compliance requirements.</v>
      </c>
      <c r="P86" s="54" t="str">
        <f t="shared" si="30"/>
        <v>Selection should confirm the model-specific operating range, capacity, accuracy, interfaces, utilities, accessories, standards, environmental limits and service requirements. Final capabilities depend on the approved HPR-20 R&amp;D configuration.</v>
      </c>
      <c r="Q86" s="54"/>
      <c r="R86" s="54" t="str">
        <f t="shared" si="31"/>
        <v>Gas Analysis applications; laboratory research, engineering development, quality control and industrial deployment where applicable. Suitability must be confirmed against the user's sample, process, environment and required standards.</v>
      </c>
      <c r="S86" s="54"/>
      <c r="T86" s="54" t="str">
        <f t="shared" si="32"/>
        <v>HPR-20 R&amp;D from Hiden Analytical</v>
      </c>
      <c r="U86" s="54"/>
      <c r="V86" s="54" t="s">
        <v>2673</v>
      </c>
      <c r="W86" s="54" t="str">
        <f t="shared" si="33"/>
        <v>See other Gas Analysis products</v>
      </c>
      <c r="X86" s="54" t="str">
        <f t="shared" si="34"/>
        <v>Gas Analysis enquiry → website group enquiry form → category owner assignment</v>
      </c>
      <c r="Y86" s="54" t="str">
        <f t="shared" si="35"/>
        <v>HPR-20 R&amp;D, Gas Analysis, Hiden Analytical, technical equipment, DIWAN</v>
      </c>
      <c r="Z86" s="54" t="s">
        <v>19</v>
      </c>
      <c r="AA86" s="55">
        <v>46257</v>
      </c>
      <c r="AB86" s="54" t="s">
        <v>2465</v>
      </c>
      <c r="AC86" s="63" t="str">
        <f t="shared" si="36"/>
        <v>Content drafted - assets/specs pending</v>
      </c>
      <c r="AD86"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6" s="58"/>
      <c r="AF86" s="58" t="s">
        <v>2941</v>
      </c>
      <c r="AG86" s="58" t="s">
        <v>2467</v>
      </c>
      <c r="AH86" s="58" t="s">
        <v>2468</v>
      </c>
      <c r="AI86" s="58" t="s">
        <v>2469</v>
      </c>
    </row>
    <row r="87" spans="1:35" ht="42" customHeight="1" x14ac:dyDescent="0.35">
      <c r="A87" s="69">
        <f t="shared" si="24"/>
        <v>19</v>
      </c>
      <c r="B87" s="70" t="s">
        <v>106</v>
      </c>
      <c r="C87" s="71" t="s">
        <v>5</v>
      </c>
      <c r="D87" s="72" t="s">
        <v>6</v>
      </c>
      <c r="E87" s="45" t="s">
        <v>109</v>
      </c>
      <c r="F87" s="49" t="s">
        <v>2982</v>
      </c>
      <c r="G87" s="45" t="s">
        <v>3045</v>
      </c>
      <c r="H87" s="47">
        <v>46257</v>
      </c>
      <c r="I87" s="48" t="s">
        <v>1597</v>
      </c>
      <c r="J87" s="48" t="s">
        <v>884</v>
      </c>
      <c r="K87" s="48" t="str">
        <f t="shared" si="28"/>
        <v>HPR-20 TMS is a gas analysis product from Hiden Analytical for application-specific laboratory, engineering or industrial use.</v>
      </c>
      <c r="L87" s="48" t="str">
        <f t="shared" si="29"/>
        <v>HPR-20 TMS from Hiden Analytical for gas analysis applications. Review configuration requirements and request technical information or a quotation from DIWAN.</v>
      </c>
      <c r="M87" s="48" t="s">
        <v>2020</v>
      </c>
      <c r="N87" s="61" t="s">
        <v>2672</v>
      </c>
      <c r="O87" s="54" t="str" cm="1">
        <f t="array" ref="O87">_xlfn.LET(_xlpm.n,LOWER(E87),_xlpm.c,LOWER(B87),_xlpm.t,_xlfn.IFS(OR(ISNUMBER(SEARCH("lens",_xlpm.n)),ISNUMBER(SEARCH("optic",_xlpm.n)),ISNUMBER(SEARCH("polarizer",_xlpm.n))),"precision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"),E87&amp;" is "&amp;_xlpm.art&amp;_xlpm.t&amp;" from "&amp;C87&amp;" designed for application-specific laboratory, engineering or industrial use. It belongs to DIWAN's "&amp;B87&amp;" portfolio; final configuration must be selected against performance, integration and compliance requirements.")</f>
        <v>HPR-20 TMS is a specialized gas analysis product from Hiden Analytical designed for application-specific laboratory, engineering or industrial use. It belongs to DIWAN's Gas Analysis portfolio; final configuration must be selected against performance, integration and compliance requirements.</v>
      </c>
      <c r="P87" s="54" t="str">
        <f t="shared" si="30"/>
        <v>Selection should confirm the model-specific operating range, capacity, accuracy, interfaces, utilities, accessories, standards, environmental limits and service requirements. Final capabilities depend on the approved HPR-20 TMS configuration.</v>
      </c>
      <c r="Q87" s="54"/>
      <c r="R87" s="54" t="str">
        <f t="shared" si="31"/>
        <v>Gas Analysis applications; laboratory research, engineering development, quality control and industrial deployment where applicable. Suitability must be confirmed against the user's sample, process, environment and required standards.</v>
      </c>
      <c r="S87" s="54"/>
      <c r="T87" s="54" t="str">
        <f t="shared" si="32"/>
        <v>HPR-20 TMS from Hiden Analytical</v>
      </c>
      <c r="U87" s="54"/>
      <c r="V87" s="54" t="s">
        <v>2673</v>
      </c>
      <c r="W87" s="54" t="str">
        <f t="shared" si="33"/>
        <v>See other Gas Analysis products</v>
      </c>
      <c r="X87" s="54" t="str">
        <f t="shared" si="34"/>
        <v>Gas Analysis enquiry → website group enquiry form → category owner assignment</v>
      </c>
      <c r="Y87" s="54" t="str">
        <f t="shared" si="35"/>
        <v>HPR-20 TMS, Gas Analysis, Hiden Analytical, technical equipment, DIWAN</v>
      </c>
      <c r="Z87" s="54" t="s">
        <v>19</v>
      </c>
      <c r="AA87" s="55">
        <v>46257</v>
      </c>
      <c r="AB87" s="54" t="s">
        <v>2465</v>
      </c>
      <c r="AC87" s="63" t="str">
        <f t="shared" si="36"/>
        <v>Content drafted - assets/specs pending</v>
      </c>
      <c r="AD87"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7" s="58"/>
      <c r="AF87" s="58" t="s">
        <v>2941</v>
      </c>
      <c r="AG87" s="58" t="s">
        <v>2467</v>
      </c>
      <c r="AH87" s="58" t="s">
        <v>2468</v>
      </c>
      <c r="AI87" s="58" t="s">
        <v>2469</v>
      </c>
    </row>
    <row r="88" spans="1:35" ht="42" customHeight="1" thickBot="1" x14ac:dyDescent="0.4">
      <c r="A88" s="69">
        <f t="shared" si="24"/>
        <v>19</v>
      </c>
      <c r="B88" s="70" t="s">
        <v>106</v>
      </c>
      <c r="C88" s="71" t="s">
        <v>5</v>
      </c>
      <c r="D88" s="72" t="s">
        <v>6</v>
      </c>
      <c r="E88" s="45" t="s">
        <v>110</v>
      </c>
      <c r="F88" s="49" t="s">
        <v>2982</v>
      </c>
      <c r="G88" s="45" t="s">
        <v>3045</v>
      </c>
      <c r="H88" s="47">
        <v>46257</v>
      </c>
      <c r="I88" s="48" t="s">
        <v>1598</v>
      </c>
      <c r="J88" s="48" t="s">
        <v>885</v>
      </c>
      <c r="K88" s="48" t="str">
        <f t="shared" si="28"/>
        <v>HPR-20 EGA is a gas analysis product from Hiden Analytical for application-specific laboratory, engineering or industrial use.</v>
      </c>
      <c r="L88" s="48" t="str">
        <f t="shared" si="29"/>
        <v>HPR-20 EGA from Hiden Analytical for gas analysis applications. Review configuration requirements and request technical information or a quotation from DIWAN.</v>
      </c>
      <c r="M88" s="48" t="s">
        <v>2020</v>
      </c>
      <c r="N88" s="61" t="s">
        <v>2672</v>
      </c>
      <c r="O88" s="54" t="str" cm="1">
        <f t="array" ref="O88">_xlfn.LET(_xlpm.n,LOWER(E88),_xlpm.c,LOWER(B88),_xlpm.t,_xlfn.IFS(OR(ISNUMBER(SEARCH("lens",_xlpm.n)),ISNUMBER(SEARCH("optic",_xlpm.n)),ISNUMBER(SEARCH("polarizer",_xlpm.n))),"precision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"),E88&amp;" is "&amp;_xlpm.art&amp;_xlpm.t&amp;" from "&amp;C88&amp;" designed for application-specific laboratory, engineering or industrial use. It belongs to DIWAN's "&amp;B88&amp;" portfolio; final configuration must be selected against performance, integration and compliance requirements.")</f>
        <v>HPR-20 EGA is a specialized gas analysis product from Hiden Analytical designed for application-specific laboratory, engineering or industrial use. It belongs to DIWAN's Gas Analysis portfolio; final configuration must be selected against performance, integration and compliance requirements.</v>
      </c>
      <c r="P88" s="54" t="str">
        <f t="shared" si="30"/>
        <v>Selection should confirm the model-specific operating range, capacity, accuracy, interfaces, utilities, accessories, standards, environmental limits and service requirements. Final capabilities depend on the approved HPR-20 EGA configuration.</v>
      </c>
      <c r="Q88" s="54"/>
      <c r="R88" s="54" t="str">
        <f t="shared" si="31"/>
        <v>Gas Analysis applications; laboratory research, engineering development, quality control and industrial deployment where applicable. Suitability must be confirmed against the user's sample, process, environment and required standards.</v>
      </c>
      <c r="S88" s="54"/>
      <c r="T88" s="54" t="str">
        <f t="shared" si="32"/>
        <v>HPR-20 EGA from Hiden Analytical</v>
      </c>
      <c r="U88" s="54"/>
      <c r="V88" s="54" t="s">
        <v>2673</v>
      </c>
      <c r="W88" s="54" t="str">
        <f t="shared" si="33"/>
        <v>See other Gas Analysis products</v>
      </c>
      <c r="X88" s="54" t="str">
        <f t="shared" si="34"/>
        <v>Gas Analysis enquiry → website group enquiry form → category owner assignment</v>
      </c>
      <c r="Y88" s="54" t="str">
        <f t="shared" si="35"/>
        <v>HPR-20 EGA, Gas Analysis, Hiden Analytical, technical equipment, DIWAN</v>
      </c>
      <c r="Z88" s="54" t="s">
        <v>19</v>
      </c>
      <c r="AA88" s="55">
        <v>46257</v>
      </c>
      <c r="AB88" s="54" t="s">
        <v>2465</v>
      </c>
      <c r="AC88" s="63" t="str">
        <f t="shared" si="36"/>
        <v>Content drafted - assets/specs pending</v>
      </c>
      <c r="AD88"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8" s="58"/>
      <c r="AF88" s="58" t="s">
        <v>2941</v>
      </c>
      <c r="AG88" s="58" t="s">
        <v>2467</v>
      </c>
      <c r="AH88" s="58" t="s">
        <v>2468</v>
      </c>
      <c r="AI88" s="58" t="s">
        <v>2469</v>
      </c>
    </row>
    <row r="89" spans="1:35" ht="42" customHeight="1" x14ac:dyDescent="0.35">
      <c r="A89" s="69">
        <f t="shared" si="24"/>
        <v>20</v>
      </c>
      <c r="B89" s="74" t="s">
        <v>111</v>
      </c>
      <c r="C89" s="75" t="s">
        <v>5</v>
      </c>
      <c r="D89" s="76" t="s">
        <v>6</v>
      </c>
      <c r="E89" s="77" t="s">
        <v>112</v>
      </c>
      <c r="F89" s="86" t="s">
        <v>2983</v>
      </c>
      <c r="G89" s="77" t="s">
        <v>3045</v>
      </c>
      <c r="H89" s="79">
        <v>46257</v>
      </c>
      <c r="I89" s="80" t="s">
        <v>1599</v>
      </c>
      <c r="J89" s="80" t="s">
        <v>886</v>
      </c>
      <c r="K89" s="80" t="str">
        <f t="shared" si="28"/>
        <v>CATLAB-PCS is a catalysis &amp; thermal analysis product from Hiden Analytical for application-specific laboratory, engineering or industrial use.</v>
      </c>
      <c r="L89" s="80" t="str">
        <f t="shared" si="29"/>
        <v>CATLAB-PCS from Hiden Analytical for catalysis &amp; thermal analysis applications. Review configuration requirements and request technical information or a quotation from DIWAN.</v>
      </c>
      <c r="M89" s="80" t="s">
        <v>2020</v>
      </c>
      <c r="N89" s="81" t="s">
        <v>2672</v>
      </c>
      <c r="O89" s="82" t="str" cm="1">
        <f t="array" ref="O89">_xlfn.LET(_xlpm.n,LOWER(E89),_xlpm.c,LOWER(B89),_xlpm.t,_xlfn.IFS(OR(ISNUMBER(SEARCH("lens",_xlpm.n)),ISNUMBER(SEARCH("optic",_xlpm.n)),ISNUMBER(SEARCH("polarizer",_xlpm.n))),"precision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"),E89&amp;" is "&amp;_xlpm.art&amp;_xlpm.t&amp;" from "&amp;C89&amp;" designed for application-specific laboratory, engineering or industrial use. It belongs to DIWAN's "&amp;B89&amp;" portfolio; final configuration must be selected against performance, integration and compliance requirements.")</f>
        <v>CATLAB-PCS is a specialized catalysis &amp; thermal analysis product from Hiden Analytical designed for application-specific laboratory, engineering or industrial use. It belongs to DIWAN's Catalysis &amp; Thermal Analysis portfolio; final configuration must be selected against performance, integration and compliance requirements.</v>
      </c>
      <c r="P89" s="82" t="str">
        <f t="shared" si="30"/>
        <v>Selection should confirm the model-specific operating range, capacity, accuracy, interfaces, utilities, accessories, standards, environmental limits and service requirements. Final capabilities depend on the approved CATLAB-PCS configuration.</v>
      </c>
      <c r="Q89" s="82"/>
      <c r="R89" s="82" t="str">
        <f t="shared" si="31"/>
        <v>Catalysis &amp; Thermal Analysis applications; laboratory research, engineering development, quality control and industrial deployment where applicable. Suitability must be confirmed against the user's sample, process, environment and required standards.</v>
      </c>
      <c r="S89" s="82"/>
      <c r="T89" s="82" t="str">
        <f t="shared" si="32"/>
        <v>CATLAB-PCS from Hiden Analytical</v>
      </c>
      <c r="U89" s="82"/>
      <c r="V89" s="82" t="s">
        <v>2673</v>
      </c>
      <c r="W89" s="82" t="str">
        <f t="shared" si="33"/>
        <v>See other Catalysis &amp; Thermal Analysis products</v>
      </c>
      <c r="X89" s="82" t="str">
        <f t="shared" si="34"/>
        <v>Catalysis &amp; Thermal Analysis enquiry → website group enquiry form → category owner assignment</v>
      </c>
      <c r="Y89" s="82" t="str">
        <f t="shared" si="35"/>
        <v>CATLAB-PCS, Catalysis &amp; Thermal Analysis, Hiden Analytical, technical equipment, DIWAN</v>
      </c>
      <c r="Z89" s="82" t="s">
        <v>19</v>
      </c>
      <c r="AA89" s="83">
        <v>46257</v>
      </c>
      <c r="AB89" s="82" t="s">
        <v>2465</v>
      </c>
      <c r="AC89" s="84" t="str">
        <f t="shared" si="36"/>
        <v>Content drafted - assets/specs pending</v>
      </c>
      <c r="AD89" s="82"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89" s="85"/>
      <c r="AF89" s="85" t="s">
        <v>2942</v>
      </c>
      <c r="AG89" s="85" t="s">
        <v>2467</v>
      </c>
      <c r="AH89" s="85" t="s">
        <v>2468</v>
      </c>
      <c r="AI89" s="85" t="s">
        <v>2469</v>
      </c>
    </row>
    <row r="90" spans="1:35" ht="42" customHeight="1" x14ac:dyDescent="0.35">
      <c r="A90" s="69">
        <f t="shared" si="24"/>
        <v>20</v>
      </c>
      <c r="B90" s="70" t="s">
        <v>111</v>
      </c>
      <c r="C90" s="71" t="s">
        <v>5</v>
      </c>
      <c r="D90" s="72" t="s">
        <v>6</v>
      </c>
      <c r="E90" s="45" t="s">
        <v>113</v>
      </c>
      <c r="F90" s="49" t="s">
        <v>2983</v>
      </c>
      <c r="G90" s="45" t="s">
        <v>3045</v>
      </c>
      <c r="H90" s="47">
        <v>46257</v>
      </c>
      <c r="I90" s="48" t="s">
        <v>1600</v>
      </c>
      <c r="J90" s="48" t="s">
        <v>887</v>
      </c>
      <c r="K90" s="48" t="str">
        <f t="shared" si="28"/>
        <v>TDSLab Series is a catalysis &amp; thermal analysis product from Hiden Analytical for application-specific laboratory, engineering or industrial use.</v>
      </c>
      <c r="L90" s="48" t="str">
        <f t="shared" si="29"/>
        <v>TDSLab Series from Hiden Analytical for catalysis &amp; thermal analysis applications. Review configuration requirements and request technical information or a quotation from DIWAN.</v>
      </c>
      <c r="M90" s="48" t="s">
        <v>2020</v>
      </c>
      <c r="N90" s="61" t="s">
        <v>2672</v>
      </c>
      <c r="O90" s="54" t="str" cm="1">
        <f t="array" ref="O90">_xlfn.LET(_xlpm.n,LOWER(E90),_xlpm.c,LOWER(B90),_xlpm.t,_xlfn.IFS(OR(ISNUMBER(SEARCH("lens",_xlpm.n)),ISNUMBER(SEARCH("optic",_xlpm.n)),ISNUMBER(SEARCH("polarizer",_xlpm.n))),"precision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"),E90&amp;" is "&amp;_xlpm.art&amp;_xlpm.t&amp;" from "&amp;C90&amp;" designed for application-specific laboratory, engineering or industrial use. It belongs to DIWAN's "&amp;B90&amp;" portfolio; final configuration must be selected against performance, integration and compliance requirements.")</f>
        <v>TDSLab Series is a specialized catalysis &amp; thermal analysis product from Hiden Analytical designed for application-specific laboratory, engineering or industrial use. It belongs to DIWAN's Catalysis &amp; Thermal Analysis portfolio; final configuration must be selected against performance, integration and compliance requirements.</v>
      </c>
      <c r="P90" s="54" t="str">
        <f t="shared" si="30"/>
        <v>Selection should confirm the model-specific operating range, capacity, accuracy, interfaces, utilities, accessories, standards, environmental limits and service requirements. Final capabilities depend on the approved TDSLab Series configuration.</v>
      </c>
      <c r="Q90" s="54"/>
      <c r="R90" s="54" t="str">
        <f t="shared" si="31"/>
        <v>Catalysis &amp; Thermal Analysis applications; laboratory research, engineering development, quality control and industrial deployment where applicable. Suitability must be confirmed against the user's sample, process, environment and required standards.</v>
      </c>
      <c r="S90" s="54"/>
      <c r="T90" s="54" t="str">
        <f t="shared" si="32"/>
        <v>TDSLab Series from Hiden Analytical</v>
      </c>
      <c r="U90" s="54"/>
      <c r="V90" s="54" t="s">
        <v>2673</v>
      </c>
      <c r="W90" s="54" t="str">
        <f t="shared" si="33"/>
        <v>See other Catalysis &amp; Thermal Analysis products</v>
      </c>
      <c r="X90" s="54" t="str">
        <f t="shared" si="34"/>
        <v>Catalysis &amp; Thermal Analysis enquiry → website group enquiry form → category owner assignment</v>
      </c>
      <c r="Y90" s="54" t="str">
        <f t="shared" si="35"/>
        <v>TDSLab Series, Catalysis &amp; Thermal Analysis, Hiden Analytical, technical equipment, DIWAN</v>
      </c>
      <c r="Z90" s="54" t="s">
        <v>19</v>
      </c>
      <c r="AA90" s="55">
        <v>46257</v>
      </c>
      <c r="AB90" s="54" t="s">
        <v>2465</v>
      </c>
      <c r="AC90" s="63" t="str">
        <f t="shared" si="36"/>
        <v>Content drafted - assets/specs pending</v>
      </c>
      <c r="AD90"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0" s="58"/>
      <c r="AF90" s="58"/>
      <c r="AG90" s="58" t="s">
        <v>2467</v>
      </c>
      <c r="AH90" s="58" t="s">
        <v>2468</v>
      </c>
      <c r="AI90" s="58" t="s">
        <v>2469</v>
      </c>
    </row>
    <row r="91" spans="1:35" ht="42" customHeight="1" thickBot="1" x14ac:dyDescent="0.4">
      <c r="A91" s="69">
        <f t="shared" si="24"/>
        <v>20</v>
      </c>
      <c r="B91" s="70" t="s">
        <v>111</v>
      </c>
      <c r="C91" s="71" t="s">
        <v>5</v>
      </c>
      <c r="D91" s="72" t="s">
        <v>6</v>
      </c>
      <c r="E91" s="45" t="s">
        <v>114</v>
      </c>
      <c r="F91" s="49" t="s">
        <v>2983</v>
      </c>
      <c r="G91" s="45" t="s">
        <v>3045</v>
      </c>
      <c r="H91" s="47">
        <v>46257</v>
      </c>
      <c r="I91" s="48" t="s">
        <v>1601</v>
      </c>
      <c r="J91" s="48" t="s">
        <v>888</v>
      </c>
      <c r="K91" s="48" t="str">
        <f t="shared" si="28"/>
        <v>SpaciMS is a catalysis &amp; thermal analysis product from Hiden Analytical for application-specific laboratory, engineering or industrial use.</v>
      </c>
      <c r="L91" s="48" t="str">
        <f t="shared" si="29"/>
        <v>SpaciMS from Hiden Analytical for catalysis &amp; thermal analysis applications. Review configuration requirements and request technical information or a quotation from DIWAN.</v>
      </c>
      <c r="M91" s="48" t="s">
        <v>2020</v>
      </c>
      <c r="N91" s="61" t="s">
        <v>2672</v>
      </c>
      <c r="O91" s="54" t="str" cm="1">
        <f t="array" ref="O91">_xlfn.LET(_xlpm.n,LOWER(E91),_xlpm.c,LOWER(B91),_xlpm.t,_xlfn.IFS(OR(ISNUMBER(SEARCH("lens",_xlpm.n)),ISNUMBER(SEARCH("optic",_xlpm.n)),ISNUMBER(SEARCH("polarizer",_xlpm.n))),"precision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"),E91&amp;" is "&amp;_xlpm.art&amp;_xlpm.t&amp;" from "&amp;C91&amp;" designed for application-specific laboratory, engineering or industrial use. It belongs to DIWAN's "&amp;B91&amp;" portfolio; final configuration must be selected against performance, integration and compliance requirements.")</f>
        <v>SpaciMS is a specialized catalysis &amp; thermal analysis product from Hiden Analytical designed for application-specific laboratory, engineering or industrial use. It belongs to DIWAN's Catalysis &amp; Thermal Analysis portfolio; final configuration must be selected against performance, integration and compliance requirements.</v>
      </c>
      <c r="P91" s="54" t="str">
        <f t="shared" si="30"/>
        <v>Selection should confirm the model-specific operating range, capacity, accuracy, interfaces, utilities, accessories, standards, environmental limits and service requirements. Final capabilities depend on the approved SpaciMS configuration.</v>
      </c>
      <c r="Q91" s="54"/>
      <c r="R91" s="54" t="str">
        <f t="shared" si="31"/>
        <v>Catalysis &amp; Thermal Analysis applications; laboratory research, engineering development, quality control and industrial deployment where applicable. Suitability must be confirmed against the user's sample, process, environment and required standards.</v>
      </c>
      <c r="S91" s="54"/>
      <c r="T91" s="54" t="str">
        <f t="shared" si="32"/>
        <v>SpaciMS from Hiden Analytical</v>
      </c>
      <c r="U91" s="54"/>
      <c r="V91" s="54" t="s">
        <v>2673</v>
      </c>
      <c r="W91" s="54" t="str">
        <f t="shared" si="33"/>
        <v>See other Catalysis &amp; Thermal Analysis products</v>
      </c>
      <c r="X91" s="54" t="str">
        <f t="shared" si="34"/>
        <v>Catalysis &amp; Thermal Analysis enquiry → website group enquiry form → category owner assignment</v>
      </c>
      <c r="Y91" s="54" t="str">
        <f t="shared" si="35"/>
        <v>SpaciMS, Catalysis &amp; Thermal Analysis, Hiden Analytical, technical equipment, DIWAN</v>
      </c>
      <c r="Z91" s="54" t="s">
        <v>19</v>
      </c>
      <c r="AA91" s="55">
        <v>46257</v>
      </c>
      <c r="AB91" s="54" t="s">
        <v>2465</v>
      </c>
      <c r="AC91" s="63" t="str">
        <f t="shared" si="36"/>
        <v>Content drafted - assets/specs pending</v>
      </c>
      <c r="AD91"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1" s="58"/>
      <c r="AF91" s="58"/>
      <c r="AG91" s="58" t="s">
        <v>2467</v>
      </c>
      <c r="AH91" s="58" t="s">
        <v>2468</v>
      </c>
      <c r="AI91" s="58" t="s">
        <v>2469</v>
      </c>
    </row>
    <row r="92" spans="1:35" ht="42" customHeight="1" x14ac:dyDescent="0.35">
      <c r="A92" s="69">
        <f t="shared" si="24"/>
        <v>21</v>
      </c>
      <c r="B92" s="74" t="s">
        <v>115</v>
      </c>
      <c r="C92" s="75" t="s">
        <v>5</v>
      </c>
      <c r="D92" s="76" t="s">
        <v>6</v>
      </c>
      <c r="E92" s="77" t="s">
        <v>116</v>
      </c>
      <c r="F92" s="86" t="s">
        <v>2984</v>
      </c>
      <c r="G92" s="77" t="s">
        <v>3045</v>
      </c>
      <c r="H92" s="79">
        <v>46257</v>
      </c>
      <c r="I92" s="80" t="s">
        <v>1602</v>
      </c>
      <c r="J92" s="80" t="s">
        <v>889</v>
      </c>
      <c r="K92" s="80" t="str">
        <f t="shared" si="28"/>
        <v>HPR-40 MIMS is a dissolved gas &amp; fermentation product from Hiden Analytical for application-specific laboratory, engineering or industrial use.</v>
      </c>
      <c r="L92" s="80" t="str">
        <f t="shared" si="29"/>
        <v>HPR-40 MIMS from Hiden Analytical for dissolved gas &amp; fermentation applications. Review configuration requirements and request technical information or a quotation from DIWAN.</v>
      </c>
      <c r="M92" s="80" t="s">
        <v>2020</v>
      </c>
      <c r="N92" s="81" t="s">
        <v>2672</v>
      </c>
      <c r="O92" s="82" t="str" cm="1">
        <f t="array" ref="O92">_xlfn.LET(_xlpm.n,LOWER(E92),_xlpm.c,LOWER(B92),_xlpm.t,_xlfn.IFS(OR(ISNUMBER(SEARCH("lens",_xlpm.n)),ISNUMBER(SEARCH("optic",_xlpm.n)),ISNUMBER(SEARCH("polarizer",_xlpm.n))),"precision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"),E92&amp;" is "&amp;_xlpm.art&amp;_xlpm.t&amp;" from "&amp;C92&amp;" designed for application-specific laboratory, engineering or industrial use. It belongs to DIWAN's "&amp;B92&amp;" portfolio; final configuration must be selected against performance, integration and compliance requirements.")</f>
        <v>HPR-40 MIMS is a specialized dissolved gas &amp; fermentation product from Hiden Analytical designed for application-specific laboratory, engineering or industrial use. It belongs to DIWAN's Dissolved Gas &amp; Fermentation portfolio; final configuration must be selected against performance, integration and compliance requirements.</v>
      </c>
      <c r="P92" s="82" t="str">
        <f t="shared" si="30"/>
        <v>Selection should confirm the model-specific operating range, capacity, accuracy, interfaces, utilities, accessories, standards, environmental limits and service requirements. Final capabilities depend on the approved HPR-40 MIMS configuration.</v>
      </c>
      <c r="Q92" s="82"/>
      <c r="R92" s="82" t="str">
        <f t="shared" si="31"/>
        <v>Dissolved Gas &amp; Fermentation applications; laboratory research, engineering development, quality control and industrial deployment where applicable. Suitability must be confirmed against the user's sample, process, environment and required standards.</v>
      </c>
      <c r="S92" s="82"/>
      <c r="T92" s="82" t="str">
        <f t="shared" si="32"/>
        <v>HPR-40 MIMS from Hiden Analytical</v>
      </c>
      <c r="U92" s="82"/>
      <c r="V92" s="82" t="s">
        <v>2673</v>
      </c>
      <c r="W92" s="82" t="str">
        <f t="shared" si="33"/>
        <v>See other Dissolved Gas &amp; Fermentation products</v>
      </c>
      <c r="X92" s="82" t="str">
        <f t="shared" si="34"/>
        <v>Dissolved Gas &amp; Fermentation enquiry → website group enquiry form → category owner assignment</v>
      </c>
      <c r="Y92" s="82" t="str">
        <f t="shared" si="35"/>
        <v>HPR-40 MIMS, Dissolved Gas &amp; Fermentation, Hiden Analytical, technical equipment, DIWAN</v>
      </c>
      <c r="Z92" s="82" t="s">
        <v>19</v>
      </c>
      <c r="AA92" s="83">
        <v>46257</v>
      </c>
      <c r="AB92" s="82" t="s">
        <v>2465</v>
      </c>
      <c r="AC92" s="84" t="str">
        <f t="shared" si="36"/>
        <v>Content drafted - assets/specs pending</v>
      </c>
      <c r="AD92" s="82"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2" s="85"/>
      <c r="AF92" s="85" t="s">
        <v>2943</v>
      </c>
      <c r="AG92" s="85" t="s">
        <v>2467</v>
      </c>
      <c r="AH92" s="85" t="s">
        <v>2468</v>
      </c>
      <c r="AI92" s="85" t="s">
        <v>2469</v>
      </c>
    </row>
    <row r="93" spans="1:35" ht="42" customHeight="1" x14ac:dyDescent="0.35">
      <c r="A93" s="69">
        <f t="shared" si="24"/>
        <v>21</v>
      </c>
      <c r="B93" s="70" t="s">
        <v>115</v>
      </c>
      <c r="C93" s="71" t="s">
        <v>5</v>
      </c>
      <c r="D93" s="72" t="s">
        <v>6</v>
      </c>
      <c r="E93" s="45" t="s">
        <v>117</v>
      </c>
      <c r="F93" s="49" t="s">
        <v>2984</v>
      </c>
      <c r="G93" s="45" t="s">
        <v>3045</v>
      </c>
      <c r="H93" s="47">
        <v>46257</v>
      </c>
      <c r="I93" s="48" t="s">
        <v>1603</v>
      </c>
      <c r="J93" s="48" t="s">
        <v>890</v>
      </c>
      <c r="K93" s="48" t="str">
        <f t="shared" si="28"/>
        <v>pQA Portable Quadrupole Analyser is a dissolved gas &amp; fermentation product from Hiden Analytical for application-specific laboratory, engineering or industrial use.</v>
      </c>
      <c r="L93" s="48" t="str">
        <f t="shared" si="29"/>
        <v>pQA Portable Quadrupole Analyser from Hiden Analytical for dissolved gas &amp; fermentation applications. Review configuration requirements and request technical information or a quotation from DIWAN.</v>
      </c>
      <c r="M93" s="48" t="s">
        <v>2020</v>
      </c>
      <c r="N93" s="61" t="s">
        <v>2672</v>
      </c>
      <c r="O93" s="54" t="str" cm="1">
        <f t="array" ref="O93">_xlfn.LET(_xlpm.n,LOWER(E93),_xlpm.c,LOWER(B93),_xlpm.t,_xlfn.IFS(OR(ISNUMBER(SEARCH("lens",_xlpm.n)),ISNUMBER(SEARCH("optic",_xlpm.n)),ISNUMBER(SEARCH("polarizer",_xlpm.n))),"precision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"),E93&amp;" is "&amp;_xlpm.art&amp;_xlpm.t&amp;" from "&amp;C93&amp;" designed for application-specific laboratory, engineering or industrial use. It belongs to DIWAN's "&amp;B93&amp;" portfolio; final configuration must be selected against performance, integration and compliance requirements.")</f>
        <v>pQA Portable Quadrupole Analyser is a specialized dissolved gas &amp; fermentation product from Hiden Analytical designed for application-specific laboratory, engineering or industrial use. It belongs to DIWAN's Dissolved Gas &amp; Fermentation portfolio; final configuration must be selected against performance, integration and compliance requirements.</v>
      </c>
      <c r="P93" s="54" t="str">
        <f t="shared" si="30"/>
        <v>Selection should confirm the model-specific operating range, capacity, accuracy, interfaces, utilities, accessories, standards, environmental limits and service requirements. Final capabilities depend on the approved pQA Portable Quadrupole Analyser configuration.</v>
      </c>
      <c r="Q93" s="54"/>
      <c r="R93" s="54" t="str">
        <f t="shared" si="31"/>
        <v>Dissolved Gas &amp; Fermentation applications; laboratory research, engineering development, quality control and industrial deployment where applicable. Suitability must be confirmed against the user's sample, process, environment and required standards.</v>
      </c>
      <c r="S93" s="54"/>
      <c r="T93" s="54" t="str">
        <f t="shared" si="32"/>
        <v>pQA Portable Quadrupole Analyser from Hiden Analytical</v>
      </c>
      <c r="U93" s="54"/>
      <c r="V93" s="54" t="s">
        <v>2673</v>
      </c>
      <c r="W93" s="54" t="str">
        <f t="shared" si="33"/>
        <v>See other Dissolved Gas &amp; Fermentation products</v>
      </c>
      <c r="X93" s="54" t="str">
        <f t="shared" si="34"/>
        <v>Dissolved Gas &amp; Fermentation enquiry → website group enquiry form → category owner assignment</v>
      </c>
      <c r="Y93" s="54" t="str">
        <f t="shared" si="35"/>
        <v>pQA Portable Quadrupole Analyser, Dissolved Gas &amp; Fermentation, Hiden Analytical, technical equipment, DIWAN</v>
      </c>
      <c r="Z93" s="54" t="s">
        <v>19</v>
      </c>
      <c r="AA93" s="55">
        <v>46257</v>
      </c>
      <c r="AB93" s="54" t="s">
        <v>2465</v>
      </c>
      <c r="AC93" s="63" t="str">
        <f t="shared" si="36"/>
        <v>Content drafted - assets/specs pending</v>
      </c>
      <c r="AD93"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3" s="58"/>
      <c r="AF93" s="58" t="s">
        <v>2944</v>
      </c>
      <c r="AG93" s="58" t="s">
        <v>2467</v>
      </c>
      <c r="AH93" s="58" t="s">
        <v>2468</v>
      </c>
      <c r="AI93" s="58" t="s">
        <v>2469</v>
      </c>
    </row>
    <row r="94" spans="1:35" ht="42" customHeight="1" thickBot="1" x14ac:dyDescent="0.4">
      <c r="A94" s="69">
        <f t="shared" si="24"/>
        <v>21</v>
      </c>
      <c r="B94" s="70" t="s">
        <v>115</v>
      </c>
      <c r="C94" s="71" t="s">
        <v>5</v>
      </c>
      <c r="D94" s="72" t="s">
        <v>6</v>
      </c>
      <c r="E94" s="45" t="s">
        <v>118</v>
      </c>
      <c r="F94" s="49" t="s">
        <v>2984</v>
      </c>
      <c r="G94" s="45" t="s">
        <v>3045</v>
      </c>
      <c r="H94" s="47">
        <v>46257</v>
      </c>
      <c r="I94" s="48" t="s">
        <v>1604</v>
      </c>
      <c r="J94" s="48" t="s">
        <v>891</v>
      </c>
      <c r="K94" s="48" t="str">
        <f t="shared" si="28"/>
        <v>QIC BioStream is a dissolved gas &amp; fermentation product from Hiden Analytical for application-specific laboratory, engineering or industrial use.</v>
      </c>
      <c r="L94" s="48" t="str">
        <f t="shared" si="29"/>
        <v>QIC BioStream from Hiden Analytical for dissolved gas &amp; fermentation applications. Review configuration requirements and request technical information or a quotation from DIWAN.</v>
      </c>
      <c r="M94" s="48" t="s">
        <v>2020</v>
      </c>
      <c r="N94" s="61" t="s">
        <v>2672</v>
      </c>
      <c r="O94" s="54" t="str" cm="1">
        <f t="array" ref="O94">_xlfn.LET(_xlpm.n,LOWER(E94),_xlpm.c,LOWER(B94),_xlpm.t,_xlfn.IFS(OR(ISNUMBER(SEARCH("lens",_xlpm.n)),ISNUMBER(SEARCH("optic",_xlpm.n)),ISNUMBER(SEARCH("polarizer",_xlpm.n))),"precision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"),E94&amp;" is "&amp;_xlpm.art&amp;_xlpm.t&amp;" from "&amp;C94&amp;" designed for application-specific laboratory, engineering or industrial use. It belongs to DIWAN's "&amp;B94&amp;" portfolio; final configuration must be selected against performance, integration and compliance requirements.")</f>
        <v>QIC BioStream is a specialized dissolved gas &amp; fermentation product from Hiden Analytical designed for application-specific laboratory, engineering or industrial use. It belongs to DIWAN's Dissolved Gas &amp; Fermentation portfolio; final configuration must be selected against performance, integration and compliance requirements.</v>
      </c>
      <c r="P94" s="54" t="str">
        <f t="shared" si="30"/>
        <v>Selection should confirm the model-specific operating range, capacity, accuracy, interfaces, utilities, accessories, standards, environmental limits and service requirements. Final capabilities depend on the approved QIC BioStream configuration.</v>
      </c>
      <c r="Q94" s="54"/>
      <c r="R94" s="54" t="str">
        <f t="shared" si="31"/>
        <v>Dissolved Gas &amp; Fermentation applications; laboratory research, engineering development, quality control and industrial deployment where applicable. Suitability must be confirmed against the user's sample, process, environment and required standards.</v>
      </c>
      <c r="S94" s="54"/>
      <c r="T94" s="54" t="str">
        <f t="shared" si="32"/>
        <v>QIC BioStream from Hiden Analytical</v>
      </c>
      <c r="U94" s="54"/>
      <c r="V94" s="54" t="s">
        <v>2673</v>
      </c>
      <c r="W94" s="54" t="str">
        <f t="shared" si="33"/>
        <v>See other Dissolved Gas &amp; Fermentation products</v>
      </c>
      <c r="X94" s="54" t="str">
        <f t="shared" si="34"/>
        <v>Dissolved Gas &amp; Fermentation enquiry → website group enquiry form → category owner assignment</v>
      </c>
      <c r="Y94" s="54" t="str">
        <f t="shared" si="35"/>
        <v>QIC BioStream, Dissolved Gas &amp; Fermentation, Hiden Analytical, technical equipment, DIWAN</v>
      </c>
      <c r="Z94" s="54" t="s">
        <v>19</v>
      </c>
      <c r="AA94" s="55">
        <v>46257</v>
      </c>
      <c r="AB94" s="54" t="s">
        <v>2465</v>
      </c>
      <c r="AC94" s="63" t="str">
        <f t="shared" si="36"/>
        <v>Content drafted - assets/specs pending</v>
      </c>
      <c r="AD94" s="54"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4" s="58"/>
      <c r="AF94" s="58" t="s">
        <v>2941</v>
      </c>
      <c r="AG94" s="58" t="s">
        <v>2467</v>
      </c>
      <c r="AH94" s="58" t="s">
        <v>2468</v>
      </c>
      <c r="AI94" s="58" t="s">
        <v>2469</v>
      </c>
    </row>
    <row r="95" spans="1:35" ht="42" customHeight="1" x14ac:dyDescent="0.35">
      <c r="A95" s="69">
        <f t="shared" si="24"/>
        <v>22</v>
      </c>
      <c r="B95" s="74" t="s">
        <v>119</v>
      </c>
      <c r="C95" s="75" t="s">
        <v>5</v>
      </c>
      <c r="D95" s="76" t="s">
        <v>6</v>
      </c>
      <c r="E95" s="77" t="s">
        <v>120</v>
      </c>
      <c r="F95" s="86" t="s">
        <v>2985</v>
      </c>
      <c r="G95" s="77" t="s">
        <v>3045</v>
      </c>
      <c r="H95" s="79">
        <v>46257</v>
      </c>
      <c r="I95" s="80" t="s">
        <v>1605</v>
      </c>
      <c r="J95" s="80" t="s">
        <v>892</v>
      </c>
      <c r="K95" s="80" t="str">
        <f t="shared" si="28"/>
        <v>HPR-40 DEMS is an electrochemistry &amp; leak analysis product from Hiden Analytical for application-specific laboratory, engineering or industrial use.</v>
      </c>
      <c r="L95" s="80" t="str">
        <f t="shared" si="29"/>
        <v>HPR-40 DEMS from Hiden Analytical for electrochemistry &amp; leak analysis applications. Review configuration requirements and request technical information or a quotation from DIWAN.</v>
      </c>
      <c r="M95" s="80" t="s">
        <v>2020</v>
      </c>
      <c r="N95" s="81" t="s">
        <v>2672</v>
      </c>
      <c r="O95" s="82" t="str" cm="1">
        <f t="array" ref="O95">_xlfn.LET(_xlpm.n,LOWER(E95),_xlpm.c,LOWER(B95),_xlpm.t,_xlfn.IFS(OR(ISNUMBER(SEARCH("lens",_xlpm.n)),ISNUMBER(SEARCH("optic",_xlpm.n)),ISNUMBER(SEARCH("polarizer",_xlpm.n))),"precision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"),E95&amp;" is "&amp;_xlpm.art&amp;_xlpm.t&amp;" from "&amp;C95&amp;" designed for application-specific laboratory, engineering or industrial use. It belongs to DIWAN's "&amp;B95&amp;" portfolio; final configuration must be selected against performance, integration and compliance requirements.")</f>
        <v>HPR-40 DEMS is a specialized electrochemistry &amp; leak analysis product from Hiden Analytical designed for application-specific laboratory, engineering or industrial use. It belongs to DIWAN's Electrochemistry &amp; Leak Analysis portfolio; final configuration must be selected against performance, integration and compliance requirements.</v>
      </c>
      <c r="P95" s="82" t="str">
        <f t="shared" si="30"/>
        <v>Selection should confirm the model-specific operating range, capacity, accuracy, interfaces, utilities, accessories, standards, environmental limits and service requirements. Final capabilities depend on the approved HPR-40 DEMS configuration.</v>
      </c>
      <c r="Q95" s="82"/>
      <c r="R95" s="82" t="str">
        <f t="shared" si="31"/>
        <v>Electrochemistry &amp; Leak Analysis applications; laboratory research, engineering development, quality control and industrial deployment where applicable. Suitability must be confirmed against the user's sample, process, environment and required standards.</v>
      </c>
      <c r="S95" s="82"/>
      <c r="T95" s="82" t="str">
        <f t="shared" si="32"/>
        <v>HPR-40 DEMS from Hiden Analytical</v>
      </c>
      <c r="U95" s="82"/>
      <c r="V95" s="82" t="s">
        <v>2673</v>
      </c>
      <c r="W95" s="82" t="str">
        <f t="shared" si="33"/>
        <v>See other Electrochemistry &amp; Leak Analysis products</v>
      </c>
      <c r="X95" s="82" t="str">
        <f t="shared" si="34"/>
        <v>Electrochemistry &amp; Leak Analysis enquiry → website group enquiry form → category owner assignment</v>
      </c>
      <c r="Y95" s="82" t="str">
        <f t="shared" si="35"/>
        <v>HPR-40 DEMS, Electrochemistry &amp; Leak Analysis, Hiden Analytical, technical equipment, DIWAN</v>
      </c>
      <c r="Z95" s="82" t="s">
        <v>19</v>
      </c>
      <c r="AA95" s="83">
        <v>46257</v>
      </c>
      <c r="AB95" s="82" t="s">
        <v>2465</v>
      </c>
      <c r="AC95" s="84" t="str">
        <f t="shared" si="36"/>
        <v>Content drafted - assets/specs pending</v>
      </c>
      <c r="AD95" s="82" t="str">
        <f t="shared" si="3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5" s="85"/>
      <c r="AF95" s="85" t="s">
        <v>2945</v>
      </c>
      <c r="AG95" s="85" t="s">
        <v>2467</v>
      </c>
      <c r="AH95" s="85" t="s">
        <v>2468</v>
      </c>
      <c r="AI95" s="85" t="s">
        <v>2469</v>
      </c>
    </row>
    <row r="96" spans="1:35" ht="42" customHeight="1" x14ac:dyDescent="0.35">
      <c r="A96" s="69">
        <f t="shared" si="24"/>
        <v>22</v>
      </c>
      <c r="B96" s="70" t="s">
        <v>119</v>
      </c>
      <c r="C96" s="71" t="s">
        <v>5</v>
      </c>
      <c r="D96" s="72" t="s">
        <v>6</v>
      </c>
      <c r="E96" s="45" t="s">
        <v>121</v>
      </c>
      <c r="F96" s="49" t="s">
        <v>2985</v>
      </c>
      <c r="G96" s="45" t="s">
        <v>3045</v>
      </c>
      <c r="H96" s="47">
        <v>46257</v>
      </c>
      <c r="I96" s="48" t="s">
        <v>1606</v>
      </c>
      <c r="J96" s="48" t="s">
        <v>893</v>
      </c>
      <c r="K96" s="48" t="str">
        <f t="shared" ref="K96:K159" si="38">E96&amp;" is "&amp;IF(ISNUMBER(SEARCH(LEFT(LOWER(B96),1),"aeiou")),"an ","a ")&amp;LOWER(B96)&amp;" product from "&amp;C96&amp;" for application-specific laboratory, engineering or industrial use."</f>
        <v>HPR-20 OEMS is an electrochemistry &amp; leak analysis product from Hiden Analytical for application-specific laboratory, engineering or industrial use.</v>
      </c>
      <c r="L96" s="48" t="str">
        <f t="shared" ref="L96:L159" si="39">E96&amp;" from "&amp;C96&amp;" for "&amp;LOWER(B96)&amp;" applications. Review configuration requirements and request technical information or a quotation from DIWAN."</f>
        <v>HPR-20 OEMS from Hiden Analytical for electrochemistry &amp; leak analysis applications. Review configuration requirements and request technical information or a quotation from DIWAN.</v>
      </c>
      <c r="M96" s="48" t="s">
        <v>2020</v>
      </c>
      <c r="N96" s="61" t="s">
        <v>2672</v>
      </c>
      <c r="O96" s="54" t="str" cm="1">
        <f t="array" ref="O96">_xlfn.LET(_xlpm.n,LOWER(E96),_xlpm.c,LOWER(B96),_xlpm.t,_xlfn.IFS(OR(ISNUMBER(SEARCH("lens",_xlpm.n)),ISNUMBER(SEARCH("optic",_xlpm.n)),ISNUMBER(SEARCH("polarizer",_xlpm.n))),"precision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"),E96&amp;" is "&amp;_xlpm.art&amp;_xlpm.t&amp;" from "&amp;C96&amp;" designed for application-specific laboratory, engineering or industrial use. It belongs to DIWAN's "&amp;B96&amp;" portfolio; final configuration must be selected against performance, integration and compliance requirements.")</f>
        <v>HPR-20 OEMS is a specialized electrochemistry &amp; leak analysis product from Hiden Analytical designed for application-specific laboratory, engineering or industrial use. It belongs to DIWAN's Electrochemistry &amp; Leak Analysis portfolio; final configuration must be selected against performance, integration and compliance requirements.</v>
      </c>
      <c r="P96" s="54" t="str">
        <f t="shared" ref="P96:P159" si="40">"Selection should confirm the model-specific operating range, capacity, accuracy, interfaces, utilities, accessories, standards, environmental limits and service requirements. Final capabilities depend on the approved "&amp;E96&amp;" configuration."</f>
        <v>Selection should confirm the model-specific operating range, capacity, accuracy, interfaces, utilities, accessories, standards, environmental limits and service requirements. Final capabilities depend on the approved HPR-20 OEMS configuration.</v>
      </c>
      <c r="Q96" s="54"/>
      <c r="R96" s="54" t="str">
        <f t="shared" ref="R96:R159" si="41">B96&amp;" applications; laboratory research, engineering development, quality control and industrial deployment where applicable. Suitability must be confirmed against the user's sample, process, environment and required standards."</f>
        <v>Electrochemistry &amp; Leak Analysis applications; laboratory research, engineering development, quality control and industrial deployment where applicable. Suitability must be confirmed against the user's sample, process, environment and required standards.</v>
      </c>
      <c r="S96" s="54"/>
      <c r="T96" s="54" t="str">
        <f t="shared" ref="T96:T159" si="42">E96&amp;" from "&amp;C96</f>
        <v>HPR-20 OEMS from Hiden Analytical</v>
      </c>
      <c r="U96" s="54"/>
      <c r="V96" s="54" t="s">
        <v>2673</v>
      </c>
      <c r="W96" s="54" t="str">
        <f t="shared" ref="W96:W159" si="43">"See other "&amp;B96&amp;" products"</f>
        <v>See other Electrochemistry &amp; Leak Analysis products</v>
      </c>
      <c r="X96" s="54" t="str">
        <f t="shared" ref="X96:X159" si="44">B96&amp;" enquiry → website group enquiry form → category owner assignment"</f>
        <v>Electrochemistry &amp; Leak Analysis enquiry → website group enquiry form → category owner assignment</v>
      </c>
      <c r="Y96" s="54" t="str">
        <f t="shared" ref="Y96:Y159" si="45">E96&amp;", "&amp;B96&amp;", "&amp;C96&amp;", technical equipment, DIWAN"</f>
        <v>HPR-20 OEMS, Electrochemistry &amp; Leak Analysis, Hiden Analytical, technical equipment, DIWAN</v>
      </c>
      <c r="Z96" s="54" t="s">
        <v>19</v>
      </c>
      <c r="AA96" s="55">
        <v>46257</v>
      </c>
      <c r="AB96" s="54" t="s">
        <v>2465</v>
      </c>
      <c r="AC96" s="63" t="str">
        <f t="shared" ref="AC96:AC159" si="46">IF(AND(O96&lt;&gt;"",P96&lt;&gt;"",R96&lt;&gt;"",T96&lt;&gt;"",X96&lt;&gt;"",Y96&lt;&gt;"",Z96&lt;&gt;"",AA96&lt;&gt;"",AB96&lt;&gt;""),IF(AND(Q96&lt;&gt;"",S96&lt;&gt;"",U96&lt;&gt;""),"Ready for approval","Content drafted - assets/specs pending"),IF(COUNTA(O96:AB96)=0,"Not started","In progress"))</f>
        <v>Content drafted - assets/specs pending</v>
      </c>
      <c r="AD96" s="54" t="str">
        <f t="shared" ref="AD96:AD159" si="47">"Baseline definition created from the official catalog name, partner and category classification ("&amp;G96&amp;").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6" s="58"/>
      <c r="AF96" s="58" t="s">
        <v>2946</v>
      </c>
      <c r="AG96" s="58" t="s">
        <v>2467</v>
      </c>
      <c r="AH96" s="58" t="s">
        <v>2468</v>
      </c>
      <c r="AI96" s="58" t="s">
        <v>2469</v>
      </c>
    </row>
    <row r="97" spans="1:35" ht="42" customHeight="1" x14ac:dyDescent="0.35">
      <c r="A97" s="69">
        <f t="shared" si="24"/>
        <v>22</v>
      </c>
      <c r="B97" s="70" t="s">
        <v>119</v>
      </c>
      <c r="C97" s="71" t="s">
        <v>5</v>
      </c>
      <c r="D97" s="72" t="s">
        <v>6</v>
      </c>
      <c r="E97" s="45" t="s">
        <v>122</v>
      </c>
      <c r="F97" s="49" t="s">
        <v>2985</v>
      </c>
      <c r="G97" s="45" t="s">
        <v>3045</v>
      </c>
      <c r="H97" s="47">
        <v>46257</v>
      </c>
      <c r="I97" s="48" t="s">
        <v>1607</v>
      </c>
      <c r="J97" s="48" t="s">
        <v>894</v>
      </c>
      <c r="K97" s="48" t="str">
        <f t="shared" si="38"/>
        <v>FIB-SIMS is an electrochemistry &amp; leak analysis product from Hiden Analytical for application-specific laboratory, engineering or industrial use.</v>
      </c>
      <c r="L97" s="48" t="str">
        <f t="shared" si="39"/>
        <v>FIB-SIMS from Hiden Analytical for electrochemistry &amp; leak analysis applications. Review configuration requirements and request technical information or a quotation from DIWAN.</v>
      </c>
      <c r="M97" s="48" t="s">
        <v>2020</v>
      </c>
      <c r="N97" s="61" t="s">
        <v>2672</v>
      </c>
      <c r="O97" s="54" t="str" cm="1">
        <f t="array" ref="O97">_xlfn.LET(_xlpm.n,LOWER(E97),_xlpm.c,LOWER(B97),_xlpm.t,_xlfn.IFS(OR(ISNUMBER(SEARCH("lens",_xlpm.n)),ISNUMBER(SEARCH("optic",_xlpm.n)),ISNUMBER(SEARCH("polarizer",_xlpm.n))),"precision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"),E97&amp;" is "&amp;_xlpm.art&amp;_xlpm.t&amp;" from "&amp;C97&amp;" designed for application-specific laboratory, engineering or industrial use. It belongs to DIWAN's "&amp;B97&amp;" portfolio; final configuration must be selected against performance, integration and compliance requirements.")</f>
        <v>FIB-SIMS is a specialized electrochemistry &amp; leak analysis product from Hiden Analytical designed for application-specific laboratory, engineering or industrial use. It belongs to DIWAN's Electrochemistry &amp; Leak Analysis portfolio; final configuration must be selected against performance, integration and compliance requirements.</v>
      </c>
      <c r="P97" s="54" t="str">
        <f t="shared" si="40"/>
        <v>Selection should confirm the model-specific operating range, capacity, accuracy, interfaces, utilities, accessories, standards, environmental limits and service requirements. Final capabilities depend on the approved FIB-SIMS configuration.</v>
      </c>
      <c r="Q97" s="54"/>
      <c r="R97" s="54" t="str">
        <f t="shared" si="41"/>
        <v>Electrochemistry &amp; Leak Analysis applications; laboratory research, engineering development, quality control and industrial deployment where applicable. Suitability must be confirmed against the user's sample, process, environment and required standards.</v>
      </c>
      <c r="S97" s="54"/>
      <c r="T97" s="54" t="str">
        <f t="shared" si="42"/>
        <v>FIB-SIMS from Hiden Analytical</v>
      </c>
      <c r="U97" s="54"/>
      <c r="V97" s="54" t="s">
        <v>2673</v>
      </c>
      <c r="W97" s="54" t="str">
        <f t="shared" si="43"/>
        <v>See other Electrochemistry &amp; Leak Analysis products</v>
      </c>
      <c r="X97" s="54" t="str">
        <f t="shared" si="44"/>
        <v>Electrochemistry &amp; Leak Analysis enquiry → website group enquiry form → category owner assignment</v>
      </c>
      <c r="Y97" s="54" t="str">
        <f t="shared" si="45"/>
        <v>FIB-SIMS, Electrochemistry &amp; Leak Analysis, Hiden Analytical, technical equipment, DIWAN</v>
      </c>
      <c r="Z97" s="54" t="s">
        <v>19</v>
      </c>
      <c r="AA97" s="55">
        <v>46257</v>
      </c>
      <c r="AB97" s="54" t="s">
        <v>2465</v>
      </c>
      <c r="AC97" s="63" t="str">
        <f t="shared" si="46"/>
        <v>Content drafted - assets/specs pending</v>
      </c>
      <c r="AD9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7" s="58"/>
      <c r="AF97" s="58" t="s">
        <v>2947</v>
      </c>
      <c r="AG97" s="58" t="s">
        <v>2467</v>
      </c>
      <c r="AH97" s="58" t="s">
        <v>2468</v>
      </c>
      <c r="AI97" s="58" t="s">
        <v>2469</v>
      </c>
    </row>
    <row r="98" spans="1:35" ht="42" customHeight="1" thickBot="1" x14ac:dyDescent="0.4">
      <c r="A98" s="69">
        <f t="shared" si="24"/>
        <v>22</v>
      </c>
      <c r="B98" s="70" t="s">
        <v>119</v>
      </c>
      <c r="C98" s="71" t="s">
        <v>5</v>
      </c>
      <c r="D98" s="72" t="s">
        <v>6</v>
      </c>
      <c r="E98" s="45" t="s">
        <v>123</v>
      </c>
      <c r="F98" s="49" t="s">
        <v>2985</v>
      </c>
      <c r="G98" s="45" t="s">
        <v>3045</v>
      </c>
      <c r="H98" s="47">
        <v>46257</v>
      </c>
      <c r="I98" s="48" t="s">
        <v>1608</v>
      </c>
      <c r="J98" s="48" t="s">
        <v>895</v>
      </c>
      <c r="K98" s="48" t="str">
        <f t="shared" si="38"/>
        <v>LAS Leak Analysis System is an electrochemistry &amp; leak analysis product from Hiden Analytical for application-specific laboratory, engineering or industrial use.</v>
      </c>
      <c r="L98" s="48" t="str">
        <f t="shared" si="39"/>
        <v>LAS Leak Analysis System from Hiden Analytical for electrochemistry &amp; leak analysis applications. Review configuration requirements and request technical information or a quotation from DIWAN.</v>
      </c>
      <c r="M98" s="48" t="s">
        <v>2020</v>
      </c>
      <c r="N98" s="61" t="s">
        <v>2672</v>
      </c>
      <c r="O98" s="54" t="str" cm="1">
        <f t="array" ref="O98">_xlfn.LET(_xlpm.n,LOWER(E98),_xlpm.c,LOWER(B98),_xlpm.t,_xlfn.IFS(OR(ISNUMBER(SEARCH("lens",_xlpm.n)),ISNUMBER(SEARCH("optic",_xlpm.n)),ISNUMBER(SEARCH("polarizer",_xlpm.n))),"precision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"),E98&amp;" is "&amp;_xlpm.art&amp;_xlpm.t&amp;" from "&amp;C98&amp;" designed for application-specific laboratory, engineering or industrial use. It belongs to DIWAN's "&amp;B98&amp;" portfolio; final configuration must be selected against performance, integration and compliance requirements.")</f>
        <v>LAS Leak Analysis System is a specialized electrochemistry &amp; leak analysis product from Hiden Analytical designed for application-specific laboratory, engineering or industrial use. It belongs to DIWAN's Electrochemistry &amp; Leak Analysis portfolio; final configuration must be selected against performance, integration and compliance requirements.</v>
      </c>
      <c r="P98" s="54" t="str">
        <f t="shared" si="40"/>
        <v>Selection should confirm the model-specific operating range, capacity, accuracy, interfaces, utilities, accessories, standards, environmental limits and service requirements. Final capabilities depend on the approved LAS Leak Analysis System configuration.</v>
      </c>
      <c r="Q98" s="54"/>
      <c r="R98" s="54" t="str">
        <f t="shared" si="41"/>
        <v>Electrochemistry &amp; Leak Analysis applications; laboratory research, engineering development, quality control and industrial deployment where applicable. Suitability must be confirmed against the user's sample, process, environment and required standards.</v>
      </c>
      <c r="S98" s="54"/>
      <c r="T98" s="54" t="str">
        <f t="shared" si="42"/>
        <v>LAS Leak Analysis System from Hiden Analytical</v>
      </c>
      <c r="U98" s="54"/>
      <c r="V98" s="54" t="s">
        <v>2673</v>
      </c>
      <c r="W98" s="54" t="str">
        <f t="shared" si="43"/>
        <v>See other Electrochemistry &amp; Leak Analysis products</v>
      </c>
      <c r="X98" s="54" t="str">
        <f t="shared" si="44"/>
        <v>Electrochemistry &amp; Leak Analysis enquiry → website group enquiry form → category owner assignment</v>
      </c>
      <c r="Y98" s="54" t="str">
        <f t="shared" si="45"/>
        <v>LAS Leak Analysis System, Electrochemistry &amp; Leak Analysis, Hiden Analytical, technical equipment, DIWAN</v>
      </c>
      <c r="Z98" s="54" t="s">
        <v>19</v>
      </c>
      <c r="AA98" s="55">
        <v>46257</v>
      </c>
      <c r="AB98" s="54" t="s">
        <v>2465</v>
      </c>
      <c r="AC98" s="63" t="str">
        <f t="shared" si="46"/>
        <v>Content drafted - assets/specs pending</v>
      </c>
      <c r="AD9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8" s="58"/>
      <c r="AF98" s="58" t="s">
        <v>2948</v>
      </c>
      <c r="AG98" s="58" t="s">
        <v>2467</v>
      </c>
      <c r="AH98" s="58" t="s">
        <v>2468</v>
      </c>
      <c r="AI98" s="58" t="s">
        <v>2469</v>
      </c>
    </row>
    <row r="99" spans="1:35" ht="42" customHeight="1" x14ac:dyDescent="0.35">
      <c r="A99" s="69">
        <f t="shared" si="24"/>
        <v>23</v>
      </c>
      <c r="B99" s="74" t="s">
        <v>124</v>
      </c>
      <c r="C99" s="75" t="s">
        <v>5</v>
      </c>
      <c r="D99" s="76" t="s">
        <v>6</v>
      </c>
      <c r="E99" s="77" t="s">
        <v>125</v>
      </c>
      <c r="F99" s="86" t="s">
        <v>2986</v>
      </c>
      <c r="G99" s="77" t="s">
        <v>3045</v>
      </c>
      <c r="H99" s="79">
        <v>46257</v>
      </c>
      <c r="I99" s="80" t="s">
        <v>1609</v>
      </c>
      <c r="J99" s="80" t="s">
        <v>896</v>
      </c>
      <c r="K99" s="80" t="str">
        <f t="shared" si="38"/>
        <v>RGA Series is a residual gas analysis product from Hiden Analytical for application-specific laboratory, engineering or industrial use.</v>
      </c>
      <c r="L99" s="80" t="str">
        <f t="shared" si="39"/>
        <v>RGA Series from Hiden Analytical for residual gas analysis applications. Review configuration requirements and request technical information or a quotation from DIWAN.</v>
      </c>
      <c r="M99" s="80" t="s">
        <v>2020</v>
      </c>
      <c r="N99" s="81" t="s">
        <v>2672</v>
      </c>
      <c r="O99" s="82" t="str" cm="1">
        <f t="array" ref="O99">_xlfn.LET(_xlpm.n,LOWER(E99),_xlpm.c,LOWER(B99),_xlpm.t,_xlfn.IFS(OR(ISNUMBER(SEARCH("lens",_xlpm.n)),ISNUMBER(SEARCH("optic",_xlpm.n)),ISNUMBER(SEARCH("polarizer",_xlpm.n))),"precision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"),E99&amp;" is "&amp;_xlpm.art&amp;_xlpm.t&amp;" from "&amp;C99&amp;" designed for application-specific laboratory, engineering or industrial use. It belongs to DIWAN's "&amp;B99&amp;" portfolio; final configuration must be selected against performance, integration and compliance requirements.")</f>
        <v>RGA Series is a specialized residual gas analysis product from Hiden Analytical designed for application-specific laboratory, engineering or industrial use. It belongs to DIWAN's Residual Gas Analysis portfolio; final configuration must be selected against performance, integration and compliance requirements.</v>
      </c>
      <c r="P99" s="82" t="str">
        <f t="shared" si="40"/>
        <v>Selection should confirm the model-specific operating range, capacity, accuracy, interfaces, utilities, accessories, standards, environmental limits and service requirements. Final capabilities depend on the approved RGA Series configuration.</v>
      </c>
      <c r="Q99" s="82"/>
      <c r="R99" s="82" t="str">
        <f t="shared" si="41"/>
        <v>Residual Gas Analysis applications; laboratory research, engineering development, quality control and industrial deployment where applicable. Suitability must be confirmed against the user's sample, process, environment and required standards.</v>
      </c>
      <c r="S99" s="82"/>
      <c r="T99" s="82" t="str">
        <f t="shared" si="42"/>
        <v>RGA Series from Hiden Analytical</v>
      </c>
      <c r="U99" s="82"/>
      <c r="V99" s="82" t="s">
        <v>2673</v>
      </c>
      <c r="W99" s="82" t="str">
        <f t="shared" si="43"/>
        <v>See other Residual Gas Analysis products</v>
      </c>
      <c r="X99" s="82" t="str">
        <f t="shared" si="44"/>
        <v>Residual Gas Analysis enquiry → website group enquiry form → category owner assignment</v>
      </c>
      <c r="Y99" s="82" t="str">
        <f t="shared" si="45"/>
        <v>RGA Series, Residual Gas Analysis, Hiden Analytical, technical equipment, DIWAN</v>
      </c>
      <c r="Z99" s="82" t="s">
        <v>19</v>
      </c>
      <c r="AA99" s="83">
        <v>46257</v>
      </c>
      <c r="AB99" s="82" t="s">
        <v>2465</v>
      </c>
      <c r="AC99" s="84" t="str">
        <f t="shared" si="46"/>
        <v>Content drafted - assets/specs pending</v>
      </c>
      <c r="AD99"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99" s="85"/>
      <c r="AF99" s="85"/>
      <c r="AG99" s="85" t="s">
        <v>2467</v>
      </c>
      <c r="AH99" s="85" t="s">
        <v>2468</v>
      </c>
      <c r="AI99" s="85" t="s">
        <v>2469</v>
      </c>
    </row>
    <row r="100" spans="1:35" ht="42" customHeight="1" x14ac:dyDescent="0.35">
      <c r="A100" s="69">
        <f t="shared" si="24"/>
        <v>23</v>
      </c>
      <c r="B100" s="70" t="s">
        <v>124</v>
      </c>
      <c r="C100" s="71" t="s">
        <v>5</v>
      </c>
      <c r="D100" s="72" t="s">
        <v>6</v>
      </c>
      <c r="E100" s="45" t="s">
        <v>126</v>
      </c>
      <c r="F100" s="49" t="s">
        <v>2986</v>
      </c>
      <c r="G100" s="45" t="s">
        <v>3045</v>
      </c>
      <c r="H100" s="47">
        <v>46257</v>
      </c>
      <c r="I100" s="48" t="s">
        <v>1610</v>
      </c>
      <c r="J100" s="48" t="s">
        <v>897</v>
      </c>
      <c r="K100" s="48" t="str">
        <f t="shared" si="38"/>
        <v>HAL 101X RC is a residual gas analysis product from Hiden Analytical for application-specific laboratory, engineering or industrial use.</v>
      </c>
      <c r="L100" s="48" t="str">
        <f t="shared" si="39"/>
        <v>HAL 101X RC from Hiden Analytical for residual gas analysis applications. Review configuration requirements and request technical information or a quotation from DIWAN.</v>
      </c>
      <c r="M100" s="48" t="s">
        <v>2020</v>
      </c>
      <c r="N100" s="61" t="s">
        <v>2672</v>
      </c>
      <c r="O100" s="54" t="str" cm="1">
        <f t="array" ref="O100">_xlfn.LET(_xlpm.n,LOWER(E100),_xlpm.c,LOWER(B100),_xlpm.t,_xlfn.IFS(OR(ISNUMBER(SEARCH("lens",_xlpm.n)),ISNUMBER(SEARCH("optic",_xlpm.n)),ISNUMBER(SEARCH("polarizer",_xlpm.n))),"precision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"),E100&amp;" is "&amp;_xlpm.art&amp;_xlpm.t&amp;" from "&amp;C100&amp;" designed for application-specific laboratory, engineering or industrial use. It belongs to DIWAN's "&amp;B100&amp;" portfolio; final configuration must be selected against performance, integration and compliance requirements.")</f>
        <v>HAL 101X RC is a specialized residual gas analysis product from Hiden Analytical designed for application-specific laboratory, engineering or industrial use. It belongs to DIWAN's Residual Gas Analysis portfolio; final configuration must be selected against performance, integration and compliance requirements.</v>
      </c>
      <c r="P100" s="54" t="str">
        <f t="shared" si="40"/>
        <v>Selection should confirm the model-specific operating range, capacity, accuracy, interfaces, utilities, accessories, standards, environmental limits and service requirements. Final capabilities depend on the approved HAL 101X RC configuration.</v>
      </c>
      <c r="Q100" s="54"/>
      <c r="R100" s="54" t="str">
        <f t="shared" si="41"/>
        <v>Residual Gas Analysis applications; laboratory research, engineering development, quality control and industrial deployment where applicable. Suitability must be confirmed against the user's sample, process, environment and required standards.</v>
      </c>
      <c r="S100" s="54"/>
      <c r="T100" s="54" t="str">
        <f t="shared" si="42"/>
        <v>HAL 101X RC from Hiden Analytical</v>
      </c>
      <c r="U100" s="54"/>
      <c r="V100" s="54" t="s">
        <v>2673</v>
      </c>
      <c r="W100" s="54" t="str">
        <f t="shared" si="43"/>
        <v>See other Residual Gas Analysis products</v>
      </c>
      <c r="X100" s="54" t="str">
        <f t="shared" si="44"/>
        <v>Residual Gas Analysis enquiry → website group enquiry form → category owner assignment</v>
      </c>
      <c r="Y100" s="54" t="str">
        <f t="shared" si="45"/>
        <v>HAL 101X RC, Residual Gas Analysis, Hiden Analytical, technical equipment, DIWAN</v>
      </c>
      <c r="Z100" s="54" t="s">
        <v>19</v>
      </c>
      <c r="AA100" s="55">
        <v>46257</v>
      </c>
      <c r="AB100" s="54" t="s">
        <v>2465</v>
      </c>
      <c r="AC100" s="63" t="str">
        <f t="shared" si="46"/>
        <v>Content drafted - assets/specs pending</v>
      </c>
      <c r="AD100"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0" s="58"/>
      <c r="AF100" s="58"/>
      <c r="AG100" s="58" t="s">
        <v>2467</v>
      </c>
      <c r="AH100" s="58" t="s">
        <v>2468</v>
      </c>
      <c r="AI100" s="58" t="s">
        <v>2469</v>
      </c>
    </row>
    <row r="101" spans="1:35" ht="42" customHeight="1" x14ac:dyDescent="0.35">
      <c r="A101" s="69">
        <f t="shared" si="24"/>
        <v>23</v>
      </c>
      <c r="B101" s="70" t="s">
        <v>124</v>
      </c>
      <c r="C101" s="71" t="s">
        <v>5</v>
      </c>
      <c r="D101" s="72" t="s">
        <v>6</v>
      </c>
      <c r="E101" s="45" t="s">
        <v>127</v>
      </c>
      <c r="F101" s="49" t="s">
        <v>2986</v>
      </c>
      <c r="G101" s="45" t="s">
        <v>3045</v>
      </c>
      <c r="H101" s="47">
        <v>46257</v>
      </c>
      <c r="I101" s="48" t="s">
        <v>1611</v>
      </c>
      <c r="J101" s="48" t="s">
        <v>898</v>
      </c>
      <c r="K101" s="48" t="str">
        <f t="shared" si="38"/>
        <v>HALO 201 MBE is a residual gas analysis product from Hiden Analytical for application-specific laboratory, engineering or industrial use.</v>
      </c>
      <c r="L101" s="48" t="str">
        <f t="shared" si="39"/>
        <v>HALO 201 MBE from Hiden Analytical for residual gas analysis applications. Review configuration requirements and request technical information or a quotation from DIWAN.</v>
      </c>
      <c r="M101" s="48" t="s">
        <v>2020</v>
      </c>
      <c r="N101" s="61" t="s">
        <v>2672</v>
      </c>
      <c r="O101" s="54" t="str" cm="1">
        <f t="array" ref="O101">_xlfn.LET(_xlpm.n,LOWER(E101),_xlpm.c,LOWER(B101),_xlpm.t,_xlfn.IFS(OR(ISNUMBER(SEARCH("lens",_xlpm.n)),ISNUMBER(SEARCH("optic",_xlpm.n)),ISNUMBER(SEARCH("polarizer",_xlpm.n))),"precision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"),E101&amp;" is "&amp;_xlpm.art&amp;_xlpm.t&amp;" from "&amp;C101&amp;" designed for application-specific laboratory, engineering or industrial use. It belongs to DIWAN's "&amp;B101&amp;" portfolio; final configuration must be selected against performance, integration and compliance requirements.")</f>
        <v>HALO 201 MBE is a specialized residual gas analysis product from Hiden Analytical designed for application-specific laboratory, engineering or industrial use. It belongs to DIWAN's Residual Gas Analysis portfolio; final configuration must be selected against performance, integration and compliance requirements.</v>
      </c>
      <c r="P101" s="54" t="str">
        <f t="shared" si="40"/>
        <v>Selection should confirm the model-specific operating range, capacity, accuracy, interfaces, utilities, accessories, standards, environmental limits and service requirements. Final capabilities depend on the approved HALO 201 MBE configuration.</v>
      </c>
      <c r="Q101" s="54"/>
      <c r="R101" s="54" t="str">
        <f t="shared" si="41"/>
        <v>Residual Gas Analysis applications; laboratory research, engineering development, quality control and industrial deployment where applicable. Suitability must be confirmed against the user's sample, process, environment and required standards.</v>
      </c>
      <c r="S101" s="54"/>
      <c r="T101" s="54" t="str">
        <f t="shared" si="42"/>
        <v>HALO 201 MBE from Hiden Analytical</v>
      </c>
      <c r="U101" s="54"/>
      <c r="V101" s="54" t="s">
        <v>2673</v>
      </c>
      <c r="W101" s="54" t="str">
        <f t="shared" si="43"/>
        <v>See other Residual Gas Analysis products</v>
      </c>
      <c r="X101" s="54" t="str">
        <f t="shared" si="44"/>
        <v>Residual Gas Analysis enquiry → website group enquiry form → category owner assignment</v>
      </c>
      <c r="Y101" s="54" t="str">
        <f t="shared" si="45"/>
        <v>HALO 201 MBE, Residual Gas Analysis, Hiden Analytical, technical equipment, DIWAN</v>
      </c>
      <c r="Z101" s="54" t="s">
        <v>19</v>
      </c>
      <c r="AA101" s="55">
        <v>46257</v>
      </c>
      <c r="AB101" s="54" t="s">
        <v>2465</v>
      </c>
      <c r="AC101" s="63" t="str">
        <f t="shared" si="46"/>
        <v>Content drafted - assets/specs pending</v>
      </c>
      <c r="AD101"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1" s="58"/>
      <c r="AF101" s="58"/>
      <c r="AG101" s="58" t="s">
        <v>2467</v>
      </c>
      <c r="AH101" s="58" t="s">
        <v>2468</v>
      </c>
      <c r="AI101" s="58" t="s">
        <v>2469</v>
      </c>
    </row>
    <row r="102" spans="1:35" ht="42" customHeight="1" thickBot="1" x14ac:dyDescent="0.4">
      <c r="A102" s="69">
        <f t="shared" si="24"/>
        <v>23</v>
      </c>
      <c r="B102" s="70" t="s">
        <v>124</v>
      </c>
      <c r="C102" s="71" t="s">
        <v>5</v>
      </c>
      <c r="D102" s="72" t="s">
        <v>6</v>
      </c>
      <c r="E102" s="45" t="s">
        <v>128</v>
      </c>
      <c r="F102" s="49" t="s">
        <v>2986</v>
      </c>
      <c r="G102" s="45" t="s">
        <v>3045</v>
      </c>
      <c r="H102" s="47">
        <v>46257</v>
      </c>
      <c r="I102" s="48" t="s">
        <v>1612</v>
      </c>
      <c r="J102" s="48" t="s">
        <v>899</v>
      </c>
      <c r="K102" s="48" t="str">
        <f t="shared" si="38"/>
        <v>DLS-20 is a residual gas analysis product from Hiden Analytical for application-specific laboratory, engineering or industrial use.</v>
      </c>
      <c r="L102" s="48" t="str">
        <f t="shared" si="39"/>
        <v>DLS-20 from Hiden Analytical for residual gas analysis applications. Review configuration requirements and request technical information or a quotation from DIWAN.</v>
      </c>
      <c r="M102" s="48" t="s">
        <v>2020</v>
      </c>
      <c r="N102" s="61" t="s">
        <v>2672</v>
      </c>
      <c r="O102" s="54" t="str" cm="1">
        <f t="array" ref="O102">_xlfn.LET(_xlpm.n,LOWER(E102),_xlpm.c,LOWER(B102),_xlpm.t,_xlfn.IFS(OR(ISNUMBER(SEARCH("lens",_xlpm.n)),ISNUMBER(SEARCH("optic",_xlpm.n)),ISNUMBER(SEARCH("polarizer",_xlpm.n))),"precision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"),E102&amp;" is "&amp;_xlpm.art&amp;_xlpm.t&amp;" from "&amp;C102&amp;" designed for application-specific laboratory, engineering or industrial use. It belongs to DIWAN's "&amp;B102&amp;" portfolio; final configuration must be selected against performance, integration and compliance requirements.")</f>
        <v>DLS-20 is a specialized residual gas analysis product from Hiden Analytical designed for application-specific laboratory, engineering or industrial use. It belongs to DIWAN's Residual Gas Analysis portfolio; final configuration must be selected against performance, integration and compliance requirements.</v>
      </c>
      <c r="P102" s="54" t="str">
        <f t="shared" si="40"/>
        <v>Selection should confirm the model-specific operating range, capacity, accuracy, interfaces, utilities, accessories, standards, environmental limits and service requirements. Final capabilities depend on the approved DLS-20 configuration.</v>
      </c>
      <c r="Q102" s="54"/>
      <c r="R102" s="54" t="str">
        <f t="shared" si="41"/>
        <v>Residual Gas Analysis applications; laboratory research, engineering development, quality control and industrial deployment where applicable. Suitability must be confirmed against the user's sample, process, environment and required standards.</v>
      </c>
      <c r="S102" s="54"/>
      <c r="T102" s="54" t="str">
        <f t="shared" si="42"/>
        <v>DLS-20 from Hiden Analytical</v>
      </c>
      <c r="U102" s="54"/>
      <c r="V102" s="54" t="s">
        <v>2673</v>
      </c>
      <c r="W102" s="54" t="str">
        <f t="shared" si="43"/>
        <v>See other Residual Gas Analysis products</v>
      </c>
      <c r="X102" s="54" t="str">
        <f t="shared" si="44"/>
        <v>Residual Gas Analysis enquiry → website group enquiry form → category owner assignment</v>
      </c>
      <c r="Y102" s="54" t="str">
        <f t="shared" si="45"/>
        <v>DLS-20, Residual Gas Analysis, Hiden Analytical, technical equipment, DIWAN</v>
      </c>
      <c r="Z102" s="54" t="s">
        <v>19</v>
      </c>
      <c r="AA102" s="55">
        <v>46257</v>
      </c>
      <c r="AB102" s="54" t="s">
        <v>2465</v>
      </c>
      <c r="AC102" s="63" t="str">
        <f t="shared" si="46"/>
        <v>Content drafted - assets/specs pending</v>
      </c>
      <c r="AD102"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2" s="58"/>
      <c r="AF102" s="58"/>
      <c r="AG102" s="58" t="s">
        <v>2467</v>
      </c>
      <c r="AH102" s="58" t="s">
        <v>2468</v>
      </c>
      <c r="AI102" s="58" t="s">
        <v>2469</v>
      </c>
    </row>
    <row r="103" spans="1:35" ht="42" customHeight="1" x14ac:dyDescent="0.35">
      <c r="A103" s="69">
        <f t="shared" si="24"/>
        <v>24</v>
      </c>
      <c r="B103" s="74" t="s">
        <v>129</v>
      </c>
      <c r="C103" s="75" t="s">
        <v>5</v>
      </c>
      <c r="D103" s="76" t="s">
        <v>6</v>
      </c>
      <c r="E103" s="77" t="s">
        <v>130</v>
      </c>
      <c r="F103" s="86" t="s">
        <v>2987</v>
      </c>
      <c r="G103" s="77" t="s">
        <v>3045</v>
      </c>
      <c r="H103" s="79">
        <v>46257</v>
      </c>
      <c r="I103" s="80" t="s">
        <v>1613</v>
      </c>
      <c r="J103" s="80" t="s">
        <v>900</v>
      </c>
      <c r="K103" s="80" t="str">
        <f t="shared" si="38"/>
        <v>HPR-30 Series is a thin films &amp; plasma product from Hiden Analytical for application-specific laboratory, engineering or industrial use.</v>
      </c>
      <c r="L103" s="80" t="str">
        <f t="shared" si="39"/>
        <v>HPR-30 Series from Hiden Analytical for thin films &amp; plasma applications. Review configuration requirements and request technical information or a quotation from DIWAN.</v>
      </c>
      <c r="M103" s="80" t="s">
        <v>2020</v>
      </c>
      <c r="N103" s="81" t="s">
        <v>2672</v>
      </c>
      <c r="O103" s="82" t="str" cm="1">
        <f t="array" ref="O103">_xlfn.LET(_xlpm.n,LOWER(E103),_xlpm.c,LOWER(B103),_xlpm.t,_xlfn.IFS(OR(ISNUMBER(SEARCH("lens",_xlpm.n)),ISNUMBER(SEARCH("optic",_xlpm.n)),ISNUMBER(SEARCH("polarizer",_xlpm.n))),"precision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"),E103&amp;" is "&amp;_xlpm.art&amp;_xlpm.t&amp;" from "&amp;C103&amp;" designed for application-specific laboratory, engineering or industrial use. It belongs to DIWAN's "&amp;B103&amp;" portfolio; final configuration must be selected against performance, integration and compliance requirements.")</f>
        <v>HPR-30 Series is a specialized thin films &amp; plasma product from Hiden Analytical designed for application-specific laboratory, engineering or industrial use. It belongs to DIWAN's Thin Films &amp; Plasma portfolio; final configuration must be selected against performance, integration and compliance requirements.</v>
      </c>
      <c r="P103" s="82" t="str">
        <f t="shared" si="40"/>
        <v>Selection should confirm the model-specific operating range, capacity, accuracy, interfaces, utilities, accessories, standards, environmental limits and service requirements. Final capabilities depend on the approved HPR-30 Series configuration.</v>
      </c>
      <c r="Q103" s="82"/>
      <c r="R103" s="82" t="str">
        <f t="shared" si="41"/>
        <v>Thin Films &amp; Plasma applications; laboratory research, engineering development, quality control and industrial deployment where applicable. Suitability must be confirmed against the user's sample, process, environment and required standards.</v>
      </c>
      <c r="S103" s="82"/>
      <c r="T103" s="82" t="str">
        <f t="shared" si="42"/>
        <v>HPR-30 Series from Hiden Analytical</v>
      </c>
      <c r="U103" s="82"/>
      <c r="V103" s="82" t="s">
        <v>2673</v>
      </c>
      <c r="W103" s="82" t="str">
        <f t="shared" si="43"/>
        <v>See other Thin Films &amp; Plasma products</v>
      </c>
      <c r="X103" s="82" t="str">
        <f t="shared" si="44"/>
        <v>Thin Films &amp; Plasma enquiry → website group enquiry form → category owner assignment</v>
      </c>
      <c r="Y103" s="82" t="str">
        <f t="shared" si="45"/>
        <v>HPR-30 Series, Thin Films &amp; Plasma, Hiden Analytical, technical equipment, DIWAN</v>
      </c>
      <c r="Z103" s="82" t="s">
        <v>19</v>
      </c>
      <c r="AA103" s="83">
        <v>46257</v>
      </c>
      <c r="AB103" s="82" t="s">
        <v>2465</v>
      </c>
      <c r="AC103" s="84" t="str">
        <f t="shared" si="46"/>
        <v>Content drafted - assets/specs pending</v>
      </c>
      <c r="AD103"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3" s="85"/>
      <c r="AF103" s="85"/>
      <c r="AG103" s="85" t="s">
        <v>2467</v>
      </c>
      <c r="AH103" s="85" t="s">
        <v>2468</v>
      </c>
      <c r="AI103" s="85" t="s">
        <v>2469</v>
      </c>
    </row>
    <row r="104" spans="1:35" ht="42" customHeight="1" x14ac:dyDescent="0.35">
      <c r="A104" s="69">
        <f t="shared" si="24"/>
        <v>24</v>
      </c>
      <c r="B104" s="70" t="s">
        <v>129</v>
      </c>
      <c r="C104" s="71" t="s">
        <v>5</v>
      </c>
      <c r="D104" s="72" t="s">
        <v>6</v>
      </c>
      <c r="E104" s="45" t="s">
        <v>131</v>
      </c>
      <c r="F104" s="49" t="s">
        <v>2987</v>
      </c>
      <c r="G104" s="45" t="s">
        <v>3045</v>
      </c>
      <c r="H104" s="47">
        <v>46257</v>
      </c>
      <c r="I104" s="48" t="s">
        <v>1614</v>
      </c>
      <c r="J104" s="48" t="s">
        <v>901</v>
      </c>
      <c r="K104" s="48" t="str">
        <f t="shared" si="38"/>
        <v>EQP Series is a thin films &amp; plasma product from Hiden Analytical for application-specific laboratory, engineering or industrial use.</v>
      </c>
      <c r="L104" s="48" t="str">
        <f t="shared" si="39"/>
        <v>EQP Series from Hiden Analytical for thin films &amp; plasma applications. Review configuration requirements and request technical information or a quotation from DIWAN.</v>
      </c>
      <c r="M104" s="48" t="s">
        <v>2020</v>
      </c>
      <c r="N104" s="61" t="s">
        <v>2672</v>
      </c>
      <c r="O104" s="54" t="str" cm="1">
        <f t="array" ref="O104">_xlfn.LET(_xlpm.n,LOWER(E104),_xlpm.c,LOWER(B104),_xlpm.t,_xlfn.IFS(OR(ISNUMBER(SEARCH("lens",_xlpm.n)),ISNUMBER(SEARCH("optic",_xlpm.n)),ISNUMBER(SEARCH("polarizer",_xlpm.n))),"precision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"),E104&amp;" is "&amp;_xlpm.art&amp;_xlpm.t&amp;" from "&amp;C104&amp;" designed for application-specific laboratory, engineering or industrial use. It belongs to DIWAN's "&amp;B104&amp;" portfolio; final configuration must be selected against performance, integration and compliance requirements.")</f>
        <v>EQP Series is a specialized thin films &amp; plasma product from Hiden Analytical designed for application-specific laboratory, engineering or industrial use. It belongs to DIWAN's Thin Films &amp; Plasma portfolio; final configuration must be selected against performance, integration and compliance requirements.</v>
      </c>
      <c r="P104" s="54" t="str">
        <f t="shared" si="40"/>
        <v>Selection should confirm the model-specific operating range, capacity, accuracy, interfaces, utilities, accessories, standards, environmental limits and service requirements. Final capabilities depend on the approved EQP Series configuration.</v>
      </c>
      <c r="Q104" s="54"/>
      <c r="R104" s="54" t="str">
        <f t="shared" si="41"/>
        <v>Thin Films &amp; Plasma applications; laboratory research, engineering development, quality control and industrial deployment where applicable. Suitability must be confirmed against the user's sample, process, environment and required standards.</v>
      </c>
      <c r="S104" s="54"/>
      <c r="T104" s="54" t="str">
        <f t="shared" si="42"/>
        <v>EQP Series from Hiden Analytical</v>
      </c>
      <c r="U104" s="54"/>
      <c r="V104" s="54" t="s">
        <v>2673</v>
      </c>
      <c r="W104" s="54" t="str">
        <f t="shared" si="43"/>
        <v>See other Thin Films &amp; Plasma products</v>
      </c>
      <c r="X104" s="54" t="str">
        <f t="shared" si="44"/>
        <v>Thin Films &amp; Plasma enquiry → website group enquiry form → category owner assignment</v>
      </c>
      <c r="Y104" s="54" t="str">
        <f t="shared" si="45"/>
        <v>EQP Series, Thin Films &amp; Plasma, Hiden Analytical, technical equipment, DIWAN</v>
      </c>
      <c r="Z104" s="54" t="s">
        <v>19</v>
      </c>
      <c r="AA104" s="55">
        <v>46257</v>
      </c>
      <c r="AB104" s="54" t="s">
        <v>2465</v>
      </c>
      <c r="AC104" s="63" t="str">
        <f t="shared" si="46"/>
        <v>Content drafted - assets/specs pending</v>
      </c>
      <c r="AD104"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4" s="58"/>
      <c r="AF104" s="58"/>
      <c r="AG104" s="58" t="s">
        <v>2467</v>
      </c>
      <c r="AH104" s="58" t="s">
        <v>2468</v>
      </c>
      <c r="AI104" s="58" t="s">
        <v>2469</v>
      </c>
    </row>
    <row r="105" spans="1:35" ht="42" customHeight="1" x14ac:dyDescent="0.35">
      <c r="A105" s="69">
        <f t="shared" si="24"/>
        <v>24</v>
      </c>
      <c r="B105" s="70" t="s">
        <v>129</v>
      </c>
      <c r="C105" s="71" t="s">
        <v>5</v>
      </c>
      <c r="D105" s="72" t="s">
        <v>6</v>
      </c>
      <c r="E105" s="45" t="s">
        <v>132</v>
      </c>
      <c r="F105" s="49" t="s">
        <v>2987</v>
      </c>
      <c r="G105" s="45" t="s">
        <v>3045</v>
      </c>
      <c r="H105" s="47">
        <v>46257</v>
      </c>
      <c r="I105" s="48" t="s">
        <v>1615</v>
      </c>
      <c r="J105" s="48" t="s">
        <v>902</v>
      </c>
      <c r="K105" s="48" t="str">
        <f t="shared" si="38"/>
        <v>ESPion is a thin films &amp; plasma product from Hiden Analytical for application-specific laboratory, engineering or industrial use.</v>
      </c>
      <c r="L105" s="48" t="str">
        <f t="shared" si="39"/>
        <v>ESPion from Hiden Analytical for thin films &amp; plasma applications. Review configuration requirements and request technical information or a quotation from DIWAN.</v>
      </c>
      <c r="M105" s="48" t="s">
        <v>2020</v>
      </c>
      <c r="N105" s="61" t="s">
        <v>2672</v>
      </c>
      <c r="O105" s="54" t="str" cm="1">
        <f t="array" ref="O105">_xlfn.LET(_xlpm.n,LOWER(E105),_xlpm.c,LOWER(B105),_xlpm.t,_xlfn.IFS(OR(ISNUMBER(SEARCH("lens",_xlpm.n)),ISNUMBER(SEARCH("optic",_xlpm.n)),ISNUMBER(SEARCH("polarizer",_xlpm.n))),"precision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"),E105&amp;" is "&amp;_xlpm.art&amp;_xlpm.t&amp;" from "&amp;C105&amp;" designed for application-specific laboratory, engineering or industrial use. It belongs to DIWAN's "&amp;B105&amp;" portfolio; final configuration must be selected against performance, integration and compliance requirements.")</f>
        <v>ESPion is a specialized thin films &amp; plasma product from Hiden Analytical designed for application-specific laboratory, engineering or industrial use. It belongs to DIWAN's Thin Films &amp; Plasma portfolio; final configuration must be selected against performance, integration and compliance requirements.</v>
      </c>
      <c r="P105" s="54" t="str">
        <f t="shared" si="40"/>
        <v>Selection should confirm the model-specific operating range, capacity, accuracy, interfaces, utilities, accessories, standards, environmental limits and service requirements. Final capabilities depend on the approved ESPion configuration.</v>
      </c>
      <c r="Q105" s="54"/>
      <c r="R105" s="54" t="str">
        <f t="shared" si="41"/>
        <v>Thin Films &amp; Plasma applications; laboratory research, engineering development, quality control and industrial deployment where applicable. Suitability must be confirmed against the user's sample, process, environment and required standards.</v>
      </c>
      <c r="S105" s="54"/>
      <c r="T105" s="54" t="str">
        <f t="shared" si="42"/>
        <v>ESPion from Hiden Analytical</v>
      </c>
      <c r="U105" s="54"/>
      <c r="V105" s="54" t="s">
        <v>2673</v>
      </c>
      <c r="W105" s="54" t="str">
        <f t="shared" si="43"/>
        <v>See other Thin Films &amp; Plasma products</v>
      </c>
      <c r="X105" s="54" t="str">
        <f t="shared" si="44"/>
        <v>Thin Films &amp; Plasma enquiry → website group enquiry form → category owner assignment</v>
      </c>
      <c r="Y105" s="54" t="str">
        <f t="shared" si="45"/>
        <v>ESPion, Thin Films &amp; Plasma, Hiden Analytical, technical equipment, DIWAN</v>
      </c>
      <c r="Z105" s="54" t="s">
        <v>19</v>
      </c>
      <c r="AA105" s="55">
        <v>46257</v>
      </c>
      <c r="AB105" s="54" t="s">
        <v>2465</v>
      </c>
      <c r="AC105" s="63" t="str">
        <f t="shared" si="46"/>
        <v>Content drafted - assets/specs pending</v>
      </c>
      <c r="AD105"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5" s="58"/>
      <c r="AF105" s="58"/>
      <c r="AG105" s="58" t="s">
        <v>2467</v>
      </c>
      <c r="AH105" s="58" t="s">
        <v>2468</v>
      </c>
      <c r="AI105" s="58" t="s">
        <v>2469</v>
      </c>
    </row>
    <row r="106" spans="1:35" ht="42" customHeight="1" thickBot="1" x14ac:dyDescent="0.4">
      <c r="A106" s="69">
        <f t="shared" si="24"/>
        <v>24</v>
      </c>
      <c r="B106" s="70" t="s">
        <v>129</v>
      </c>
      <c r="C106" s="71" t="s">
        <v>5</v>
      </c>
      <c r="D106" s="72" t="s">
        <v>6</v>
      </c>
      <c r="E106" s="45" t="s">
        <v>133</v>
      </c>
      <c r="F106" s="49" t="s">
        <v>2987</v>
      </c>
      <c r="G106" s="45" t="s">
        <v>3045</v>
      </c>
      <c r="H106" s="47">
        <v>46257</v>
      </c>
      <c r="I106" s="48" t="s">
        <v>1616</v>
      </c>
      <c r="J106" s="48" t="s">
        <v>903</v>
      </c>
      <c r="K106" s="48" t="str">
        <f t="shared" si="38"/>
        <v>IMP-EPD is a thin films &amp; plasma product from Hiden Analytical for application-specific laboratory, engineering or industrial use.</v>
      </c>
      <c r="L106" s="48" t="str">
        <f t="shared" si="39"/>
        <v>IMP-EPD from Hiden Analytical for thin films &amp; plasma applications. Review configuration requirements and request technical information or a quotation from DIWAN.</v>
      </c>
      <c r="M106" s="48" t="s">
        <v>2020</v>
      </c>
      <c r="N106" s="61" t="s">
        <v>2672</v>
      </c>
      <c r="O106" s="54" t="str" cm="1">
        <f t="array" ref="O106">_xlfn.LET(_xlpm.n,LOWER(E106),_xlpm.c,LOWER(B106),_xlpm.t,_xlfn.IFS(OR(ISNUMBER(SEARCH("lens",_xlpm.n)),ISNUMBER(SEARCH("optic",_xlpm.n)),ISNUMBER(SEARCH("polarizer",_xlpm.n))),"precision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"),E106&amp;" is "&amp;_xlpm.art&amp;_xlpm.t&amp;" from "&amp;C106&amp;" designed for application-specific laboratory, engineering or industrial use. It belongs to DIWAN's "&amp;B106&amp;" portfolio; final configuration must be selected against performance, integration and compliance requirements.")</f>
        <v>IMP-EPD is a specialized thin films &amp; plasma product from Hiden Analytical designed for application-specific laboratory, engineering or industrial use. It belongs to DIWAN's Thin Films &amp; Plasma portfolio; final configuration must be selected against performance, integration and compliance requirements.</v>
      </c>
      <c r="P106" s="54" t="str">
        <f t="shared" si="40"/>
        <v>Selection should confirm the model-specific operating range, capacity, accuracy, interfaces, utilities, accessories, standards, environmental limits and service requirements. Final capabilities depend on the approved IMP-EPD configuration.</v>
      </c>
      <c r="Q106" s="54"/>
      <c r="R106" s="54" t="str">
        <f t="shared" si="41"/>
        <v>Thin Films &amp; Plasma applications; laboratory research, engineering development, quality control and industrial deployment where applicable. Suitability must be confirmed against the user's sample, process, environment and required standards.</v>
      </c>
      <c r="S106" s="54"/>
      <c r="T106" s="54" t="str">
        <f t="shared" si="42"/>
        <v>IMP-EPD from Hiden Analytical</v>
      </c>
      <c r="U106" s="54"/>
      <c r="V106" s="54" t="s">
        <v>2673</v>
      </c>
      <c r="W106" s="54" t="str">
        <f t="shared" si="43"/>
        <v>See other Thin Films &amp; Plasma products</v>
      </c>
      <c r="X106" s="54" t="str">
        <f t="shared" si="44"/>
        <v>Thin Films &amp; Plasma enquiry → website group enquiry form → category owner assignment</v>
      </c>
      <c r="Y106" s="54" t="str">
        <f t="shared" si="45"/>
        <v>IMP-EPD, Thin Films &amp; Plasma, Hiden Analytical, technical equipment, DIWAN</v>
      </c>
      <c r="Z106" s="54" t="s">
        <v>19</v>
      </c>
      <c r="AA106" s="55">
        <v>46257</v>
      </c>
      <c r="AB106" s="54" t="s">
        <v>2465</v>
      </c>
      <c r="AC106" s="63" t="str">
        <f t="shared" si="46"/>
        <v>Content drafted - assets/specs pending</v>
      </c>
      <c r="AD106"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6" s="58"/>
      <c r="AF106" s="58"/>
      <c r="AG106" s="58" t="s">
        <v>2467</v>
      </c>
      <c r="AH106" s="58" t="s">
        <v>2468</v>
      </c>
      <c r="AI106" s="58" t="s">
        <v>2469</v>
      </c>
    </row>
    <row r="107" spans="1:35" ht="42" customHeight="1" x14ac:dyDescent="0.35">
      <c r="A107" s="69">
        <f t="shared" si="24"/>
        <v>25</v>
      </c>
      <c r="B107" s="74" t="s">
        <v>134</v>
      </c>
      <c r="C107" s="75" t="s">
        <v>5</v>
      </c>
      <c r="D107" s="76" t="s">
        <v>6</v>
      </c>
      <c r="E107" s="77" t="s">
        <v>135</v>
      </c>
      <c r="F107" s="86" t="s">
        <v>2988</v>
      </c>
      <c r="G107" s="77" t="s">
        <v>3045</v>
      </c>
      <c r="H107" s="79">
        <v>46257</v>
      </c>
      <c r="I107" s="80" t="s">
        <v>1617</v>
      </c>
      <c r="J107" s="80" t="s">
        <v>904</v>
      </c>
      <c r="K107" s="80" t="str">
        <f t="shared" si="38"/>
        <v>SIMS Workstation is a surface analysis product from Hiden Analytical for application-specific laboratory, engineering or industrial use.</v>
      </c>
      <c r="L107" s="80" t="str">
        <f t="shared" si="39"/>
        <v>SIMS Workstation from Hiden Analytical for surface analysis applications. Review configuration requirements and request technical information or a quotation from DIWAN.</v>
      </c>
      <c r="M107" s="80" t="s">
        <v>2020</v>
      </c>
      <c r="N107" s="81" t="s">
        <v>2672</v>
      </c>
      <c r="O107" s="82" t="str" cm="1">
        <f t="array" ref="O107">_xlfn.LET(_xlpm.n,LOWER(E107),_xlpm.c,LOWER(B107),_xlpm.t,_xlfn.IFS(OR(ISNUMBER(SEARCH("lens",_xlpm.n)),ISNUMBER(SEARCH("optic",_xlpm.n)),ISNUMBER(SEARCH("polarizer",_xlpm.n))),"precision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"),E107&amp;" is "&amp;_xlpm.art&amp;_xlpm.t&amp;" from "&amp;C107&amp;" designed for application-specific laboratory, engineering or industrial use. It belongs to DIWAN's "&amp;B107&amp;" portfolio; final configuration must be selected against performance, integration and compliance requirements.")</f>
        <v>SIMS Workstation is a space or sensing subsystem from Hiden Analytical designed for application-specific laboratory, engineering or industrial use. It belongs to DIWAN's Surface Analysis portfolio; final configuration must be selected against performance, integration and compliance requirements.</v>
      </c>
      <c r="P107" s="82" t="str">
        <f t="shared" si="40"/>
        <v>Selection should confirm the model-specific operating range, capacity, accuracy, interfaces, utilities, accessories, standards, environmental limits and service requirements. Final capabilities depend on the approved SIMS Workstation configuration.</v>
      </c>
      <c r="Q107" s="82"/>
      <c r="R107" s="82" t="str">
        <f t="shared" si="41"/>
        <v>Surface Analysis applications; laboratory research, engineering development, quality control and industrial deployment where applicable. Suitability must be confirmed against the user's sample, process, environment and required standards.</v>
      </c>
      <c r="S107" s="82"/>
      <c r="T107" s="82" t="str">
        <f t="shared" si="42"/>
        <v>SIMS Workstation from Hiden Analytical</v>
      </c>
      <c r="U107" s="82"/>
      <c r="V107" s="82" t="s">
        <v>2673</v>
      </c>
      <c r="W107" s="82" t="str">
        <f t="shared" si="43"/>
        <v>See other Surface Analysis products</v>
      </c>
      <c r="X107" s="82" t="str">
        <f t="shared" si="44"/>
        <v>Surface Analysis enquiry → website group enquiry form → category owner assignment</v>
      </c>
      <c r="Y107" s="82" t="str">
        <f t="shared" si="45"/>
        <v>SIMS Workstation, Surface Analysis, Hiden Analytical, technical equipment, DIWAN</v>
      </c>
      <c r="Z107" s="82" t="s">
        <v>19</v>
      </c>
      <c r="AA107" s="83">
        <v>46257</v>
      </c>
      <c r="AB107" s="82" t="s">
        <v>2465</v>
      </c>
      <c r="AC107" s="84" t="str">
        <f t="shared" si="46"/>
        <v>Content drafted - assets/specs pending</v>
      </c>
      <c r="AD107"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7" s="85"/>
      <c r="AF107" s="85" t="s">
        <v>2949</v>
      </c>
      <c r="AG107" s="85" t="s">
        <v>2467</v>
      </c>
      <c r="AH107" s="85" t="s">
        <v>2468</v>
      </c>
      <c r="AI107" s="85" t="s">
        <v>2469</v>
      </c>
    </row>
    <row r="108" spans="1:35" ht="42" customHeight="1" x14ac:dyDescent="0.35">
      <c r="A108" s="69">
        <f t="shared" si="24"/>
        <v>25</v>
      </c>
      <c r="B108" s="70" t="s">
        <v>134</v>
      </c>
      <c r="C108" s="71" t="s">
        <v>5</v>
      </c>
      <c r="D108" s="72" t="s">
        <v>6</v>
      </c>
      <c r="E108" s="45" t="s">
        <v>136</v>
      </c>
      <c r="F108" s="49" t="s">
        <v>2988</v>
      </c>
      <c r="G108" s="45" t="s">
        <v>3045</v>
      </c>
      <c r="H108" s="47">
        <v>46257</v>
      </c>
      <c r="I108" s="48" t="s">
        <v>1618</v>
      </c>
      <c r="J108" s="48" t="s">
        <v>905</v>
      </c>
      <c r="K108" s="48" t="str">
        <f t="shared" si="38"/>
        <v>AutoSIMS is a surface analysis product from Hiden Analytical for application-specific laboratory, engineering or industrial use.</v>
      </c>
      <c r="L108" s="48" t="str">
        <f t="shared" si="39"/>
        <v>AutoSIMS from Hiden Analytical for surface analysis applications. Review configuration requirements and request technical information or a quotation from DIWAN.</v>
      </c>
      <c r="M108" s="48" t="s">
        <v>2020</v>
      </c>
      <c r="N108" s="61" t="s">
        <v>2672</v>
      </c>
      <c r="O108" s="54" t="str" cm="1">
        <f t="array" ref="O108">_xlfn.LET(_xlpm.n,LOWER(E108),_xlpm.c,LOWER(B108),_xlpm.t,_xlfn.IFS(OR(ISNUMBER(SEARCH("lens",_xlpm.n)),ISNUMBER(SEARCH("optic",_xlpm.n)),ISNUMBER(SEARCH("polarizer",_xlpm.n))),"precision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"),E108&amp;" is "&amp;_xlpm.art&amp;_xlpm.t&amp;" from "&amp;C108&amp;" designed for application-specific laboratory, engineering or industrial use. It belongs to DIWAN's "&amp;B108&amp;" portfolio; final configuration must be selected against performance, integration and compliance requirements.")</f>
        <v>AutoSIMS is a specialized surface analysis product from Hiden Analytical designed for application-specific laboratory, engineering or industrial use. It belongs to DIWAN's Surface Analysis portfolio; final configuration must be selected against performance, integration and compliance requirements.</v>
      </c>
      <c r="P108" s="54" t="str">
        <f t="shared" si="40"/>
        <v>Selection should confirm the model-specific operating range, capacity, accuracy, interfaces, utilities, accessories, standards, environmental limits and service requirements. Final capabilities depend on the approved AutoSIMS configuration.</v>
      </c>
      <c r="Q108" s="54"/>
      <c r="R108" s="54" t="str">
        <f t="shared" si="41"/>
        <v>Surface Analysis applications; laboratory research, engineering development, quality control and industrial deployment where applicable. Suitability must be confirmed against the user's sample, process, environment and required standards.</v>
      </c>
      <c r="S108" s="54"/>
      <c r="T108" s="54" t="str">
        <f t="shared" si="42"/>
        <v>AutoSIMS from Hiden Analytical</v>
      </c>
      <c r="U108" s="54"/>
      <c r="V108" s="54" t="s">
        <v>2673</v>
      </c>
      <c r="W108" s="54" t="str">
        <f t="shared" si="43"/>
        <v>See other Surface Analysis products</v>
      </c>
      <c r="X108" s="54" t="str">
        <f t="shared" si="44"/>
        <v>Surface Analysis enquiry → website group enquiry form → category owner assignment</v>
      </c>
      <c r="Y108" s="54" t="str">
        <f t="shared" si="45"/>
        <v>AutoSIMS, Surface Analysis, Hiden Analytical, technical equipment, DIWAN</v>
      </c>
      <c r="Z108" s="54" t="s">
        <v>19</v>
      </c>
      <c r="AA108" s="55">
        <v>46257</v>
      </c>
      <c r="AB108" s="54" t="s">
        <v>2465</v>
      </c>
      <c r="AC108" s="63" t="str">
        <f t="shared" si="46"/>
        <v>Content drafted - assets/specs pending</v>
      </c>
      <c r="AD10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8" s="58"/>
      <c r="AF108" s="58" t="s">
        <v>2947</v>
      </c>
      <c r="AG108" s="58" t="s">
        <v>2467</v>
      </c>
      <c r="AH108" s="58" t="s">
        <v>2468</v>
      </c>
      <c r="AI108" s="58" t="s">
        <v>2469</v>
      </c>
    </row>
    <row r="109" spans="1:35" ht="42" customHeight="1" x14ac:dyDescent="0.35">
      <c r="A109" s="69">
        <f t="shared" si="24"/>
        <v>25</v>
      </c>
      <c r="B109" s="70" t="s">
        <v>134</v>
      </c>
      <c r="C109" s="71" t="s">
        <v>5</v>
      </c>
      <c r="D109" s="72" t="s">
        <v>6</v>
      </c>
      <c r="E109" s="45" t="s">
        <v>137</v>
      </c>
      <c r="F109" s="49" t="s">
        <v>2988</v>
      </c>
      <c r="G109" s="45" t="s">
        <v>3045</v>
      </c>
      <c r="H109" s="47">
        <v>46257</v>
      </c>
      <c r="I109" s="48" t="s">
        <v>1619</v>
      </c>
      <c r="J109" s="48" t="s">
        <v>906</v>
      </c>
      <c r="K109" s="48" t="str">
        <f t="shared" si="38"/>
        <v>Compact SIMS is a surface analysis product from Hiden Analytical for application-specific laboratory, engineering or industrial use.</v>
      </c>
      <c r="L109" s="48" t="str">
        <f t="shared" si="39"/>
        <v>Compact SIMS from Hiden Analytical for surface analysis applications. Review configuration requirements and request technical information or a quotation from DIWAN.</v>
      </c>
      <c r="M109" s="48" t="s">
        <v>2020</v>
      </c>
      <c r="N109" s="61" t="s">
        <v>2672</v>
      </c>
      <c r="O109" s="54" t="str" cm="1">
        <f t="array" ref="O109">_xlfn.LET(_xlpm.n,LOWER(E109),_xlpm.c,LOWER(B109),_xlpm.t,_xlfn.IFS(OR(ISNUMBER(SEARCH("lens",_xlpm.n)),ISNUMBER(SEARCH("optic",_xlpm.n)),ISNUMBER(SEARCH("polarizer",_xlpm.n))),"precision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"),E109&amp;" is "&amp;_xlpm.art&amp;_xlpm.t&amp;" from "&amp;C109&amp;" designed for application-specific laboratory, engineering or industrial use. It belongs to DIWAN's "&amp;B109&amp;" portfolio; final configuration must be selected against performance, integration and compliance requirements.")</f>
        <v>Compact SIMS is a specialized surface analysis product from Hiden Analytical designed for application-specific laboratory, engineering or industrial use. It belongs to DIWAN's Surface Analysis portfolio; final configuration must be selected against performance, integration and compliance requirements.</v>
      </c>
      <c r="P109" s="54" t="str">
        <f t="shared" si="40"/>
        <v>Selection should confirm the model-specific operating range, capacity, accuracy, interfaces, utilities, accessories, standards, environmental limits and service requirements. Final capabilities depend on the approved Compact SIMS configuration.</v>
      </c>
      <c r="Q109" s="54"/>
      <c r="R109" s="54" t="str">
        <f t="shared" si="41"/>
        <v>Surface Analysis applications; laboratory research, engineering development, quality control and industrial deployment where applicable. Suitability must be confirmed against the user's sample, process, environment and required standards.</v>
      </c>
      <c r="S109" s="54"/>
      <c r="T109" s="54" t="str">
        <f t="shared" si="42"/>
        <v>Compact SIMS from Hiden Analytical</v>
      </c>
      <c r="U109" s="54"/>
      <c r="V109" s="54" t="s">
        <v>2673</v>
      </c>
      <c r="W109" s="54" t="str">
        <f t="shared" si="43"/>
        <v>See other Surface Analysis products</v>
      </c>
      <c r="X109" s="54" t="str">
        <f t="shared" si="44"/>
        <v>Surface Analysis enquiry → website group enquiry form → category owner assignment</v>
      </c>
      <c r="Y109" s="54" t="str">
        <f t="shared" si="45"/>
        <v>Compact SIMS, Surface Analysis, Hiden Analytical, technical equipment, DIWAN</v>
      </c>
      <c r="Z109" s="54" t="s">
        <v>19</v>
      </c>
      <c r="AA109" s="55">
        <v>46257</v>
      </c>
      <c r="AB109" s="54" t="s">
        <v>2465</v>
      </c>
      <c r="AC109" s="63" t="str">
        <f t="shared" si="46"/>
        <v>Content drafted - assets/specs pending</v>
      </c>
      <c r="AD109"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09" s="58"/>
      <c r="AF109" s="58" t="s">
        <v>2947</v>
      </c>
      <c r="AG109" s="58" t="s">
        <v>2467</v>
      </c>
      <c r="AH109" s="58" t="s">
        <v>2468</v>
      </c>
      <c r="AI109" s="58" t="s">
        <v>2469</v>
      </c>
    </row>
    <row r="110" spans="1:35" ht="42" customHeight="1" x14ac:dyDescent="0.35">
      <c r="A110" s="69">
        <f t="shared" si="24"/>
        <v>25</v>
      </c>
      <c r="B110" s="70" t="s">
        <v>134</v>
      </c>
      <c r="C110" s="71" t="s">
        <v>5</v>
      </c>
      <c r="D110" s="72" t="s">
        <v>6</v>
      </c>
      <c r="E110" s="45" t="s">
        <v>138</v>
      </c>
      <c r="F110" s="49" t="s">
        <v>2988</v>
      </c>
      <c r="G110" s="45" t="s">
        <v>3045</v>
      </c>
      <c r="H110" s="47">
        <v>46257</v>
      </c>
      <c r="I110" s="48" t="s">
        <v>1620</v>
      </c>
      <c r="J110" s="48" t="s">
        <v>907</v>
      </c>
      <c r="K110" s="48" t="str">
        <f t="shared" si="38"/>
        <v>ToF-qSIMS Workstation is a surface analysis product from Hiden Analytical for application-specific laboratory, engineering or industrial use.</v>
      </c>
      <c r="L110" s="48" t="str">
        <f t="shared" si="39"/>
        <v>ToF-qSIMS Workstation from Hiden Analytical for surface analysis applications. Review configuration requirements and request technical information or a quotation from DIWAN.</v>
      </c>
      <c r="M110" s="48" t="s">
        <v>2020</v>
      </c>
      <c r="N110" s="61" t="s">
        <v>2672</v>
      </c>
      <c r="O110" s="54" t="str" cm="1">
        <f t="array" ref="O110">_xlfn.LET(_xlpm.n,LOWER(E110),_xlpm.c,LOWER(B110),_xlpm.t,_xlfn.IFS(OR(ISNUMBER(SEARCH("lens",_xlpm.n)),ISNUMBER(SEARCH("optic",_xlpm.n)),ISNUMBER(SEARCH("polarizer",_xlpm.n))),"precision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"),E110&amp;" is "&amp;_xlpm.art&amp;_xlpm.t&amp;" from "&amp;C110&amp;" designed for application-specific laboratory, engineering or industrial use. It belongs to DIWAN's "&amp;B110&amp;" portfolio; final configuration must be selected against performance, integration and compliance requirements.")</f>
        <v>ToF-qSIMS Workstation is a space or sensing subsystem from Hiden Analytical designed for application-specific laboratory, engineering or industrial use. It belongs to DIWAN's Surface Analysis portfolio; final configuration must be selected against performance, integration and compliance requirements.</v>
      </c>
      <c r="P110" s="54" t="str">
        <f t="shared" si="40"/>
        <v>Selection should confirm the model-specific operating range, capacity, accuracy, interfaces, utilities, accessories, standards, environmental limits and service requirements. Final capabilities depend on the approved ToF-qSIMS Workstation configuration.</v>
      </c>
      <c r="Q110" s="54"/>
      <c r="R110" s="54" t="str">
        <f t="shared" si="41"/>
        <v>Surface Analysis applications; laboratory research, engineering development, quality control and industrial deployment where applicable. Suitability must be confirmed against the user's sample, process, environment and required standards.</v>
      </c>
      <c r="S110" s="54"/>
      <c r="T110" s="54" t="str">
        <f t="shared" si="42"/>
        <v>ToF-qSIMS Workstation from Hiden Analytical</v>
      </c>
      <c r="U110" s="54"/>
      <c r="V110" s="54" t="s">
        <v>2673</v>
      </c>
      <c r="W110" s="54" t="str">
        <f t="shared" si="43"/>
        <v>See other Surface Analysis products</v>
      </c>
      <c r="X110" s="54" t="str">
        <f t="shared" si="44"/>
        <v>Surface Analysis enquiry → website group enquiry form → category owner assignment</v>
      </c>
      <c r="Y110" s="54" t="str">
        <f t="shared" si="45"/>
        <v>ToF-qSIMS Workstation, Surface Analysis, Hiden Analytical, technical equipment, DIWAN</v>
      </c>
      <c r="Z110" s="54" t="s">
        <v>19</v>
      </c>
      <c r="AA110" s="55">
        <v>46257</v>
      </c>
      <c r="AB110" s="54" t="s">
        <v>2465</v>
      </c>
      <c r="AC110" s="63" t="str">
        <f t="shared" si="46"/>
        <v>Content drafted - assets/specs pending</v>
      </c>
      <c r="AD110"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0" s="58"/>
      <c r="AF110" s="58"/>
      <c r="AG110" s="58" t="s">
        <v>2467</v>
      </c>
      <c r="AH110" s="58" t="s">
        <v>2468</v>
      </c>
      <c r="AI110" s="58" t="s">
        <v>2469</v>
      </c>
    </row>
    <row r="111" spans="1:35" ht="42" customHeight="1" thickBot="1" x14ac:dyDescent="0.4">
      <c r="A111" s="69">
        <f t="shared" si="24"/>
        <v>25</v>
      </c>
      <c r="B111" s="70" t="s">
        <v>134</v>
      </c>
      <c r="C111" s="71" t="s">
        <v>5</v>
      </c>
      <c r="D111" s="72" t="s">
        <v>6</v>
      </c>
      <c r="E111" s="45" t="s">
        <v>139</v>
      </c>
      <c r="F111" s="49" t="s">
        <v>2988</v>
      </c>
      <c r="G111" s="45" t="s">
        <v>3045</v>
      </c>
      <c r="H111" s="47">
        <v>46257</v>
      </c>
      <c r="I111" s="48" t="s">
        <v>1621</v>
      </c>
      <c r="J111" s="48" t="s">
        <v>908</v>
      </c>
      <c r="K111" s="48" t="str">
        <f t="shared" si="38"/>
        <v>Dual Polarity SIMS Workstation is a surface analysis product from Hiden Analytical for application-specific laboratory, engineering or industrial use.</v>
      </c>
      <c r="L111" s="48" t="str">
        <f t="shared" si="39"/>
        <v>Dual Polarity SIMS Workstation from Hiden Analytical for surface analysis applications. Review configuration requirements and request technical information or a quotation from DIWAN.</v>
      </c>
      <c r="M111" s="48" t="s">
        <v>2020</v>
      </c>
      <c r="N111" s="61" t="s">
        <v>2672</v>
      </c>
      <c r="O111" s="54" t="str" cm="1">
        <f t="array" ref="O111">_xlfn.LET(_xlpm.n,LOWER(E111),_xlpm.c,LOWER(B111),_xlpm.t,_xlfn.IFS(OR(ISNUMBER(SEARCH("lens",_xlpm.n)),ISNUMBER(SEARCH("optic",_xlpm.n)),ISNUMBER(SEARCH("polarizer",_xlpm.n))),"precision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"),E111&amp;" is "&amp;_xlpm.art&amp;_xlpm.t&amp;" from "&amp;C111&amp;" designed for application-specific laboratory, engineering or industrial use. It belongs to DIWAN's "&amp;B111&amp;" portfolio; final configuration must be selected against performance, integration and compliance requirements.")</f>
        <v>Dual Polarity SIMS Workstation is a space or sensing subsystem from Hiden Analytical designed for application-specific laboratory, engineering or industrial use. It belongs to DIWAN's Surface Analysis portfolio; final configuration must be selected against performance, integration and compliance requirements.</v>
      </c>
      <c r="P111" s="54" t="str">
        <f t="shared" si="40"/>
        <v>Selection should confirm the model-specific operating range, capacity, accuracy, interfaces, utilities, accessories, standards, environmental limits and service requirements. Final capabilities depend on the approved Dual Polarity SIMS Workstation configuration.</v>
      </c>
      <c r="Q111" s="54"/>
      <c r="R111" s="54" t="str">
        <f t="shared" si="41"/>
        <v>Surface Analysis applications; laboratory research, engineering development, quality control and industrial deployment where applicable. Suitability must be confirmed against the user's sample, process, environment and required standards.</v>
      </c>
      <c r="S111" s="54"/>
      <c r="T111" s="54" t="str">
        <f t="shared" si="42"/>
        <v>Dual Polarity SIMS Workstation from Hiden Analytical</v>
      </c>
      <c r="U111" s="54"/>
      <c r="V111" s="54" t="s">
        <v>2673</v>
      </c>
      <c r="W111" s="54" t="str">
        <f t="shared" si="43"/>
        <v>See other Surface Analysis products</v>
      </c>
      <c r="X111" s="54" t="str">
        <f t="shared" si="44"/>
        <v>Surface Analysis enquiry → website group enquiry form → category owner assignment</v>
      </c>
      <c r="Y111" s="54" t="str">
        <f t="shared" si="45"/>
        <v>Dual Polarity SIMS Workstation, Surface Analysis, Hiden Analytical, technical equipment, DIWAN</v>
      </c>
      <c r="Z111" s="54" t="s">
        <v>19</v>
      </c>
      <c r="AA111" s="55">
        <v>46257</v>
      </c>
      <c r="AB111" s="54" t="s">
        <v>2465</v>
      </c>
      <c r="AC111" s="63" t="str">
        <f t="shared" si="46"/>
        <v>Content drafted - assets/specs pending</v>
      </c>
      <c r="AD111"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1" s="58"/>
      <c r="AF111" s="58"/>
      <c r="AG111" s="58" t="s">
        <v>2467</v>
      </c>
      <c r="AH111" s="58" t="s">
        <v>2468</v>
      </c>
      <c r="AI111" s="58" t="s">
        <v>2469</v>
      </c>
    </row>
    <row r="112" spans="1:35" ht="42" customHeight="1" x14ac:dyDescent="0.35">
      <c r="A112" s="69">
        <f t="shared" si="24"/>
        <v>26</v>
      </c>
      <c r="B112" s="74" t="s">
        <v>140</v>
      </c>
      <c r="C112" s="75" t="s">
        <v>5</v>
      </c>
      <c r="D112" s="76" t="s">
        <v>6</v>
      </c>
      <c r="E112" s="77" t="s">
        <v>141</v>
      </c>
      <c r="F112" s="86" t="s">
        <v>2989</v>
      </c>
      <c r="G112" s="77" t="s">
        <v>3045</v>
      </c>
      <c r="H112" s="79">
        <v>46257</v>
      </c>
      <c r="I112" s="80" t="s">
        <v>1622</v>
      </c>
      <c r="J112" s="80" t="s">
        <v>909</v>
      </c>
      <c r="K112" s="80" t="str">
        <f t="shared" si="38"/>
        <v>HPR-60 MBMS is a nanotechnology &amp; molecular beams product from Hiden Analytical for application-specific laboratory, engineering or industrial use.</v>
      </c>
      <c r="L112" s="80" t="str">
        <f t="shared" si="39"/>
        <v>HPR-60 MBMS from Hiden Analytical for nanotechnology &amp; molecular beams applications. Review configuration requirements and request technical information or a quotation from DIWAN.</v>
      </c>
      <c r="M112" s="80" t="s">
        <v>2020</v>
      </c>
      <c r="N112" s="81" t="s">
        <v>2672</v>
      </c>
      <c r="O112" s="82" t="str" cm="1">
        <f t="array" ref="O112">_xlfn.LET(_xlpm.n,LOWER(E112),_xlpm.c,LOWER(B112),_xlpm.t,_xlfn.IFS(OR(ISNUMBER(SEARCH("lens",_xlpm.n)),ISNUMBER(SEARCH("optic",_xlpm.n)),ISNUMBER(SEARCH("polarizer",_xlpm.n))),"precision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"),E112&amp;" is "&amp;_xlpm.art&amp;_xlpm.t&amp;" from "&amp;C112&amp;" designed for application-specific laboratory, engineering or industrial use. It belongs to DIWAN's "&amp;B112&amp;" portfolio; final configuration must be selected against performance, integration and compliance requirements.")</f>
        <v>HPR-60 MBMS is a specialized nanotechnology &amp; molecular beams product from Hiden Analytical designed for application-specific laboratory, engineering or industrial use. It belongs to DIWAN's Nanotechnology &amp; Molecular Beams portfolio; final configuration must be selected against performance, integration and compliance requirements.</v>
      </c>
      <c r="P112" s="82" t="str">
        <f t="shared" si="40"/>
        <v>Selection should confirm the model-specific operating range, capacity, accuracy, interfaces, utilities, accessories, standards, environmental limits and service requirements. Final capabilities depend on the approved HPR-60 MBMS configuration.</v>
      </c>
      <c r="Q112" s="82"/>
      <c r="R112" s="82" t="str">
        <f t="shared" si="41"/>
        <v>Nanotechnology &amp; Molecular Beams applications; laboratory research, engineering development, quality control and industrial deployment where applicable. Suitability must be confirmed against the user's sample, process, environment and required standards.</v>
      </c>
      <c r="S112" s="82"/>
      <c r="T112" s="82" t="str">
        <f t="shared" si="42"/>
        <v>HPR-60 MBMS from Hiden Analytical</v>
      </c>
      <c r="U112" s="82"/>
      <c r="V112" s="82" t="s">
        <v>2673</v>
      </c>
      <c r="W112" s="82" t="str">
        <f t="shared" si="43"/>
        <v>See other Nanotechnology &amp; Molecular Beams products</v>
      </c>
      <c r="X112" s="82" t="str">
        <f t="shared" si="44"/>
        <v>Nanotechnology &amp; Molecular Beams enquiry → website group enquiry form → category owner assignment</v>
      </c>
      <c r="Y112" s="82" t="str">
        <f t="shared" si="45"/>
        <v>HPR-60 MBMS, Nanotechnology &amp; Molecular Beams, Hiden Analytical, technical equipment, DIWAN</v>
      </c>
      <c r="Z112" s="82" t="s">
        <v>19</v>
      </c>
      <c r="AA112" s="83">
        <v>46257</v>
      </c>
      <c r="AB112" s="82" t="s">
        <v>2465</v>
      </c>
      <c r="AC112" s="84" t="str">
        <f t="shared" si="46"/>
        <v>Content drafted - assets/specs pending</v>
      </c>
      <c r="AD112"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2" s="85"/>
      <c r="AF112" s="85"/>
      <c r="AG112" s="85" t="s">
        <v>2467</v>
      </c>
      <c r="AH112" s="85" t="s">
        <v>2468</v>
      </c>
      <c r="AI112" s="85" t="s">
        <v>2469</v>
      </c>
    </row>
    <row r="113" spans="1:35" ht="42" customHeight="1" thickBot="1" x14ac:dyDescent="0.4">
      <c r="A113" s="69">
        <f t="shared" si="24"/>
        <v>26</v>
      </c>
      <c r="B113" s="70" t="s">
        <v>140</v>
      </c>
      <c r="C113" s="71" t="s">
        <v>5</v>
      </c>
      <c r="D113" s="72" t="s">
        <v>6</v>
      </c>
      <c r="E113" s="45" t="s">
        <v>142</v>
      </c>
      <c r="F113" s="49" t="s">
        <v>2989</v>
      </c>
      <c r="G113" s="45" t="s">
        <v>3045</v>
      </c>
      <c r="H113" s="47">
        <v>46257</v>
      </c>
      <c r="I113" s="48" t="s">
        <v>1623</v>
      </c>
      <c r="J113" s="48" t="s">
        <v>910</v>
      </c>
      <c r="K113" s="48" t="str">
        <f t="shared" si="38"/>
        <v>XBS is a nanotechnology &amp; molecular beams product from Hiden Analytical for application-specific laboratory, engineering or industrial use.</v>
      </c>
      <c r="L113" s="48" t="str">
        <f t="shared" si="39"/>
        <v>XBS from Hiden Analytical for nanotechnology &amp; molecular beams applications. Review configuration requirements and request technical information or a quotation from DIWAN.</v>
      </c>
      <c r="M113" s="48" t="s">
        <v>2020</v>
      </c>
      <c r="N113" s="61" t="s">
        <v>2672</v>
      </c>
      <c r="O113" s="54" t="str" cm="1">
        <f t="array" ref="O113">_xlfn.LET(_xlpm.n,LOWER(E113),_xlpm.c,LOWER(B113),_xlpm.t,_xlfn.IFS(OR(ISNUMBER(SEARCH("lens",_xlpm.n)),ISNUMBER(SEARCH("optic",_xlpm.n)),ISNUMBER(SEARCH("polarizer",_xlpm.n))),"precision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"),E113&amp;" is "&amp;_xlpm.art&amp;_xlpm.t&amp;" from "&amp;C113&amp;" designed for application-specific laboratory, engineering or industrial use. It belongs to DIWAN's "&amp;B113&amp;" portfolio; final configuration must be selected against performance, integration and compliance requirements.")</f>
        <v>XBS is a specialized nanotechnology &amp; molecular beams product from Hiden Analytical designed for application-specific laboratory, engineering or industrial use. It belongs to DIWAN's Nanotechnology &amp; Molecular Beams portfolio; final configuration must be selected against performance, integration and compliance requirements.</v>
      </c>
      <c r="P113" s="54" t="str">
        <f t="shared" si="40"/>
        <v>Selection should confirm the model-specific operating range, capacity, accuracy, interfaces, utilities, accessories, standards, environmental limits and service requirements. Final capabilities depend on the approved XBS configuration.</v>
      </c>
      <c r="Q113" s="54"/>
      <c r="R113" s="54" t="str">
        <f t="shared" si="41"/>
        <v>Nanotechnology &amp; Molecular Beams applications; laboratory research, engineering development, quality control and industrial deployment where applicable. Suitability must be confirmed against the user's sample, process, environment and required standards.</v>
      </c>
      <c r="S113" s="54"/>
      <c r="T113" s="54" t="str">
        <f t="shared" si="42"/>
        <v>XBS from Hiden Analytical</v>
      </c>
      <c r="U113" s="54"/>
      <c r="V113" s="54" t="s">
        <v>2673</v>
      </c>
      <c r="W113" s="54" t="str">
        <f t="shared" si="43"/>
        <v>See other Nanotechnology &amp; Molecular Beams products</v>
      </c>
      <c r="X113" s="54" t="str">
        <f t="shared" si="44"/>
        <v>Nanotechnology &amp; Molecular Beams enquiry → website group enquiry form → category owner assignment</v>
      </c>
      <c r="Y113" s="54" t="str">
        <f t="shared" si="45"/>
        <v>XBS, Nanotechnology &amp; Molecular Beams, Hiden Analytical, technical equipment, DIWAN</v>
      </c>
      <c r="Z113" s="54" t="s">
        <v>19</v>
      </c>
      <c r="AA113" s="55">
        <v>46257</v>
      </c>
      <c r="AB113" s="54" t="s">
        <v>2465</v>
      </c>
      <c r="AC113" s="63" t="str">
        <f t="shared" si="46"/>
        <v>Content drafted - assets/specs pending</v>
      </c>
      <c r="AD113"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3" s="58"/>
      <c r="AF113" s="58"/>
      <c r="AG113" s="58" t="s">
        <v>2467</v>
      </c>
      <c r="AH113" s="58" t="s">
        <v>2468</v>
      </c>
      <c r="AI113" s="58" t="s">
        <v>2469</v>
      </c>
    </row>
    <row r="114" spans="1:35" ht="42" customHeight="1" x14ac:dyDescent="0.35">
      <c r="A114" s="69">
        <f t="shared" si="24"/>
        <v>27</v>
      </c>
      <c r="B114" s="74" t="s">
        <v>143</v>
      </c>
      <c r="C114" s="75" t="s">
        <v>5</v>
      </c>
      <c r="D114" s="76" t="s">
        <v>6</v>
      </c>
      <c r="E114" s="77" t="s">
        <v>144</v>
      </c>
      <c r="F114" s="86" t="s">
        <v>2990</v>
      </c>
      <c r="G114" s="77" t="s">
        <v>3045</v>
      </c>
      <c r="H114" s="79">
        <v>46257</v>
      </c>
      <c r="I114" s="80" t="s">
        <v>1624</v>
      </c>
      <c r="J114" s="80" t="s">
        <v>911</v>
      </c>
      <c r="K114" s="80" t="str">
        <f t="shared" si="38"/>
        <v>DLS-1 is a fusion diagnostics product from Hiden Analytical for application-specific laboratory, engineering or industrial use.</v>
      </c>
      <c r="L114" s="80" t="str">
        <f t="shared" si="39"/>
        <v>DLS-1 from Hiden Analytical for fusion diagnostics applications. Review configuration requirements and request technical information or a quotation from DIWAN.</v>
      </c>
      <c r="M114" s="80" t="s">
        <v>2020</v>
      </c>
      <c r="N114" s="81" t="s">
        <v>2672</v>
      </c>
      <c r="O114" s="82" t="str" cm="1">
        <f t="array" ref="O114">_xlfn.LET(_xlpm.n,LOWER(E114),_xlpm.c,LOWER(B114),_xlpm.t,_xlfn.IFS(OR(ISNUMBER(SEARCH("lens",_xlpm.n)),ISNUMBER(SEARCH("optic",_xlpm.n)),ISNUMBER(SEARCH("polarizer",_xlpm.n))),"precision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"),E114&amp;" is "&amp;_xlpm.art&amp;_xlpm.t&amp;" from "&amp;C114&amp;" designed for application-specific laboratory, engineering or industrial use. It belongs to DIWAN's "&amp;B114&amp;" portfolio; final configuration must be selected against performance, integration and compliance requirements.")</f>
        <v>DLS-1 is a specialized fusion diagnostics product from Hiden Analytical designed for application-specific laboratory, engineering or industrial use. It belongs to DIWAN's Fusion Diagnostics portfolio; final configuration must be selected against performance, integration and compliance requirements.</v>
      </c>
      <c r="P114" s="82" t="str">
        <f t="shared" si="40"/>
        <v>Selection should confirm the model-specific operating range, capacity, accuracy, interfaces, utilities, accessories, standards, environmental limits and service requirements. Final capabilities depend on the approved DLS-1 configuration.</v>
      </c>
      <c r="Q114" s="82"/>
      <c r="R114" s="82" t="str">
        <f t="shared" si="41"/>
        <v>Fusion Diagnostics applications; laboratory research, engineering development, quality control and industrial deployment where applicable. Suitability must be confirmed against the user's sample, process, environment and required standards.</v>
      </c>
      <c r="S114" s="82"/>
      <c r="T114" s="82" t="str">
        <f t="shared" si="42"/>
        <v>DLS-1 from Hiden Analytical</v>
      </c>
      <c r="U114" s="82"/>
      <c r="V114" s="82" t="s">
        <v>2673</v>
      </c>
      <c r="W114" s="82" t="str">
        <f t="shared" si="43"/>
        <v>See other Fusion Diagnostics products</v>
      </c>
      <c r="X114" s="82" t="str">
        <f t="shared" si="44"/>
        <v>Fusion Diagnostics enquiry → website group enquiry form → category owner assignment</v>
      </c>
      <c r="Y114" s="82" t="str">
        <f t="shared" si="45"/>
        <v>DLS-1, Fusion Diagnostics, Hiden Analytical, technical equipment, DIWAN</v>
      </c>
      <c r="Z114" s="82" t="s">
        <v>19</v>
      </c>
      <c r="AA114" s="83">
        <v>46257</v>
      </c>
      <c r="AB114" s="82" t="s">
        <v>2465</v>
      </c>
      <c r="AC114" s="84" t="str">
        <f t="shared" si="46"/>
        <v>Content drafted - assets/specs pending</v>
      </c>
      <c r="AD114"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4" s="85"/>
      <c r="AF114" s="85"/>
      <c r="AG114" s="85" t="s">
        <v>2467</v>
      </c>
      <c r="AH114" s="85" t="s">
        <v>2468</v>
      </c>
      <c r="AI114" s="85" t="s">
        <v>2469</v>
      </c>
    </row>
    <row r="115" spans="1:35" ht="42" customHeight="1" thickBot="1" x14ac:dyDescent="0.4">
      <c r="A115" s="69">
        <f t="shared" si="24"/>
        <v>27</v>
      </c>
      <c r="B115" s="70" t="s">
        <v>143</v>
      </c>
      <c r="C115" s="71" t="s">
        <v>5</v>
      </c>
      <c r="D115" s="72" t="s">
        <v>6</v>
      </c>
      <c r="E115" s="45" t="s">
        <v>145</v>
      </c>
      <c r="F115" s="49" t="s">
        <v>2990</v>
      </c>
      <c r="G115" s="45" t="s">
        <v>3045</v>
      </c>
      <c r="H115" s="47">
        <v>46257</v>
      </c>
      <c r="I115" s="48" t="s">
        <v>1625</v>
      </c>
      <c r="J115" s="48" t="s">
        <v>912</v>
      </c>
      <c r="K115" s="48" t="str">
        <f t="shared" si="38"/>
        <v>DLS-2 / DLS-2X is a fusion diagnostics product from Hiden Analytical for application-specific laboratory, engineering or industrial use.</v>
      </c>
      <c r="L115" s="48" t="str">
        <f t="shared" si="39"/>
        <v>DLS-2 / DLS-2X from Hiden Analytical for fusion diagnostics applications. Review configuration requirements and request technical information or a quotation from DIWAN.</v>
      </c>
      <c r="M115" s="48" t="s">
        <v>2020</v>
      </c>
      <c r="N115" s="61" t="s">
        <v>2672</v>
      </c>
      <c r="O115" s="54" t="str" cm="1">
        <f t="array" ref="O115">_xlfn.LET(_xlpm.n,LOWER(E115),_xlpm.c,LOWER(B115),_xlpm.t,_xlfn.IFS(OR(ISNUMBER(SEARCH("lens",_xlpm.n)),ISNUMBER(SEARCH("optic",_xlpm.n)),ISNUMBER(SEARCH("polarizer",_xlpm.n))),"precision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"),E115&amp;" is "&amp;_xlpm.art&amp;_xlpm.t&amp;" from "&amp;C115&amp;" designed for application-specific laboratory, engineering or industrial use. It belongs to DIWAN's "&amp;B115&amp;" portfolio; final configuration must be selected against performance, integration and compliance requirements.")</f>
        <v>DLS-2 / DLS-2X is a specialized fusion diagnostics product from Hiden Analytical designed for application-specific laboratory, engineering or industrial use. It belongs to DIWAN's Fusion Diagnostics portfolio; final configuration must be selected against performance, integration and compliance requirements.</v>
      </c>
      <c r="P115" s="54" t="str">
        <f t="shared" si="40"/>
        <v>Selection should confirm the model-specific operating range, capacity, accuracy, interfaces, utilities, accessories, standards, environmental limits and service requirements. Final capabilities depend on the approved DLS-2 / DLS-2X configuration.</v>
      </c>
      <c r="Q115" s="54"/>
      <c r="R115" s="54" t="str">
        <f t="shared" si="41"/>
        <v>Fusion Diagnostics applications; laboratory research, engineering development, quality control and industrial deployment where applicable. Suitability must be confirmed against the user's sample, process, environment and required standards.</v>
      </c>
      <c r="S115" s="54"/>
      <c r="T115" s="54" t="str">
        <f t="shared" si="42"/>
        <v>DLS-2 / DLS-2X from Hiden Analytical</v>
      </c>
      <c r="U115" s="54"/>
      <c r="V115" s="54" t="s">
        <v>2673</v>
      </c>
      <c r="W115" s="54" t="str">
        <f t="shared" si="43"/>
        <v>See other Fusion Diagnostics products</v>
      </c>
      <c r="X115" s="54" t="str">
        <f t="shared" si="44"/>
        <v>Fusion Diagnostics enquiry → website group enquiry form → category owner assignment</v>
      </c>
      <c r="Y115" s="54" t="str">
        <f t="shared" si="45"/>
        <v>DLS-2 / DLS-2X, Fusion Diagnostics, Hiden Analytical, technical equipment, DIWAN</v>
      </c>
      <c r="Z115" s="54" t="s">
        <v>19</v>
      </c>
      <c r="AA115" s="55">
        <v>46257</v>
      </c>
      <c r="AB115" s="54" t="s">
        <v>2465</v>
      </c>
      <c r="AC115" s="63" t="str">
        <f t="shared" si="46"/>
        <v>Content drafted - assets/specs pending</v>
      </c>
      <c r="AD115"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5" s="58"/>
      <c r="AF115" s="58"/>
      <c r="AG115" s="58" t="s">
        <v>2467</v>
      </c>
      <c r="AH115" s="58" t="s">
        <v>2468</v>
      </c>
      <c r="AI115" s="58" t="s">
        <v>2469</v>
      </c>
    </row>
    <row r="116" spans="1:35" ht="42" customHeight="1" x14ac:dyDescent="0.35">
      <c r="A116" s="69">
        <f t="shared" si="24"/>
        <v>28</v>
      </c>
      <c r="B116" s="74" t="s">
        <v>146</v>
      </c>
      <c r="C116" s="75" t="s">
        <v>5</v>
      </c>
      <c r="D116" s="76" t="s">
        <v>6</v>
      </c>
      <c r="E116" s="77" t="s">
        <v>147</v>
      </c>
      <c r="F116" s="86" t="s">
        <v>2991</v>
      </c>
      <c r="G116" s="77" t="s">
        <v>3045</v>
      </c>
      <c r="H116" s="79">
        <v>46257</v>
      </c>
      <c r="I116" s="80" t="s">
        <v>1626</v>
      </c>
      <c r="J116" s="80" t="s">
        <v>913</v>
      </c>
      <c r="K116" s="80" t="str">
        <f t="shared" si="38"/>
        <v>MASsoft Professional is a software product from Hiden Analytical for application-specific laboratory, engineering or industrial use.</v>
      </c>
      <c r="L116" s="80" t="str">
        <f t="shared" si="39"/>
        <v>MASsoft Professional from Hiden Analytical for software applications. Review configuration requirements and request technical information or a quotation from DIWAN.</v>
      </c>
      <c r="M116" s="80" t="s">
        <v>2020</v>
      </c>
      <c r="N116" s="81" t="s">
        <v>2672</v>
      </c>
      <c r="O116" s="82" t="str" cm="1">
        <f t="array" ref="O116">_xlfn.LET(_xlpm.n,LOWER(E116),_xlpm.c,LOWER(B116),_xlpm.t,_xlfn.IFS(OR(ISNUMBER(SEARCH("lens",_xlpm.n)),ISNUMBER(SEARCH("optic",_xlpm.n)),ISNUMBER(SEARCH("polarizer",_xlpm.n))),"precision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"),E116&amp;" is "&amp;_xlpm.art&amp;_xlpm.t&amp;" from "&amp;C116&amp;" designed for application-specific laboratory, engineering or industrial use. It belongs to DIWAN's "&amp;B116&amp;" portfolio; final configuration must be selected against performance, integration and compliance requirements.")</f>
        <v>MASsoft Professional is a specialized software product from Hiden Analytical designed for application-specific laboratory, engineering or industrial use. It belongs to DIWAN's Software portfolio; final configuration must be selected against performance, integration and compliance requirements.</v>
      </c>
      <c r="P116" s="82" t="str">
        <f t="shared" si="40"/>
        <v>Selection should confirm the model-specific operating range, capacity, accuracy, interfaces, utilities, accessories, standards, environmental limits and service requirements. Final capabilities depend on the approved MASsoft Professional configuration.</v>
      </c>
      <c r="Q116" s="82"/>
      <c r="R116" s="82" t="str">
        <f t="shared" si="41"/>
        <v>Software applications; laboratory research, engineering development, quality control and industrial deployment where applicable. Suitability must be confirmed against the user's sample, process, environment and required standards.</v>
      </c>
      <c r="S116" s="82"/>
      <c r="T116" s="82" t="str">
        <f t="shared" si="42"/>
        <v>MASsoft Professional from Hiden Analytical</v>
      </c>
      <c r="U116" s="82"/>
      <c r="V116" s="82" t="s">
        <v>2673</v>
      </c>
      <c r="W116" s="82" t="str">
        <f t="shared" si="43"/>
        <v>See other Software products</v>
      </c>
      <c r="X116" s="82" t="str">
        <f t="shared" si="44"/>
        <v>Software enquiry → website group enquiry form → category owner assignment</v>
      </c>
      <c r="Y116" s="82" t="str">
        <f t="shared" si="45"/>
        <v>MASsoft Professional, Software, Hiden Analytical, technical equipment, DIWAN</v>
      </c>
      <c r="Z116" s="82" t="s">
        <v>19</v>
      </c>
      <c r="AA116" s="83">
        <v>46257</v>
      </c>
      <c r="AB116" s="82" t="s">
        <v>2465</v>
      </c>
      <c r="AC116" s="84" t="str">
        <f t="shared" si="46"/>
        <v>Content drafted - assets/specs pending</v>
      </c>
      <c r="AD116"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6" s="85"/>
      <c r="AF116" s="85"/>
      <c r="AG116" s="85" t="s">
        <v>2467</v>
      </c>
      <c r="AH116" s="85" t="s">
        <v>2468</v>
      </c>
      <c r="AI116" s="85" t="s">
        <v>2469</v>
      </c>
    </row>
    <row r="117" spans="1:35" ht="42" customHeight="1" x14ac:dyDescent="0.35">
      <c r="A117" s="69">
        <f t="shared" si="24"/>
        <v>28</v>
      </c>
      <c r="B117" s="70" t="s">
        <v>146</v>
      </c>
      <c r="C117" s="71" t="s">
        <v>5</v>
      </c>
      <c r="D117" s="72" t="s">
        <v>6</v>
      </c>
      <c r="E117" s="45" t="s">
        <v>148</v>
      </c>
      <c r="F117" s="49" t="s">
        <v>2991</v>
      </c>
      <c r="G117" s="45" t="s">
        <v>3045</v>
      </c>
      <c r="H117" s="47">
        <v>46257</v>
      </c>
      <c r="I117" s="48" t="s">
        <v>1627</v>
      </c>
      <c r="J117" s="48" t="s">
        <v>914</v>
      </c>
      <c r="K117" s="48" t="str">
        <f t="shared" si="38"/>
        <v>QGAsoft is a software product from Hiden Analytical for application-specific laboratory, engineering or industrial use.</v>
      </c>
      <c r="L117" s="48" t="str">
        <f t="shared" si="39"/>
        <v>QGAsoft from Hiden Analytical for software applications. Review configuration requirements and request technical information or a quotation from DIWAN.</v>
      </c>
      <c r="M117" s="48" t="s">
        <v>2020</v>
      </c>
      <c r="N117" s="61" t="s">
        <v>2672</v>
      </c>
      <c r="O117" s="54" t="str" cm="1">
        <f t="array" ref="O117">_xlfn.LET(_xlpm.n,LOWER(E117),_xlpm.c,LOWER(B117),_xlpm.t,_xlfn.IFS(OR(ISNUMBER(SEARCH("lens",_xlpm.n)),ISNUMBER(SEARCH("optic",_xlpm.n)),ISNUMBER(SEARCH("polarizer",_xlpm.n))),"precision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"),E117&amp;" is "&amp;_xlpm.art&amp;_xlpm.t&amp;" from "&amp;C117&amp;" designed for application-specific laboratory, engineering or industrial use. It belongs to DIWAN's "&amp;B117&amp;" portfolio; final configuration must be selected against performance, integration and compliance requirements.")</f>
        <v>QGAsoft is a specialized software product from Hiden Analytical designed for application-specific laboratory, engineering or industrial use. It belongs to DIWAN's Software portfolio; final configuration must be selected against performance, integration and compliance requirements.</v>
      </c>
      <c r="P117" s="54" t="str">
        <f t="shared" si="40"/>
        <v>Selection should confirm the model-specific operating range, capacity, accuracy, interfaces, utilities, accessories, standards, environmental limits and service requirements. Final capabilities depend on the approved QGAsoft configuration.</v>
      </c>
      <c r="Q117" s="54"/>
      <c r="R117" s="54" t="str">
        <f t="shared" si="41"/>
        <v>Software applications; laboratory research, engineering development, quality control and industrial deployment where applicable. Suitability must be confirmed against the user's sample, process, environment and required standards.</v>
      </c>
      <c r="S117" s="54"/>
      <c r="T117" s="54" t="str">
        <f t="shared" si="42"/>
        <v>QGAsoft from Hiden Analytical</v>
      </c>
      <c r="U117" s="54"/>
      <c r="V117" s="54" t="s">
        <v>2673</v>
      </c>
      <c r="W117" s="54" t="str">
        <f t="shared" si="43"/>
        <v>See other Software products</v>
      </c>
      <c r="X117" s="54" t="str">
        <f t="shared" si="44"/>
        <v>Software enquiry → website group enquiry form → category owner assignment</v>
      </c>
      <c r="Y117" s="54" t="str">
        <f t="shared" si="45"/>
        <v>QGAsoft, Software, Hiden Analytical, technical equipment, DIWAN</v>
      </c>
      <c r="Z117" s="54" t="s">
        <v>19</v>
      </c>
      <c r="AA117" s="55">
        <v>46257</v>
      </c>
      <c r="AB117" s="54" t="s">
        <v>2465</v>
      </c>
      <c r="AC117" s="63" t="str">
        <f t="shared" si="46"/>
        <v>Content drafted - assets/specs pending</v>
      </c>
      <c r="AD11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7" s="58"/>
      <c r="AF117" s="58"/>
      <c r="AG117" s="58" t="s">
        <v>2467</v>
      </c>
      <c r="AH117" s="58" t="s">
        <v>2468</v>
      </c>
      <c r="AI117" s="58" t="s">
        <v>2469</v>
      </c>
    </row>
    <row r="118" spans="1:35" ht="42" customHeight="1" x14ac:dyDescent="0.35">
      <c r="A118" s="69">
        <f t="shared" si="24"/>
        <v>28</v>
      </c>
      <c r="B118" s="70" t="s">
        <v>146</v>
      </c>
      <c r="C118" s="71" t="s">
        <v>5</v>
      </c>
      <c r="D118" s="72" t="s">
        <v>6</v>
      </c>
      <c r="E118" s="45" t="s">
        <v>149</v>
      </c>
      <c r="F118" s="49" t="s">
        <v>2991</v>
      </c>
      <c r="G118" s="45" t="s">
        <v>3045</v>
      </c>
      <c r="H118" s="47">
        <v>46257</v>
      </c>
      <c r="I118" s="48" t="s">
        <v>1628</v>
      </c>
      <c r="J118" s="48" t="s">
        <v>915</v>
      </c>
      <c r="K118" s="48" t="str">
        <f t="shared" si="38"/>
        <v>EGAsoft is a software product from Hiden Analytical for application-specific laboratory, engineering or industrial use.</v>
      </c>
      <c r="L118" s="48" t="str">
        <f t="shared" si="39"/>
        <v>EGAsoft from Hiden Analytical for software applications. Review configuration requirements and request technical information or a quotation from DIWAN.</v>
      </c>
      <c r="M118" s="48" t="s">
        <v>2020</v>
      </c>
      <c r="N118" s="61" t="s">
        <v>2672</v>
      </c>
      <c r="O118" s="54" t="str" cm="1">
        <f t="array" ref="O118">_xlfn.LET(_xlpm.n,LOWER(E118),_xlpm.c,LOWER(B118),_xlpm.t,_xlfn.IFS(OR(ISNUMBER(SEARCH("lens",_xlpm.n)),ISNUMBER(SEARCH("optic",_xlpm.n)),ISNUMBER(SEARCH("polarizer",_xlpm.n))),"precision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"),E118&amp;" is "&amp;_xlpm.art&amp;_xlpm.t&amp;" from "&amp;C118&amp;" designed for application-specific laboratory, engineering or industrial use. It belongs to DIWAN's "&amp;B118&amp;" portfolio; final configuration must be selected against performance, integration and compliance requirements.")</f>
        <v>EGAsoft is a specialized software product from Hiden Analytical designed for application-specific laboratory, engineering or industrial use. It belongs to DIWAN's Software portfolio; final configuration must be selected against performance, integration and compliance requirements.</v>
      </c>
      <c r="P118" s="54" t="str">
        <f t="shared" si="40"/>
        <v>Selection should confirm the model-specific operating range, capacity, accuracy, interfaces, utilities, accessories, standards, environmental limits and service requirements. Final capabilities depend on the approved EGAsoft configuration.</v>
      </c>
      <c r="Q118" s="54"/>
      <c r="R118" s="54" t="str">
        <f t="shared" si="41"/>
        <v>Software applications; laboratory research, engineering development, quality control and industrial deployment where applicable. Suitability must be confirmed against the user's sample, process, environment and required standards.</v>
      </c>
      <c r="S118" s="54"/>
      <c r="T118" s="54" t="str">
        <f t="shared" si="42"/>
        <v>EGAsoft from Hiden Analytical</v>
      </c>
      <c r="U118" s="54"/>
      <c r="V118" s="54" t="s">
        <v>2673</v>
      </c>
      <c r="W118" s="54" t="str">
        <f t="shared" si="43"/>
        <v>See other Software products</v>
      </c>
      <c r="X118" s="54" t="str">
        <f t="shared" si="44"/>
        <v>Software enquiry → website group enquiry form → category owner assignment</v>
      </c>
      <c r="Y118" s="54" t="str">
        <f t="shared" si="45"/>
        <v>EGAsoft, Software, Hiden Analytical, technical equipment, DIWAN</v>
      </c>
      <c r="Z118" s="54" t="s">
        <v>19</v>
      </c>
      <c r="AA118" s="55">
        <v>46257</v>
      </c>
      <c r="AB118" s="54" t="s">
        <v>2465</v>
      </c>
      <c r="AC118" s="63" t="str">
        <f t="shared" si="46"/>
        <v>Content drafted - assets/specs pending</v>
      </c>
      <c r="AD11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8" s="58"/>
      <c r="AF118" s="58"/>
      <c r="AG118" s="58" t="s">
        <v>2467</v>
      </c>
      <c r="AH118" s="58" t="s">
        <v>2468</v>
      </c>
      <c r="AI118" s="58" t="s">
        <v>2469</v>
      </c>
    </row>
    <row r="119" spans="1:35" ht="42" customHeight="1" x14ac:dyDescent="0.35">
      <c r="A119" s="69">
        <f t="shared" si="24"/>
        <v>28</v>
      </c>
      <c r="B119" s="70" t="s">
        <v>146</v>
      </c>
      <c r="C119" s="71" t="s">
        <v>5</v>
      </c>
      <c r="D119" s="72" t="s">
        <v>6</v>
      </c>
      <c r="E119" s="45" t="s">
        <v>150</v>
      </c>
      <c r="F119" s="49" t="s">
        <v>2991</v>
      </c>
      <c r="G119" s="45" t="s">
        <v>3045</v>
      </c>
      <c r="H119" s="47">
        <v>46257</v>
      </c>
      <c r="I119" s="48" t="s">
        <v>1629</v>
      </c>
      <c r="J119" s="48" t="s">
        <v>916</v>
      </c>
      <c r="K119" s="48" t="str">
        <f t="shared" si="38"/>
        <v>CATLAB Software is a software product from Hiden Analytical for application-specific laboratory, engineering or industrial use.</v>
      </c>
      <c r="L119" s="48" t="str">
        <f t="shared" si="39"/>
        <v>CATLAB Software from Hiden Analytical for software applications. Review configuration requirements and request technical information or a quotation from DIWAN.</v>
      </c>
      <c r="M119" s="48" t="s">
        <v>2020</v>
      </c>
      <c r="N119" s="61" t="s">
        <v>2672</v>
      </c>
      <c r="O119" s="54" t="str" cm="1">
        <f t="array" ref="O119">_xlfn.LET(_xlpm.n,LOWER(E119),_xlpm.c,LOWER(B119),_xlpm.t,_xlfn.IFS(OR(ISNUMBER(SEARCH("lens",_xlpm.n)),ISNUMBER(SEARCH("optic",_xlpm.n)),ISNUMBER(SEARCH("polarizer",_xlpm.n))),"precision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"),E119&amp;" is "&amp;_xlpm.art&amp;_xlpm.t&amp;" from "&amp;C119&amp;" designed for application-specific laboratory, engineering or industrial use. It belongs to DIWAN's "&amp;B119&amp;" portfolio; final configuration must be selected against performance, integration and compliance requirements.")</f>
        <v>CATLAB Software is a specialized engineering software platform from Hiden Analytical designed for application-specific laboratory, engineering or industrial use. It belongs to DIWAN's Software portfolio; final configuration must be selected against performance, integration and compliance requirements.</v>
      </c>
      <c r="P119" s="54" t="str">
        <f t="shared" si="40"/>
        <v>Selection should confirm the model-specific operating range, capacity, accuracy, interfaces, utilities, accessories, standards, environmental limits and service requirements. Final capabilities depend on the approved CATLAB Software configuration.</v>
      </c>
      <c r="Q119" s="54"/>
      <c r="R119" s="54" t="str">
        <f t="shared" si="41"/>
        <v>Software applications; laboratory research, engineering development, quality control and industrial deployment where applicable. Suitability must be confirmed against the user's sample, process, environment and required standards.</v>
      </c>
      <c r="S119" s="54"/>
      <c r="T119" s="54" t="str">
        <f t="shared" si="42"/>
        <v>CATLAB Software from Hiden Analytical</v>
      </c>
      <c r="U119" s="54"/>
      <c r="V119" s="54" t="s">
        <v>2673</v>
      </c>
      <c r="W119" s="54" t="str">
        <f t="shared" si="43"/>
        <v>See other Software products</v>
      </c>
      <c r="X119" s="54" t="str">
        <f t="shared" si="44"/>
        <v>Software enquiry → website group enquiry form → category owner assignment</v>
      </c>
      <c r="Y119" s="54" t="str">
        <f t="shared" si="45"/>
        <v>CATLAB Software, Software, Hiden Analytical, technical equipment, DIWAN</v>
      </c>
      <c r="Z119" s="54" t="s">
        <v>19</v>
      </c>
      <c r="AA119" s="55">
        <v>46257</v>
      </c>
      <c r="AB119" s="54" t="s">
        <v>2465</v>
      </c>
      <c r="AC119" s="63" t="str">
        <f t="shared" si="46"/>
        <v>Content drafted - assets/specs pending</v>
      </c>
      <c r="AD119"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19" s="58"/>
      <c r="AF119" s="58"/>
      <c r="AG119" s="58" t="s">
        <v>2467</v>
      </c>
      <c r="AH119" s="58" t="s">
        <v>2468</v>
      </c>
      <c r="AI119" s="58" t="s">
        <v>2469</v>
      </c>
    </row>
    <row r="120" spans="1:35" ht="42" customHeight="1" thickBot="1" x14ac:dyDescent="0.4">
      <c r="A120" s="69">
        <f t="shared" si="24"/>
        <v>28</v>
      </c>
      <c r="B120" s="70" t="s">
        <v>146</v>
      </c>
      <c r="C120" s="71" t="s">
        <v>5</v>
      </c>
      <c r="D120" s="72" t="s">
        <v>6</v>
      </c>
      <c r="E120" s="45" t="s">
        <v>151</v>
      </c>
      <c r="F120" s="49" t="s">
        <v>2991</v>
      </c>
      <c r="G120" s="45" t="s">
        <v>3045</v>
      </c>
      <c r="H120" s="47">
        <v>46257</v>
      </c>
      <c r="I120" s="48" t="s">
        <v>1630</v>
      </c>
      <c r="J120" s="48" t="s">
        <v>917</v>
      </c>
      <c r="K120" s="48" t="str">
        <f t="shared" si="38"/>
        <v>TPDsoft is a software product from Hiden Analytical for application-specific laboratory, engineering or industrial use.</v>
      </c>
      <c r="L120" s="48" t="str">
        <f t="shared" si="39"/>
        <v>TPDsoft from Hiden Analytical for software applications. Review configuration requirements and request technical information or a quotation from DIWAN.</v>
      </c>
      <c r="M120" s="48" t="s">
        <v>2020</v>
      </c>
      <c r="N120" s="61" t="s">
        <v>2672</v>
      </c>
      <c r="O120" s="54" t="str" cm="1">
        <f t="array" ref="O120">_xlfn.LET(_xlpm.n,LOWER(E120),_xlpm.c,LOWER(B120),_xlpm.t,_xlfn.IFS(OR(ISNUMBER(SEARCH("lens",_xlpm.n)),ISNUMBER(SEARCH("optic",_xlpm.n)),ISNUMBER(SEARCH("polarizer",_xlpm.n))),"precision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"),E120&amp;" is "&amp;_xlpm.art&amp;_xlpm.t&amp;" from "&amp;C120&amp;" designed for application-specific laboratory, engineering or industrial use. It belongs to DIWAN's "&amp;B120&amp;" portfolio; final configuration must be selected against performance, integration and compliance requirements.")</f>
        <v>TPDsoft is a specialized software product from Hiden Analytical designed for application-specific laboratory, engineering or industrial use. It belongs to DIWAN's Software portfolio; final configuration must be selected against performance, integration and compliance requirements.</v>
      </c>
      <c r="P120" s="54" t="str">
        <f t="shared" si="40"/>
        <v>Selection should confirm the model-specific operating range, capacity, accuracy, interfaces, utilities, accessories, standards, environmental limits and service requirements. Final capabilities depend on the approved TPDsoft configuration.</v>
      </c>
      <c r="Q120" s="54"/>
      <c r="R120" s="54" t="str">
        <f t="shared" si="41"/>
        <v>Software applications; laboratory research, engineering development, quality control and industrial deployment where applicable. Suitability must be confirmed against the user's sample, process, environment and required standards.</v>
      </c>
      <c r="S120" s="54"/>
      <c r="T120" s="54" t="str">
        <f t="shared" si="42"/>
        <v>TPDsoft from Hiden Analytical</v>
      </c>
      <c r="U120" s="54"/>
      <c r="V120" s="54" t="s">
        <v>2673</v>
      </c>
      <c r="W120" s="54" t="str">
        <f t="shared" si="43"/>
        <v>See other Software products</v>
      </c>
      <c r="X120" s="54" t="str">
        <f t="shared" si="44"/>
        <v>Software enquiry → website group enquiry form → category owner assignment</v>
      </c>
      <c r="Y120" s="54" t="str">
        <f t="shared" si="45"/>
        <v>TPDsoft, Software, Hiden Analytical, technical equipment, DIWAN</v>
      </c>
      <c r="Z120" s="54" t="s">
        <v>19</v>
      </c>
      <c r="AA120" s="55">
        <v>46257</v>
      </c>
      <c r="AB120" s="54" t="s">
        <v>2465</v>
      </c>
      <c r="AC120" s="63" t="str">
        <f t="shared" si="46"/>
        <v>Content drafted - assets/specs pending</v>
      </c>
      <c r="AD120"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0" s="58"/>
      <c r="AF120" s="58"/>
      <c r="AG120" s="58" t="s">
        <v>2467</v>
      </c>
      <c r="AH120" s="58" t="s">
        <v>2468</v>
      </c>
      <c r="AI120" s="58" t="s">
        <v>2469</v>
      </c>
    </row>
    <row r="121" spans="1:35" ht="42" customHeight="1" x14ac:dyDescent="0.35">
      <c r="A121" s="69">
        <f t="shared" si="24"/>
        <v>29</v>
      </c>
      <c r="B121" s="74" t="s">
        <v>152</v>
      </c>
      <c r="C121" s="75" t="s">
        <v>7</v>
      </c>
      <c r="D121" s="76" t="s">
        <v>8</v>
      </c>
      <c r="E121" s="77" t="s">
        <v>153</v>
      </c>
      <c r="F121" s="86" t="s">
        <v>2992</v>
      </c>
      <c r="G121" s="77" t="s">
        <v>3045</v>
      </c>
      <c r="H121" s="79">
        <v>46257</v>
      </c>
      <c r="I121" s="80" t="s">
        <v>1631</v>
      </c>
      <c r="J121" s="80" t="s">
        <v>918</v>
      </c>
      <c r="K121" s="80" t="str">
        <f t="shared" si="38"/>
        <v>Catalytic Fixed-Bed Reactor System is a lab scale systems product from Rational Lab Solutions (RLS) for application-specific laboratory, engineering or industrial use.</v>
      </c>
      <c r="L121" s="80" t="str">
        <f t="shared" si="39"/>
        <v>Catalytic Fixed-Bed Reactor System from Rational Lab Solutions (RLS) for lab scale systems applications. Review configuration requirements and request technical information or a quotation from DIWAN.</v>
      </c>
      <c r="M121" s="80" t="s">
        <v>2020</v>
      </c>
      <c r="N121" s="81" t="s">
        <v>2672</v>
      </c>
      <c r="O121" s="82" t="str" cm="1">
        <f t="array" ref="O121">_xlfn.LET(_xlpm.n,LOWER(E121),_xlpm.c,LOWER(B121),_xlpm.t,_xlfn.IFS(OR(ISNUMBER(SEARCH("lens",_xlpm.n)),ISNUMBER(SEARCH("optic",_xlpm.n)),ISNUMBER(SEARCH("polarizer",_xlpm.n))),"precision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"),E121&amp;" is "&amp;_xlpm.art&amp;_xlpm.t&amp;" from "&amp;C121&amp;" designed for application-specific laboratory, engineering or industrial use. It belongs to DIWAN's "&amp;B121&amp;" portfolio; final configuration must be selected against performance, integration and compliance requirements.")</f>
        <v>Catalytic Fixed-Bed Reactor System is a laboratory or pilot-process system from Rational Lab Solutions (RLS) designed for application-specific laboratory, engineering or industrial use. It belongs to DIWAN's Lab Scale Systems portfolio; final configuration must be selected against performance, integration and compliance requirements.</v>
      </c>
      <c r="P121" s="82" t="str">
        <f t="shared" si="40"/>
        <v>Selection should confirm the model-specific operating range, capacity, accuracy, interfaces, utilities, accessories, standards, environmental limits and service requirements. Final capabilities depend on the approved Catalytic Fixed-Bed Reactor System configuration.</v>
      </c>
      <c r="Q121" s="82"/>
      <c r="R121" s="82" t="str">
        <f t="shared" si="41"/>
        <v>Lab Scale Systems applications; laboratory research, engineering development, quality control and industrial deployment where applicable. Suitability must be confirmed against the user's sample, process, environment and required standards.</v>
      </c>
      <c r="S121" s="82"/>
      <c r="T121" s="82" t="str">
        <f t="shared" si="42"/>
        <v>Catalytic Fixed-Bed Reactor System from Rational Lab Solutions (RLS)</v>
      </c>
      <c r="U121" s="82"/>
      <c r="V121" s="82" t="s">
        <v>2673</v>
      </c>
      <c r="W121" s="82" t="str">
        <f t="shared" si="43"/>
        <v>See other Lab Scale Systems products</v>
      </c>
      <c r="X121" s="82" t="str">
        <f t="shared" si="44"/>
        <v>Lab Scale Systems enquiry → website group enquiry form → category owner assignment</v>
      </c>
      <c r="Y121" s="82" t="str">
        <f t="shared" si="45"/>
        <v>Catalytic Fixed-Bed Reactor System, Lab Scale Systems, Rational Lab Solutions (RLS), technical equipment, DIWAN</v>
      </c>
      <c r="Z121" s="82" t="s">
        <v>2248</v>
      </c>
      <c r="AA121" s="83">
        <v>46257</v>
      </c>
      <c r="AB121" s="82" t="s">
        <v>2465</v>
      </c>
      <c r="AC121" s="84" t="str">
        <f t="shared" si="46"/>
        <v>Content drafted - assets/specs pending</v>
      </c>
      <c r="AD121"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1" s="85"/>
      <c r="AF121" s="85"/>
      <c r="AG121" s="85" t="s">
        <v>2467</v>
      </c>
      <c r="AH121" s="85" t="s">
        <v>2468</v>
      </c>
      <c r="AI121" s="85" t="s">
        <v>2469</v>
      </c>
    </row>
    <row r="122" spans="1:35" ht="42" customHeight="1" x14ac:dyDescent="0.35">
      <c r="A122" s="69">
        <f t="shared" si="24"/>
        <v>29</v>
      </c>
      <c r="B122" s="70" t="s">
        <v>152</v>
      </c>
      <c r="C122" s="71" t="s">
        <v>7</v>
      </c>
      <c r="D122" s="72" t="s">
        <v>8</v>
      </c>
      <c r="E122" s="45" t="s">
        <v>154</v>
      </c>
      <c r="F122" s="49" t="s">
        <v>2992</v>
      </c>
      <c r="G122" s="45" t="s">
        <v>3045</v>
      </c>
      <c r="H122" s="47">
        <v>46257</v>
      </c>
      <c r="I122" s="48" t="s">
        <v>1632</v>
      </c>
      <c r="J122" s="48" t="s">
        <v>919</v>
      </c>
      <c r="K122" s="48" t="str">
        <f t="shared" si="38"/>
        <v>Hydrothermal Reactor is a lab scale systems product from Rational Lab Solutions (RLS) for application-specific laboratory, engineering or industrial use.</v>
      </c>
      <c r="L122" s="48" t="str">
        <f t="shared" si="39"/>
        <v>Hydrothermal Reactor from Rational Lab Solutions (RLS) for lab scale systems applications. Review configuration requirements and request technical information or a quotation from DIWAN.</v>
      </c>
      <c r="M122" s="48" t="s">
        <v>2020</v>
      </c>
      <c r="N122" s="61" t="s">
        <v>2672</v>
      </c>
      <c r="O122" s="54" t="str" cm="1">
        <f t="array" ref="O122">_xlfn.LET(_xlpm.n,LOWER(E122),_xlpm.c,LOWER(B122),_xlpm.t,_xlfn.IFS(OR(ISNUMBER(SEARCH("lens",_xlpm.n)),ISNUMBER(SEARCH("optic",_xlpm.n)),ISNUMBER(SEARCH("polarizer",_xlpm.n))),"precision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"),E122&amp;" is "&amp;_xlpm.art&amp;_xlpm.t&amp;" from "&amp;C122&amp;" designed for application-specific laboratory, engineering or industrial use. It belongs to DIWAN's "&amp;B122&amp;" portfolio; final configuration must be selected against performance, integration and compliance requirements.")</f>
        <v>Hydrothermal Reactor is a laboratory or pilot-process system from Rational Lab Solutions (RLS) designed for application-specific laboratory, engineering or industrial use. It belongs to DIWAN's Lab Scale Systems portfolio; final configuration must be selected against performance, integration and compliance requirements.</v>
      </c>
      <c r="P122" s="54" t="str">
        <f t="shared" si="40"/>
        <v>Selection should confirm the model-specific operating range, capacity, accuracy, interfaces, utilities, accessories, standards, environmental limits and service requirements. Final capabilities depend on the approved Hydrothermal Reactor configuration.</v>
      </c>
      <c r="Q122" s="54"/>
      <c r="R122" s="54" t="str">
        <f t="shared" si="41"/>
        <v>Lab Scale Systems applications; laboratory research, engineering development, quality control and industrial deployment where applicable. Suitability must be confirmed against the user's sample, process, environment and required standards.</v>
      </c>
      <c r="S122" s="54"/>
      <c r="T122" s="54" t="str">
        <f t="shared" si="42"/>
        <v>Hydrothermal Reactor from Rational Lab Solutions (RLS)</v>
      </c>
      <c r="U122" s="54"/>
      <c r="V122" s="54" t="s">
        <v>2673</v>
      </c>
      <c r="W122" s="54" t="str">
        <f t="shared" si="43"/>
        <v>See other Lab Scale Systems products</v>
      </c>
      <c r="X122" s="54" t="str">
        <f t="shared" si="44"/>
        <v>Lab Scale Systems enquiry → website group enquiry form → category owner assignment</v>
      </c>
      <c r="Y122" s="54" t="str">
        <f t="shared" si="45"/>
        <v>Hydrothermal Reactor, Lab Scale Systems, Rational Lab Solutions (RLS), technical equipment, DIWAN</v>
      </c>
      <c r="Z122" s="54" t="s">
        <v>2248</v>
      </c>
      <c r="AA122" s="55">
        <v>46257</v>
      </c>
      <c r="AB122" s="54" t="s">
        <v>2465</v>
      </c>
      <c r="AC122" s="63" t="str">
        <f t="shared" si="46"/>
        <v>Content drafted - assets/specs pending</v>
      </c>
      <c r="AD122"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2" s="58"/>
      <c r="AF122" s="58"/>
      <c r="AG122" s="58" t="s">
        <v>2467</v>
      </c>
      <c r="AH122" s="58" t="s">
        <v>2468</v>
      </c>
      <c r="AI122" s="58" t="s">
        <v>2469</v>
      </c>
    </row>
    <row r="123" spans="1:35" ht="42" customHeight="1" x14ac:dyDescent="0.35">
      <c r="A123" s="69">
        <f t="shared" si="24"/>
        <v>29</v>
      </c>
      <c r="B123" s="70" t="s">
        <v>152</v>
      </c>
      <c r="C123" s="71" t="s">
        <v>7</v>
      </c>
      <c r="D123" s="72" t="s">
        <v>8</v>
      </c>
      <c r="E123" s="45" t="s">
        <v>155</v>
      </c>
      <c r="F123" s="49" t="s">
        <v>2992</v>
      </c>
      <c r="G123" s="45" t="s">
        <v>3045</v>
      </c>
      <c r="H123" s="47">
        <v>46257</v>
      </c>
      <c r="I123" s="48" t="s">
        <v>1633</v>
      </c>
      <c r="J123" s="48" t="s">
        <v>920</v>
      </c>
      <c r="K123" s="48" t="str">
        <f t="shared" si="38"/>
        <v>Membrane Reactor System is a lab scale systems product from Rational Lab Solutions (RLS) for application-specific laboratory, engineering or industrial use.</v>
      </c>
      <c r="L123" s="48" t="str">
        <f t="shared" si="39"/>
        <v>Membrane Reactor System from Rational Lab Solutions (RLS) for lab scale systems applications. Review configuration requirements and request technical information or a quotation from DIWAN.</v>
      </c>
      <c r="M123" s="48" t="s">
        <v>2020</v>
      </c>
      <c r="N123" s="61" t="s">
        <v>2672</v>
      </c>
      <c r="O123" s="54" t="str" cm="1">
        <f t="array" ref="O123">_xlfn.LET(_xlpm.n,LOWER(E123),_xlpm.c,LOWER(B123),_xlpm.t,_xlfn.IFS(OR(ISNUMBER(SEARCH("lens",_xlpm.n)),ISNUMBER(SEARCH("optic",_xlpm.n)),ISNUMBER(SEARCH("polarizer",_xlpm.n))),"precision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"),E123&amp;" is "&amp;_xlpm.art&amp;_xlpm.t&amp;" from "&amp;C123&amp;" designed for application-specific laboratory, engineering or industrial use. It belongs to DIWAN's "&amp;B123&amp;" portfolio; final configuration must be selected against performance, integration and compliance requirements.")</f>
        <v>Membrane Reactor System is a laboratory or pilot-process system from Rational Lab Solutions (RLS) designed for application-specific laboratory, engineering or industrial use. It belongs to DIWAN's Lab Scale Systems portfolio; final configuration must be selected against performance, integration and compliance requirements.</v>
      </c>
      <c r="P123" s="54" t="str">
        <f t="shared" si="40"/>
        <v>Selection should confirm the model-specific operating range, capacity, accuracy, interfaces, utilities, accessories, standards, environmental limits and service requirements. Final capabilities depend on the approved Membrane Reactor System configuration.</v>
      </c>
      <c r="Q123" s="54"/>
      <c r="R123" s="54" t="str">
        <f t="shared" si="41"/>
        <v>Lab Scale Systems applications; laboratory research, engineering development, quality control and industrial deployment where applicable. Suitability must be confirmed against the user's sample, process, environment and required standards.</v>
      </c>
      <c r="S123" s="54"/>
      <c r="T123" s="54" t="str">
        <f t="shared" si="42"/>
        <v>Membrane Reactor System from Rational Lab Solutions (RLS)</v>
      </c>
      <c r="U123" s="54"/>
      <c r="V123" s="54" t="s">
        <v>2673</v>
      </c>
      <c r="W123" s="54" t="str">
        <f t="shared" si="43"/>
        <v>See other Lab Scale Systems products</v>
      </c>
      <c r="X123" s="54" t="str">
        <f t="shared" si="44"/>
        <v>Lab Scale Systems enquiry → website group enquiry form → category owner assignment</v>
      </c>
      <c r="Y123" s="54" t="str">
        <f t="shared" si="45"/>
        <v>Membrane Reactor System, Lab Scale Systems, Rational Lab Solutions (RLS), technical equipment, DIWAN</v>
      </c>
      <c r="Z123" s="54" t="s">
        <v>2248</v>
      </c>
      <c r="AA123" s="55">
        <v>46257</v>
      </c>
      <c r="AB123" s="54" t="s">
        <v>2465</v>
      </c>
      <c r="AC123" s="63" t="str">
        <f t="shared" si="46"/>
        <v>Content drafted - assets/specs pending</v>
      </c>
      <c r="AD123"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3" s="58"/>
      <c r="AF123" s="58"/>
      <c r="AG123" s="58" t="s">
        <v>2467</v>
      </c>
      <c r="AH123" s="58" t="s">
        <v>2468</v>
      </c>
      <c r="AI123" s="58" t="s">
        <v>2469</v>
      </c>
    </row>
    <row r="124" spans="1:35" ht="42" customHeight="1" x14ac:dyDescent="0.35">
      <c r="A124" s="69">
        <f t="shared" si="24"/>
        <v>29</v>
      </c>
      <c r="B124" s="70" t="s">
        <v>152</v>
      </c>
      <c r="C124" s="71" t="s">
        <v>7</v>
      </c>
      <c r="D124" s="72" t="s">
        <v>8</v>
      </c>
      <c r="E124" s="45" t="s">
        <v>156</v>
      </c>
      <c r="F124" s="49" t="s">
        <v>2992</v>
      </c>
      <c r="G124" s="45" t="s">
        <v>3045</v>
      </c>
      <c r="H124" s="47">
        <v>46257</v>
      </c>
      <c r="I124" s="48" t="s">
        <v>1634</v>
      </c>
      <c r="J124" s="48" t="s">
        <v>921</v>
      </c>
      <c r="K124" s="48" t="str">
        <f t="shared" si="38"/>
        <v>CSTR Reactor System is a lab scale systems product from Rational Lab Solutions (RLS) for application-specific laboratory, engineering or industrial use.</v>
      </c>
      <c r="L124" s="48" t="str">
        <f t="shared" si="39"/>
        <v>CSTR Reactor System from Rational Lab Solutions (RLS) for lab scale systems applications. Review configuration requirements and request technical information or a quotation from DIWAN.</v>
      </c>
      <c r="M124" s="48" t="s">
        <v>2020</v>
      </c>
      <c r="N124" s="61" t="s">
        <v>2672</v>
      </c>
      <c r="O124" s="54" t="str" cm="1">
        <f t="array" ref="O124">_xlfn.LET(_xlpm.n,LOWER(E124),_xlpm.c,LOWER(B124),_xlpm.t,_xlfn.IFS(OR(ISNUMBER(SEARCH("lens",_xlpm.n)),ISNUMBER(SEARCH("optic",_xlpm.n)),ISNUMBER(SEARCH("polarizer",_xlpm.n))),"precision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"),E124&amp;" is "&amp;_xlpm.art&amp;_xlpm.t&amp;" from "&amp;C124&amp;" designed for application-specific laboratory, engineering or industrial use. It belongs to DIWAN's "&amp;B124&amp;" portfolio; final configuration must be selected against performance, integration and compliance requirements.")</f>
        <v>CSTR Reactor System is a laboratory or pilot-process system from Rational Lab Solutions (RLS) designed for application-specific laboratory, engineering or industrial use. It belongs to DIWAN's Lab Scale Systems portfolio; final configuration must be selected against performance, integration and compliance requirements.</v>
      </c>
      <c r="P124" s="54" t="str">
        <f t="shared" si="40"/>
        <v>Selection should confirm the model-specific operating range, capacity, accuracy, interfaces, utilities, accessories, standards, environmental limits and service requirements. Final capabilities depend on the approved CSTR Reactor System configuration.</v>
      </c>
      <c r="Q124" s="54"/>
      <c r="R124" s="54" t="str">
        <f t="shared" si="41"/>
        <v>Lab Scale Systems applications; laboratory research, engineering development, quality control and industrial deployment where applicable. Suitability must be confirmed against the user's sample, process, environment and required standards.</v>
      </c>
      <c r="S124" s="54"/>
      <c r="T124" s="54" t="str">
        <f t="shared" si="42"/>
        <v>CSTR Reactor System from Rational Lab Solutions (RLS)</v>
      </c>
      <c r="U124" s="54"/>
      <c r="V124" s="54" t="s">
        <v>2673</v>
      </c>
      <c r="W124" s="54" t="str">
        <f t="shared" si="43"/>
        <v>See other Lab Scale Systems products</v>
      </c>
      <c r="X124" s="54" t="str">
        <f t="shared" si="44"/>
        <v>Lab Scale Systems enquiry → website group enquiry form → category owner assignment</v>
      </c>
      <c r="Y124" s="54" t="str">
        <f t="shared" si="45"/>
        <v>CSTR Reactor System, Lab Scale Systems, Rational Lab Solutions (RLS), technical equipment, DIWAN</v>
      </c>
      <c r="Z124" s="54" t="s">
        <v>2248</v>
      </c>
      <c r="AA124" s="55">
        <v>46257</v>
      </c>
      <c r="AB124" s="54" t="s">
        <v>2465</v>
      </c>
      <c r="AC124" s="63" t="str">
        <f t="shared" si="46"/>
        <v>Content drafted - assets/specs pending</v>
      </c>
      <c r="AD124"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4" s="58"/>
      <c r="AF124" s="58"/>
      <c r="AG124" s="58" t="s">
        <v>2467</v>
      </c>
      <c r="AH124" s="58" t="s">
        <v>2468</v>
      </c>
      <c r="AI124" s="58" t="s">
        <v>2469</v>
      </c>
    </row>
    <row r="125" spans="1:35" ht="42" customHeight="1" thickBot="1" x14ac:dyDescent="0.4">
      <c r="A125" s="69">
        <f t="shared" si="24"/>
        <v>29</v>
      </c>
      <c r="B125" s="70" t="s">
        <v>152</v>
      </c>
      <c r="C125" s="71" t="s">
        <v>7</v>
      </c>
      <c r="D125" s="72" t="s">
        <v>8</v>
      </c>
      <c r="E125" s="45" t="s">
        <v>157</v>
      </c>
      <c r="F125" s="49" t="s">
        <v>2992</v>
      </c>
      <c r="G125" s="45" t="s">
        <v>3045</v>
      </c>
      <c r="H125" s="47">
        <v>46257</v>
      </c>
      <c r="I125" s="48" t="s">
        <v>1635</v>
      </c>
      <c r="J125" s="48" t="s">
        <v>922</v>
      </c>
      <c r="K125" s="48" t="str">
        <f t="shared" si="38"/>
        <v>Split Tube Furnace is a lab scale systems product from Rational Lab Solutions (RLS) for application-specific laboratory, engineering or industrial use.</v>
      </c>
      <c r="L125" s="48" t="str">
        <f t="shared" si="39"/>
        <v>Split Tube Furnace from Rational Lab Solutions (RLS) for lab scale systems applications. Review configuration requirements and request technical information or a quotation from DIWAN.</v>
      </c>
      <c r="M125" s="48" t="s">
        <v>2020</v>
      </c>
      <c r="N125" s="61" t="s">
        <v>2672</v>
      </c>
      <c r="O125" s="54" t="str" cm="1">
        <f t="array" ref="O125">_xlfn.LET(_xlpm.n,LOWER(E125),_xlpm.c,LOWER(B125),_xlpm.t,_xlfn.IFS(OR(ISNUMBER(SEARCH("lens",_xlpm.n)),ISNUMBER(SEARCH("optic",_xlpm.n)),ISNUMBER(SEARCH("polarizer",_xlpm.n))),"precision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"),E125&amp;" is "&amp;_xlpm.art&amp;_xlpm.t&amp;" from "&amp;C125&amp;" designed for application-specific laboratory, engineering or industrial use. It belongs to DIWAN's "&amp;B125&amp;" portfolio; final configuration must be selected against performance, integration and compliance requirements.")</f>
        <v>Split Tube Furnace is a specialized lab scale systems product from Rational Lab Solutions (RLS) designed for application-specific laboratory, engineering or industrial use. It belongs to DIWAN's Lab Scale Systems portfolio; final configuration must be selected against performance, integration and compliance requirements.</v>
      </c>
      <c r="P125" s="54" t="str">
        <f t="shared" si="40"/>
        <v>Selection should confirm the model-specific operating range, capacity, accuracy, interfaces, utilities, accessories, standards, environmental limits and service requirements. Final capabilities depend on the approved Split Tube Furnace configuration.</v>
      </c>
      <c r="Q125" s="54"/>
      <c r="R125" s="54" t="str">
        <f t="shared" si="41"/>
        <v>Lab Scale Systems applications; laboratory research, engineering development, quality control and industrial deployment where applicable. Suitability must be confirmed against the user's sample, process, environment and required standards.</v>
      </c>
      <c r="S125" s="54"/>
      <c r="T125" s="54" t="str">
        <f t="shared" si="42"/>
        <v>Split Tube Furnace from Rational Lab Solutions (RLS)</v>
      </c>
      <c r="U125" s="54"/>
      <c r="V125" s="54" t="s">
        <v>2673</v>
      </c>
      <c r="W125" s="54" t="str">
        <f t="shared" si="43"/>
        <v>See other Lab Scale Systems products</v>
      </c>
      <c r="X125" s="54" t="str">
        <f t="shared" si="44"/>
        <v>Lab Scale Systems enquiry → website group enquiry form → category owner assignment</v>
      </c>
      <c r="Y125" s="54" t="str">
        <f t="shared" si="45"/>
        <v>Split Tube Furnace, Lab Scale Systems, Rational Lab Solutions (RLS), technical equipment, DIWAN</v>
      </c>
      <c r="Z125" s="54" t="s">
        <v>2248</v>
      </c>
      <c r="AA125" s="55">
        <v>46257</v>
      </c>
      <c r="AB125" s="54" t="s">
        <v>2465</v>
      </c>
      <c r="AC125" s="63" t="str">
        <f t="shared" si="46"/>
        <v>Content drafted - assets/specs pending</v>
      </c>
      <c r="AD125"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5" s="58"/>
      <c r="AF125" s="58"/>
      <c r="AG125" s="58" t="s">
        <v>2467</v>
      </c>
      <c r="AH125" s="58" t="s">
        <v>2468</v>
      </c>
      <c r="AI125" s="58" t="s">
        <v>2469</v>
      </c>
    </row>
    <row r="126" spans="1:35" ht="42" customHeight="1" x14ac:dyDescent="0.35">
      <c r="A126" s="69">
        <f t="shared" si="24"/>
        <v>30</v>
      </c>
      <c r="B126" s="74" t="s">
        <v>158</v>
      </c>
      <c r="C126" s="75" t="s">
        <v>7</v>
      </c>
      <c r="D126" s="76" t="s">
        <v>8</v>
      </c>
      <c r="E126" s="77" t="s">
        <v>159</v>
      </c>
      <c r="F126" s="86" t="s">
        <v>2993</v>
      </c>
      <c r="G126" s="77" t="s">
        <v>3045</v>
      </c>
      <c r="H126" s="79">
        <v>46257</v>
      </c>
      <c r="I126" s="80" t="s">
        <v>1636</v>
      </c>
      <c r="J126" s="80" t="s">
        <v>923</v>
      </c>
      <c r="K126" s="80" t="str">
        <f t="shared" si="38"/>
        <v>Automated Integral Reactor is a pilot scale systems product from Rational Lab Solutions (RLS) for application-specific laboratory, engineering or industrial use.</v>
      </c>
      <c r="L126" s="80" t="str">
        <f t="shared" si="39"/>
        <v>Automated Integral Reactor from Rational Lab Solutions (RLS) for pilot scale systems applications. Review configuration requirements and request technical information or a quotation from DIWAN.</v>
      </c>
      <c r="M126" s="80" t="s">
        <v>2020</v>
      </c>
      <c r="N126" s="81" t="s">
        <v>2672</v>
      </c>
      <c r="O126" s="82" t="str" cm="1">
        <f t="array" ref="O126">_xlfn.LET(_xlpm.n,LOWER(E126),_xlpm.c,LOWER(B126),_xlpm.t,_xlfn.IFS(OR(ISNUMBER(SEARCH("lens",_xlpm.n)),ISNUMBER(SEARCH("optic",_xlpm.n)),ISNUMBER(SEARCH("polarizer",_xlpm.n))),"precision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"),E126&amp;" is "&amp;_xlpm.art&amp;_xlpm.t&amp;" from "&amp;C126&amp;" designed for application-specific laboratory, engineering or industrial use. It belongs to DIWAN's "&amp;B126&amp;" portfolio; final configuration must be selected against performance, integration and compliance requirements.")</f>
        <v>Automated Integral Reactor is a laboratory or pilot-process system from Rational Lab Solutions (RLS) designed for application-specific laboratory, engineering or industrial use. It belongs to DIWAN's Pilot Scale Systems portfolio; final configuration must be selected against performance, integration and compliance requirements.</v>
      </c>
      <c r="P126" s="82" t="str">
        <f t="shared" si="40"/>
        <v>Selection should confirm the model-specific operating range, capacity, accuracy, interfaces, utilities, accessories, standards, environmental limits and service requirements. Final capabilities depend on the approved Automated Integral Reactor configuration.</v>
      </c>
      <c r="Q126" s="82"/>
      <c r="R126" s="82" t="str">
        <f t="shared" si="41"/>
        <v>Pilot Scale Systems applications; laboratory research, engineering development, quality control and industrial deployment where applicable. Suitability must be confirmed against the user's sample, process, environment and required standards.</v>
      </c>
      <c r="S126" s="82"/>
      <c r="T126" s="82" t="str">
        <f t="shared" si="42"/>
        <v>Automated Integral Reactor from Rational Lab Solutions (RLS)</v>
      </c>
      <c r="U126" s="82"/>
      <c r="V126" s="82" t="s">
        <v>2673</v>
      </c>
      <c r="W126" s="82" t="str">
        <f t="shared" si="43"/>
        <v>See other Pilot Scale Systems products</v>
      </c>
      <c r="X126" s="82" t="str">
        <f t="shared" si="44"/>
        <v>Pilot Scale Systems enquiry → website group enquiry form → category owner assignment</v>
      </c>
      <c r="Y126" s="82" t="str">
        <f t="shared" si="45"/>
        <v>Automated Integral Reactor, Pilot Scale Systems, Rational Lab Solutions (RLS), technical equipment, DIWAN</v>
      </c>
      <c r="Z126" s="82" t="s">
        <v>2249</v>
      </c>
      <c r="AA126" s="83">
        <v>46257</v>
      </c>
      <c r="AB126" s="82" t="s">
        <v>2465</v>
      </c>
      <c r="AC126" s="84" t="str">
        <f t="shared" si="46"/>
        <v>Content drafted - assets/specs pending</v>
      </c>
      <c r="AD126"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6" s="85"/>
      <c r="AF126" s="85"/>
      <c r="AG126" s="85" t="s">
        <v>2467</v>
      </c>
      <c r="AH126" s="85" t="s">
        <v>2468</v>
      </c>
      <c r="AI126" s="85" t="s">
        <v>2469</v>
      </c>
    </row>
    <row r="127" spans="1:35" ht="42" customHeight="1" x14ac:dyDescent="0.35">
      <c r="A127" s="69">
        <f t="shared" si="24"/>
        <v>30</v>
      </c>
      <c r="B127" s="70" t="s">
        <v>158</v>
      </c>
      <c r="C127" s="71" t="s">
        <v>7</v>
      </c>
      <c r="D127" s="72" t="s">
        <v>8</v>
      </c>
      <c r="E127" s="45" t="s">
        <v>160</v>
      </c>
      <c r="F127" s="49" t="s">
        <v>2993</v>
      </c>
      <c r="G127" s="45" t="s">
        <v>3045</v>
      </c>
      <c r="H127" s="47">
        <v>46257</v>
      </c>
      <c r="I127" s="48" t="s">
        <v>1637</v>
      </c>
      <c r="J127" s="48" t="s">
        <v>924</v>
      </c>
      <c r="K127" s="48" t="str">
        <f t="shared" si="38"/>
        <v>Fixed Bed System is a pilot scale systems product from Rational Lab Solutions (RLS) for application-specific laboratory, engineering or industrial use.</v>
      </c>
      <c r="L127" s="48" t="str">
        <f t="shared" si="39"/>
        <v>Fixed Bed System from Rational Lab Solutions (RLS) for pilot scale systems applications. Review configuration requirements and request technical information or a quotation from DIWAN.</v>
      </c>
      <c r="M127" s="48" t="s">
        <v>2020</v>
      </c>
      <c r="N127" s="61" t="s">
        <v>2672</v>
      </c>
      <c r="O127" s="54" t="str" cm="1">
        <f t="array" ref="O127">_xlfn.LET(_xlpm.n,LOWER(E127),_xlpm.c,LOWER(B127),_xlpm.t,_xlfn.IFS(OR(ISNUMBER(SEARCH("lens",_xlpm.n)),ISNUMBER(SEARCH("optic",_xlpm.n)),ISNUMBER(SEARCH("polarizer",_xlpm.n))),"precision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"),E127&amp;" is "&amp;_xlpm.art&amp;_xlpm.t&amp;" from "&amp;C127&amp;" designed for application-specific laboratory, engineering or industrial use. It belongs to DIWAN's "&amp;B127&amp;" portfolio; final configuration must be selected against performance, integration and compliance requirements.")</f>
        <v>Fixed Bed System is a specialized pilot scale systems product from Rational Lab Solutions (RLS) designed for application-specific laboratory, engineering or industrial use. It belongs to DIWAN's Pilot Scale Systems portfolio; final configuration must be selected against performance, integration and compliance requirements.</v>
      </c>
      <c r="P127" s="54" t="str">
        <f t="shared" si="40"/>
        <v>Selection should confirm the model-specific operating range, capacity, accuracy, interfaces, utilities, accessories, standards, environmental limits and service requirements. Final capabilities depend on the approved Fixed Bed System configuration.</v>
      </c>
      <c r="Q127" s="54"/>
      <c r="R127" s="54" t="str">
        <f t="shared" si="41"/>
        <v>Pilot Scale Systems applications; laboratory research, engineering development, quality control and industrial deployment where applicable. Suitability must be confirmed against the user's sample, process, environment and required standards.</v>
      </c>
      <c r="S127" s="54"/>
      <c r="T127" s="54" t="str">
        <f t="shared" si="42"/>
        <v>Fixed Bed System from Rational Lab Solutions (RLS)</v>
      </c>
      <c r="U127" s="54"/>
      <c r="V127" s="54" t="s">
        <v>2673</v>
      </c>
      <c r="W127" s="54" t="str">
        <f t="shared" si="43"/>
        <v>See other Pilot Scale Systems products</v>
      </c>
      <c r="X127" s="54" t="str">
        <f t="shared" si="44"/>
        <v>Pilot Scale Systems enquiry → website group enquiry form → category owner assignment</v>
      </c>
      <c r="Y127" s="54" t="str">
        <f t="shared" si="45"/>
        <v>Fixed Bed System, Pilot Scale Systems, Rational Lab Solutions (RLS), technical equipment, DIWAN</v>
      </c>
      <c r="Z127" s="54" t="s">
        <v>2249</v>
      </c>
      <c r="AA127" s="55">
        <v>46257</v>
      </c>
      <c r="AB127" s="54" t="s">
        <v>2465</v>
      </c>
      <c r="AC127" s="63" t="str">
        <f t="shared" si="46"/>
        <v>Content drafted - assets/specs pending</v>
      </c>
      <c r="AD12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7" s="58"/>
      <c r="AF127" s="58"/>
      <c r="AG127" s="58" t="s">
        <v>2467</v>
      </c>
      <c r="AH127" s="58" t="s">
        <v>2468</v>
      </c>
      <c r="AI127" s="58" t="s">
        <v>2469</v>
      </c>
    </row>
    <row r="128" spans="1:35" ht="42" customHeight="1" x14ac:dyDescent="0.35">
      <c r="A128" s="69">
        <f t="shared" si="24"/>
        <v>30</v>
      </c>
      <c r="B128" s="70" t="s">
        <v>158</v>
      </c>
      <c r="C128" s="71" t="s">
        <v>7</v>
      </c>
      <c r="D128" s="72" t="s">
        <v>8</v>
      </c>
      <c r="E128" s="45" t="s">
        <v>161</v>
      </c>
      <c r="F128" s="49" t="s">
        <v>2993</v>
      </c>
      <c r="G128" s="45" t="s">
        <v>3045</v>
      </c>
      <c r="H128" s="47">
        <v>46257</v>
      </c>
      <c r="I128" s="48" t="s">
        <v>1638</v>
      </c>
      <c r="J128" s="48" t="s">
        <v>925</v>
      </c>
      <c r="K128" s="48" t="str">
        <f t="shared" si="38"/>
        <v>Stirred Tank System is a pilot scale systems product from Rational Lab Solutions (RLS) for application-specific laboratory, engineering or industrial use.</v>
      </c>
      <c r="L128" s="48" t="str">
        <f t="shared" si="39"/>
        <v>Stirred Tank System from Rational Lab Solutions (RLS) for pilot scale systems applications. Review configuration requirements and request technical information or a quotation from DIWAN.</v>
      </c>
      <c r="M128" s="48" t="s">
        <v>2020</v>
      </c>
      <c r="N128" s="61" t="s">
        <v>2672</v>
      </c>
      <c r="O128" s="54" t="str" cm="1">
        <f t="array" ref="O128">_xlfn.LET(_xlpm.n,LOWER(E128),_xlpm.c,LOWER(B128),_xlpm.t,_xlfn.IFS(OR(ISNUMBER(SEARCH("lens",_xlpm.n)),ISNUMBER(SEARCH("optic",_xlpm.n)),ISNUMBER(SEARCH("polarizer",_xlpm.n))),"precision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"),E128&amp;" is "&amp;_xlpm.art&amp;_xlpm.t&amp;" from "&amp;C128&amp;" designed for application-specific laboratory, engineering or industrial use. It belongs to DIWAN's "&amp;B128&amp;" portfolio; final configuration must be selected against performance, integration and compliance requirements.")</f>
        <v>Stirred Tank System is a specialized pilot scale systems product from Rational Lab Solutions (RLS) designed for application-specific laboratory, engineering or industrial use. It belongs to DIWAN's Pilot Scale Systems portfolio; final configuration must be selected against performance, integration and compliance requirements.</v>
      </c>
      <c r="P128" s="54" t="str">
        <f t="shared" si="40"/>
        <v>Selection should confirm the model-specific operating range, capacity, accuracy, interfaces, utilities, accessories, standards, environmental limits and service requirements. Final capabilities depend on the approved Stirred Tank System configuration.</v>
      </c>
      <c r="Q128" s="54"/>
      <c r="R128" s="54" t="str">
        <f t="shared" si="41"/>
        <v>Pilot Scale Systems applications; laboratory research, engineering development, quality control and industrial deployment where applicable. Suitability must be confirmed against the user's sample, process, environment and required standards.</v>
      </c>
      <c r="S128" s="54"/>
      <c r="T128" s="54" t="str">
        <f t="shared" si="42"/>
        <v>Stirred Tank System from Rational Lab Solutions (RLS)</v>
      </c>
      <c r="U128" s="54"/>
      <c r="V128" s="54" t="s">
        <v>2673</v>
      </c>
      <c r="W128" s="54" t="str">
        <f t="shared" si="43"/>
        <v>See other Pilot Scale Systems products</v>
      </c>
      <c r="X128" s="54" t="str">
        <f t="shared" si="44"/>
        <v>Pilot Scale Systems enquiry → website group enquiry form → category owner assignment</v>
      </c>
      <c r="Y128" s="54" t="str">
        <f t="shared" si="45"/>
        <v>Stirred Tank System, Pilot Scale Systems, Rational Lab Solutions (RLS), technical equipment, DIWAN</v>
      </c>
      <c r="Z128" s="54" t="s">
        <v>2249</v>
      </c>
      <c r="AA128" s="55">
        <v>46257</v>
      </c>
      <c r="AB128" s="54" t="s">
        <v>2465</v>
      </c>
      <c r="AC128" s="63" t="str">
        <f t="shared" si="46"/>
        <v>Content drafted - assets/specs pending</v>
      </c>
      <c r="AD12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8" s="58"/>
      <c r="AF128" s="58"/>
      <c r="AG128" s="58" t="s">
        <v>2467</v>
      </c>
      <c r="AH128" s="58" t="s">
        <v>2468</v>
      </c>
      <c r="AI128" s="58" t="s">
        <v>2469</v>
      </c>
    </row>
    <row r="129" spans="1:35" ht="42" customHeight="1" x14ac:dyDescent="0.35">
      <c r="A129" s="69">
        <f t="shared" si="24"/>
        <v>30</v>
      </c>
      <c r="B129" s="70" t="s">
        <v>158</v>
      </c>
      <c r="C129" s="71" t="s">
        <v>7</v>
      </c>
      <c r="D129" s="72" t="s">
        <v>8</v>
      </c>
      <c r="E129" s="45" t="s">
        <v>162</v>
      </c>
      <c r="F129" s="49" t="s">
        <v>2993</v>
      </c>
      <c r="G129" s="45" t="s">
        <v>3045</v>
      </c>
      <c r="H129" s="47">
        <v>46257</v>
      </c>
      <c r="I129" s="48" t="s">
        <v>1639</v>
      </c>
      <c r="J129" s="48" t="s">
        <v>926</v>
      </c>
      <c r="K129" s="48" t="str">
        <f t="shared" si="38"/>
        <v>Fluidized Bed System is a pilot scale systems product from Rational Lab Solutions (RLS) for application-specific laboratory, engineering or industrial use.</v>
      </c>
      <c r="L129" s="48" t="str">
        <f t="shared" si="39"/>
        <v>Fluidized Bed System from Rational Lab Solutions (RLS) for pilot scale systems applications. Review configuration requirements and request technical information or a quotation from DIWAN.</v>
      </c>
      <c r="M129" s="48" t="s">
        <v>2020</v>
      </c>
      <c r="N129" s="61" t="s">
        <v>2672</v>
      </c>
      <c r="O129" s="54" t="str" cm="1">
        <f t="array" ref="O129">_xlfn.LET(_xlpm.n,LOWER(E129),_xlpm.c,LOWER(B129),_xlpm.t,_xlfn.IFS(OR(ISNUMBER(SEARCH("lens",_xlpm.n)),ISNUMBER(SEARCH("optic",_xlpm.n)),ISNUMBER(SEARCH("polarizer",_xlpm.n))),"precision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"),E129&amp;" is "&amp;_xlpm.art&amp;_xlpm.t&amp;" from "&amp;C129&amp;" designed for application-specific laboratory, engineering or industrial use. It belongs to DIWAN's "&amp;B129&amp;" portfolio; final configuration must be selected against performance, integration and compliance requirements.")</f>
        <v>Fluidized Bed System is a specialized pilot scale systems product from Rational Lab Solutions (RLS) designed for application-specific laboratory, engineering or industrial use. It belongs to DIWAN's Pilot Scale Systems portfolio; final configuration must be selected against performance, integration and compliance requirements.</v>
      </c>
      <c r="P129" s="54" t="str">
        <f t="shared" si="40"/>
        <v>Selection should confirm the model-specific operating range, capacity, accuracy, interfaces, utilities, accessories, standards, environmental limits and service requirements. Final capabilities depend on the approved Fluidized Bed System configuration.</v>
      </c>
      <c r="Q129" s="54"/>
      <c r="R129" s="54" t="str">
        <f t="shared" si="41"/>
        <v>Pilot Scale Systems applications; laboratory research, engineering development, quality control and industrial deployment where applicable. Suitability must be confirmed against the user's sample, process, environment and required standards.</v>
      </c>
      <c r="S129" s="54"/>
      <c r="T129" s="54" t="str">
        <f t="shared" si="42"/>
        <v>Fluidized Bed System from Rational Lab Solutions (RLS)</v>
      </c>
      <c r="U129" s="54"/>
      <c r="V129" s="54" t="s">
        <v>2673</v>
      </c>
      <c r="W129" s="54" t="str">
        <f t="shared" si="43"/>
        <v>See other Pilot Scale Systems products</v>
      </c>
      <c r="X129" s="54" t="str">
        <f t="shared" si="44"/>
        <v>Pilot Scale Systems enquiry → website group enquiry form → category owner assignment</v>
      </c>
      <c r="Y129" s="54" t="str">
        <f t="shared" si="45"/>
        <v>Fluidized Bed System, Pilot Scale Systems, Rational Lab Solutions (RLS), technical equipment, DIWAN</v>
      </c>
      <c r="Z129" s="54" t="s">
        <v>2249</v>
      </c>
      <c r="AA129" s="55">
        <v>46257</v>
      </c>
      <c r="AB129" s="54" t="s">
        <v>2465</v>
      </c>
      <c r="AC129" s="63" t="str">
        <f t="shared" si="46"/>
        <v>Content drafted - assets/specs pending</v>
      </c>
      <c r="AD129"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29" s="58"/>
      <c r="AF129" s="58"/>
      <c r="AG129" s="58" t="s">
        <v>2467</v>
      </c>
      <c r="AH129" s="58" t="s">
        <v>2468</v>
      </c>
      <c r="AI129" s="58" t="s">
        <v>2469</v>
      </c>
    </row>
    <row r="130" spans="1:35" ht="42" customHeight="1" thickBot="1" x14ac:dyDescent="0.4">
      <c r="A130" s="69">
        <f t="shared" si="24"/>
        <v>30</v>
      </c>
      <c r="B130" s="70" t="s">
        <v>158</v>
      </c>
      <c r="C130" s="71" t="s">
        <v>7</v>
      </c>
      <c r="D130" s="72" t="s">
        <v>8</v>
      </c>
      <c r="E130" s="45" t="s">
        <v>163</v>
      </c>
      <c r="F130" s="49" t="s">
        <v>2993</v>
      </c>
      <c r="G130" s="45" t="s">
        <v>3045</v>
      </c>
      <c r="H130" s="47">
        <v>46257</v>
      </c>
      <c r="I130" s="48" t="s">
        <v>1640</v>
      </c>
      <c r="J130" s="48" t="s">
        <v>927</v>
      </c>
      <c r="K130" s="48" t="str">
        <f t="shared" si="38"/>
        <v>Tubular Reactor System is a pilot scale systems product from Rational Lab Solutions (RLS) for application-specific laboratory, engineering or industrial use.</v>
      </c>
      <c r="L130" s="48" t="str">
        <f t="shared" si="39"/>
        <v>Tubular Reactor System from Rational Lab Solutions (RLS) for pilot scale systems applications. Review configuration requirements and request technical information or a quotation from DIWAN.</v>
      </c>
      <c r="M130" s="48" t="s">
        <v>2020</v>
      </c>
      <c r="N130" s="61" t="s">
        <v>2672</v>
      </c>
      <c r="O130" s="54" t="str" cm="1">
        <f t="array" ref="O130">_xlfn.LET(_xlpm.n,LOWER(E130),_xlpm.c,LOWER(B130),_xlpm.t,_xlfn.IFS(OR(ISNUMBER(SEARCH("lens",_xlpm.n)),ISNUMBER(SEARCH("optic",_xlpm.n)),ISNUMBER(SEARCH("polarizer",_xlpm.n))),"precision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"),E130&amp;" is "&amp;_xlpm.art&amp;_xlpm.t&amp;" from "&amp;C130&amp;" designed for application-specific laboratory, engineering or industrial use. It belongs to DIWAN's "&amp;B130&amp;" portfolio; final configuration must be selected against performance, integration and compliance requirements.")</f>
        <v>Tubular Reactor System is a laboratory or pilot-process system from Rational Lab Solutions (RLS) designed for application-specific laboratory, engineering or industrial use. It belongs to DIWAN's Pilot Scale Systems portfolio; final configuration must be selected against performance, integration and compliance requirements.</v>
      </c>
      <c r="P130" s="54" t="str">
        <f t="shared" si="40"/>
        <v>Selection should confirm the model-specific operating range, capacity, accuracy, interfaces, utilities, accessories, standards, environmental limits and service requirements. Final capabilities depend on the approved Tubular Reactor System configuration.</v>
      </c>
      <c r="Q130" s="54"/>
      <c r="R130" s="54" t="str">
        <f t="shared" si="41"/>
        <v>Pilot Scale Systems applications; laboratory research, engineering development, quality control and industrial deployment where applicable. Suitability must be confirmed against the user's sample, process, environment and required standards.</v>
      </c>
      <c r="S130" s="54"/>
      <c r="T130" s="54" t="str">
        <f t="shared" si="42"/>
        <v>Tubular Reactor System from Rational Lab Solutions (RLS)</v>
      </c>
      <c r="U130" s="54"/>
      <c r="V130" s="54" t="s">
        <v>2673</v>
      </c>
      <c r="W130" s="54" t="str">
        <f t="shared" si="43"/>
        <v>See other Pilot Scale Systems products</v>
      </c>
      <c r="X130" s="54" t="str">
        <f t="shared" si="44"/>
        <v>Pilot Scale Systems enquiry → website group enquiry form → category owner assignment</v>
      </c>
      <c r="Y130" s="54" t="str">
        <f t="shared" si="45"/>
        <v>Tubular Reactor System, Pilot Scale Systems, Rational Lab Solutions (RLS), technical equipment, DIWAN</v>
      </c>
      <c r="Z130" s="54" t="s">
        <v>2249</v>
      </c>
      <c r="AA130" s="55">
        <v>46257</v>
      </c>
      <c r="AB130" s="54" t="s">
        <v>2465</v>
      </c>
      <c r="AC130" s="63" t="str">
        <f t="shared" si="46"/>
        <v>Content drafted - assets/specs pending</v>
      </c>
      <c r="AD130"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0" s="58"/>
      <c r="AF130" s="58"/>
      <c r="AG130" s="58" t="s">
        <v>2467</v>
      </c>
      <c r="AH130" s="58" t="s">
        <v>2468</v>
      </c>
      <c r="AI130" s="58" t="s">
        <v>2469</v>
      </c>
    </row>
    <row r="131" spans="1:35" ht="42" customHeight="1" x14ac:dyDescent="0.35">
      <c r="A131" s="69">
        <f t="shared" si="24"/>
        <v>31</v>
      </c>
      <c r="B131" s="74" t="s">
        <v>164</v>
      </c>
      <c r="C131" s="75" t="s">
        <v>7</v>
      </c>
      <c r="D131" s="76" t="s">
        <v>8</v>
      </c>
      <c r="E131" s="77" t="s">
        <v>165</v>
      </c>
      <c r="F131" s="86" t="s">
        <v>2994</v>
      </c>
      <c r="G131" s="77" t="s">
        <v>3045</v>
      </c>
      <c r="H131" s="79">
        <v>46257</v>
      </c>
      <c r="I131" s="80" t="s">
        <v>1641</v>
      </c>
      <c r="J131" s="80" t="s">
        <v>928</v>
      </c>
      <c r="K131" s="80" t="str">
        <f t="shared" si="38"/>
        <v>Pyrolysis Reactor System is a reactor applications &amp; custom systems product from Rational Lab Solutions (RLS) for application-specific laboratory, engineering or industrial use.</v>
      </c>
      <c r="L131" s="80" t="str">
        <f t="shared" si="39"/>
        <v>Pyrolysis Reactor System from Rational Lab Solutions (RLS) for reactor applications &amp; custom systems applications. Review configuration requirements and request technical information or a quotation from DIWAN.</v>
      </c>
      <c r="M131" s="80" t="s">
        <v>2020</v>
      </c>
      <c r="N131" s="81" t="s">
        <v>2672</v>
      </c>
      <c r="O131" s="82" t="str" cm="1">
        <f t="array" ref="O131">_xlfn.LET(_xlpm.n,LOWER(E131),_xlpm.c,LOWER(B131),_xlpm.t,_xlfn.IFS(OR(ISNUMBER(SEARCH("lens",_xlpm.n)),ISNUMBER(SEARCH("optic",_xlpm.n)),ISNUMBER(SEARCH("polarizer",_xlpm.n))),"precision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"),E131&amp;" is "&amp;_xlpm.art&amp;_xlpm.t&amp;" from "&amp;C131&amp;" designed for application-specific laboratory, engineering or industrial use. It belongs to DIWAN's "&amp;B131&amp;" portfolio; final configuration must be selected against performance, integration and compliance requirements.")</f>
        <v>Pyrolysis Reactor System is a laboratory or pilot-process system from Rational Lab Solutions (RLS) designed for application-specific laboratory, engineering or industrial use. It belongs to DIWAN's Reactor Applications &amp; Custom Systems portfolio; final configuration must be selected against performance, integration and compliance requirements.</v>
      </c>
      <c r="P131" s="82" t="str">
        <f t="shared" si="40"/>
        <v>Selection should confirm the model-specific operating range, capacity, accuracy, interfaces, utilities, accessories, standards, environmental limits and service requirements. Final capabilities depend on the approved Pyrolysis Reactor System configuration.</v>
      </c>
      <c r="Q131" s="82"/>
      <c r="R131" s="82" t="str">
        <f t="shared" si="41"/>
        <v>Reactor Applications &amp; Custom Systems applications; laboratory research, engineering development, quality control and industrial deployment where applicable. Suitability must be confirmed against the user's sample, process, environment and required standards.</v>
      </c>
      <c r="S131" s="82"/>
      <c r="T131" s="82" t="str">
        <f t="shared" si="42"/>
        <v>Pyrolysis Reactor System from Rational Lab Solutions (RLS)</v>
      </c>
      <c r="U131" s="82"/>
      <c r="V131" s="82" t="s">
        <v>2673</v>
      </c>
      <c r="W131" s="82" t="str">
        <f t="shared" si="43"/>
        <v>See other Reactor Applications &amp; Custom Systems products</v>
      </c>
      <c r="X131" s="82" t="str">
        <f t="shared" si="44"/>
        <v>Reactor Applications &amp; Custom Systems enquiry → website group enquiry form → category owner assignment</v>
      </c>
      <c r="Y131" s="82" t="str">
        <f t="shared" si="45"/>
        <v>Pyrolysis Reactor System, Reactor Applications &amp; Custom Systems, Rational Lab Solutions (RLS), technical equipment, DIWAN</v>
      </c>
      <c r="Z131" s="82" t="s">
        <v>2250</v>
      </c>
      <c r="AA131" s="83">
        <v>46257</v>
      </c>
      <c r="AB131" s="82" t="s">
        <v>2465</v>
      </c>
      <c r="AC131" s="84" t="str">
        <f t="shared" si="46"/>
        <v>Content drafted - assets/specs pending</v>
      </c>
      <c r="AD131"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1" s="85"/>
      <c r="AF131" s="85"/>
      <c r="AG131" s="85" t="s">
        <v>2467</v>
      </c>
      <c r="AH131" s="85" t="s">
        <v>2468</v>
      </c>
      <c r="AI131" s="85" t="s">
        <v>2469</v>
      </c>
    </row>
    <row r="132" spans="1:35" ht="42" customHeight="1" x14ac:dyDescent="0.35">
      <c r="A132" s="69">
        <f t="shared" ref="A132:A195" si="48">IF(B132=B131,A131,A131+1)</f>
        <v>31</v>
      </c>
      <c r="B132" s="70" t="s">
        <v>164</v>
      </c>
      <c r="C132" s="71" t="s">
        <v>7</v>
      </c>
      <c r="D132" s="72" t="s">
        <v>8</v>
      </c>
      <c r="E132" s="45" t="s">
        <v>166</v>
      </c>
      <c r="F132" s="49" t="s">
        <v>2994</v>
      </c>
      <c r="G132" s="45" t="s">
        <v>3045</v>
      </c>
      <c r="H132" s="47">
        <v>46257</v>
      </c>
      <c r="I132" s="48" t="s">
        <v>1642</v>
      </c>
      <c r="J132" s="48" t="s">
        <v>929</v>
      </c>
      <c r="K132" s="48" t="str">
        <f t="shared" si="38"/>
        <v>Polymerization Reactor System is a reactor applications &amp; custom systems product from Rational Lab Solutions (RLS) for application-specific laboratory, engineering or industrial use.</v>
      </c>
      <c r="L132" s="48" t="str">
        <f t="shared" si="39"/>
        <v>Polymerization Reactor System from Rational Lab Solutions (RLS) for reactor applications &amp; custom systems applications. Review configuration requirements and request technical information or a quotation from DIWAN.</v>
      </c>
      <c r="M132" s="48" t="s">
        <v>2020</v>
      </c>
      <c r="N132" s="61" t="s">
        <v>2672</v>
      </c>
      <c r="O132" s="54" t="str" cm="1">
        <f t="array" ref="O132">_xlfn.LET(_xlpm.n,LOWER(E132),_xlpm.c,LOWER(B132),_xlpm.t,_xlfn.IFS(OR(ISNUMBER(SEARCH("lens",_xlpm.n)),ISNUMBER(SEARCH("optic",_xlpm.n)),ISNUMBER(SEARCH("polarizer",_xlpm.n))),"precision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"),E132&amp;" is "&amp;_xlpm.art&amp;_xlpm.t&amp;" from "&amp;C132&amp;" designed for application-specific laboratory, engineering or industrial use. It belongs to DIWAN's "&amp;B132&amp;" portfolio; final configuration must be selected against performance, integration and compliance requirements.")</f>
        <v>Polymerization Reactor System is a laboratory or pilot-process system from Rational Lab Solutions (RLS) designed for application-specific laboratory, engineering or industrial use. It belongs to DIWAN's Reactor Applications &amp; Custom Systems portfolio; final configuration must be selected against performance, integration and compliance requirements.</v>
      </c>
      <c r="P132" s="54" t="str">
        <f t="shared" si="40"/>
        <v>Selection should confirm the model-specific operating range, capacity, accuracy, interfaces, utilities, accessories, standards, environmental limits and service requirements. Final capabilities depend on the approved Polymerization Reactor System configuration.</v>
      </c>
      <c r="Q132" s="54"/>
      <c r="R132" s="54" t="str">
        <f t="shared" si="41"/>
        <v>Reactor Applications &amp; Custom Systems applications; laboratory research, engineering development, quality control and industrial deployment where applicable. Suitability must be confirmed against the user's sample, process, environment and required standards.</v>
      </c>
      <c r="S132" s="54"/>
      <c r="T132" s="54" t="str">
        <f t="shared" si="42"/>
        <v>Polymerization Reactor System from Rational Lab Solutions (RLS)</v>
      </c>
      <c r="U132" s="54"/>
      <c r="V132" s="54" t="s">
        <v>2673</v>
      </c>
      <c r="W132" s="54" t="str">
        <f t="shared" si="43"/>
        <v>See other Reactor Applications &amp; Custom Systems products</v>
      </c>
      <c r="X132" s="54" t="str">
        <f t="shared" si="44"/>
        <v>Reactor Applications &amp; Custom Systems enquiry → website group enquiry form → category owner assignment</v>
      </c>
      <c r="Y132" s="54" t="str">
        <f t="shared" si="45"/>
        <v>Polymerization Reactor System, Reactor Applications &amp; Custom Systems, Rational Lab Solutions (RLS), technical equipment, DIWAN</v>
      </c>
      <c r="Z132" s="54" t="s">
        <v>2250</v>
      </c>
      <c r="AA132" s="55">
        <v>46257</v>
      </c>
      <c r="AB132" s="54" t="s">
        <v>2465</v>
      </c>
      <c r="AC132" s="63" t="str">
        <f t="shared" si="46"/>
        <v>Content drafted - assets/specs pending</v>
      </c>
      <c r="AD132"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2" s="58"/>
      <c r="AF132" s="58"/>
      <c r="AG132" s="58" t="s">
        <v>2467</v>
      </c>
      <c r="AH132" s="58" t="s">
        <v>2468</v>
      </c>
      <c r="AI132" s="58" t="s">
        <v>2469</v>
      </c>
    </row>
    <row r="133" spans="1:35" ht="42" customHeight="1" x14ac:dyDescent="0.35">
      <c r="A133" s="69">
        <f t="shared" si="48"/>
        <v>31</v>
      </c>
      <c r="B133" s="70" t="s">
        <v>164</v>
      </c>
      <c r="C133" s="71" t="s">
        <v>7</v>
      </c>
      <c r="D133" s="72" t="s">
        <v>8</v>
      </c>
      <c r="E133" s="45" t="s">
        <v>167</v>
      </c>
      <c r="F133" s="49" t="s">
        <v>2994</v>
      </c>
      <c r="G133" s="45" t="s">
        <v>3045</v>
      </c>
      <c r="H133" s="47">
        <v>46257</v>
      </c>
      <c r="I133" s="48" t="s">
        <v>1643</v>
      </c>
      <c r="J133" s="48" t="s">
        <v>930</v>
      </c>
      <c r="K133" s="48" t="str">
        <f t="shared" si="38"/>
        <v>Custom-Designed Reactor / Process System is a reactor applications &amp; custom systems product from Rational Lab Solutions (RLS) for application-specific laboratory, engineering or industrial use.</v>
      </c>
      <c r="L133" s="48" t="str">
        <f t="shared" si="39"/>
        <v>Custom-Designed Reactor / Process System from Rational Lab Solutions (RLS) for reactor applications &amp; custom systems applications. Review configuration requirements and request technical information or a quotation from DIWAN.</v>
      </c>
      <c r="M133" s="48" t="s">
        <v>2020</v>
      </c>
      <c r="N133" s="61" t="s">
        <v>2672</v>
      </c>
      <c r="O133" s="54" t="str" cm="1">
        <f t="array" ref="O133">_xlfn.LET(_xlpm.n,LOWER(E133),_xlpm.c,LOWER(B133),_xlpm.t,_xlfn.IFS(OR(ISNUMBER(SEARCH("lens",_xlpm.n)),ISNUMBER(SEARCH("optic",_xlpm.n)),ISNUMBER(SEARCH("polarizer",_xlpm.n))),"precision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"),E133&amp;" is "&amp;_xlpm.art&amp;_xlpm.t&amp;" from "&amp;C133&amp;" designed for application-specific laboratory, engineering or industrial use. It belongs to DIWAN's "&amp;B133&amp;" portfolio; final configuration must be selected against performance, integration and compliance requirements.")</f>
        <v>Custom-Designed Reactor / Process System is a laboratory or pilot-process system from Rational Lab Solutions (RLS) designed for application-specific laboratory, engineering or industrial use. It belongs to DIWAN's Reactor Applications &amp; Custom Systems portfolio; final configuration must be selected against performance, integration and compliance requirements.</v>
      </c>
      <c r="P133" s="54" t="str">
        <f t="shared" si="40"/>
        <v>Selection should confirm the model-specific operating range, capacity, accuracy, interfaces, utilities, accessories, standards, environmental limits and service requirements. Final capabilities depend on the approved Custom-Designed Reactor / Process System configuration.</v>
      </c>
      <c r="Q133" s="54"/>
      <c r="R133" s="54" t="str">
        <f t="shared" si="41"/>
        <v>Reactor Applications &amp; Custom Systems applications; laboratory research, engineering development, quality control and industrial deployment where applicable. Suitability must be confirmed against the user's sample, process, environment and required standards.</v>
      </c>
      <c r="S133" s="54"/>
      <c r="T133" s="54" t="str">
        <f t="shared" si="42"/>
        <v>Custom-Designed Reactor / Process System from Rational Lab Solutions (RLS)</v>
      </c>
      <c r="U133" s="54"/>
      <c r="V133" s="54" t="s">
        <v>2673</v>
      </c>
      <c r="W133" s="54" t="str">
        <f t="shared" si="43"/>
        <v>See other Reactor Applications &amp; Custom Systems products</v>
      </c>
      <c r="X133" s="54" t="str">
        <f t="shared" si="44"/>
        <v>Reactor Applications &amp; Custom Systems enquiry → website group enquiry form → category owner assignment</v>
      </c>
      <c r="Y133" s="54" t="str">
        <f t="shared" si="45"/>
        <v>Custom-Designed Reactor / Process System, Reactor Applications &amp; Custom Systems, Rational Lab Solutions (RLS), technical equipment, DIWAN</v>
      </c>
      <c r="Z133" s="54" t="s">
        <v>2250</v>
      </c>
      <c r="AA133" s="55">
        <v>46257</v>
      </c>
      <c r="AB133" s="54" t="s">
        <v>2465</v>
      </c>
      <c r="AC133" s="63" t="str">
        <f t="shared" si="46"/>
        <v>Content drafted - assets/specs pending</v>
      </c>
      <c r="AD133"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3" s="58"/>
      <c r="AF133" s="58"/>
      <c r="AG133" s="58" t="s">
        <v>2467</v>
      </c>
      <c r="AH133" s="58" t="s">
        <v>2468</v>
      </c>
      <c r="AI133" s="58" t="s">
        <v>2469</v>
      </c>
    </row>
    <row r="134" spans="1:35" ht="42" customHeight="1" thickBot="1" x14ac:dyDescent="0.4">
      <c r="A134" s="69">
        <f t="shared" si="48"/>
        <v>31</v>
      </c>
      <c r="B134" s="70" t="s">
        <v>164</v>
      </c>
      <c r="C134" s="71" t="s">
        <v>7</v>
      </c>
      <c r="D134" s="72" t="s">
        <v>8</v>
      </c>
      <c r="E134" s="45" t="s">
        <v>168</v>
      </c>
      <c r="F134" s="49" t="s">
        <v>2994</v>
      </c>
      <c r="G134" s="45" t="s">
        <v>3045</v>
      </c>
      <c r="H134" s="47">
        <v>46257</v>
      </c>
      <c r="I134" s="48" t="s">
        <v>1644</v>
      </c>
      <c r="J134" s="48" t="s">
        <v>931</v>
      </c>
      <c r="K134" s="48" t="str">
        <f t="shared" si="38"/>
        <v>Demonstration Plant is a reactor applications &amp; custom systems product from Rational Lab Solutions (RLS) for application-specific laboratory, engineering or industrial use.</v>
      </c>
      <c r="L134" s="48" t="str">
        <f t="shared" si="39"/>
        <v>Demonstration Plant from Rational Lab Solutions (RLS) for reactor applications &amp; custom systems applications. Review configuration requirements and request technical information or a quotation from DIWAN.</v>
      </c>
      <c r="M134" s="48" t="s">
        <v>2020</v>
      </c>
      <c r="N134" s="61" t="s">
        <v>2672</v>
      </c>
      <c r="O134" s="54" t="str" cm="1">
        <f t="array" ref="O134">_xlfn.LET(_xlpm.n,LOWER(E134),_xlpm.c,LOWER(B134),_xlpm.t,_xlfn.IFS(OR(ISNUMBER(SEARCH("lens",_xlpm.n)),ISNUMBER(SEARCH("optic",_xlpm.n)),ISNUMBER(SEARCH("polarizer",_xlpm.n))),"precision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"),E134&amp;" is "&amp;_xlpm.art&amp;_xlpm.t&amp;" from "&amp;C134&amp;" designed for application-specific laboratory, engineering or industrial use. It belongs to DIWAN's "&amp;B134&amp;" portfolio; final configuration must be selected against performance, integration and compliance requirements.")</f>
        <v>Demonstration Plant is a specialized reactor applications &amp; custom systems product from Rational Lab Solutions (RLS) designed for application-specific laboratory, engineering or industrial use. It belongs to DIWAN's Reactor Applications &amp; Custom Systems portfolio; final configuration must be selected against performance, integration and compliance requirements.</v>
      </c>
      <c r="P134" s="54" t="str">
        <f t="shared" si="40"/>
        <v>Selection should confirm the model-specific operating range, capacity, accuracy, interfaces, utilities, accessories, standards, environmental limits and service requirements. Final capabilities depend on the approved Demonstration Plant configuration.</v>
      </c>
      <c r="Q134" s="54"/>
      <c r="R134" s="54" t="str">
        <f t="shared" si="41"/>
        <v>Reactor Applications &amp; Custom Systems applications; laboratory research, engineering development, quality control and industrial deployment where applicable. Suitability must be confirmed against the user's sample, process, environment and required standards.</v>
      </c>
      <c r="S134" s="54"/>
      <c r="T134" s="54" t="str">
        <f t="shared" si="42"/>
        <v>Demonstration Plant from Rational Lab Solutions (RLS)</v>
      </c>
      <c r="U134" s="54"/>
      <c r="V134" s="54" t="s">
        <v>2673</v>
      </c>
      <c r="W134" s="54" t="str">
        <f t="shared" si="43"/>
        <v>See other Reactor Applications &amp; Custom Systems products</v>
      </c>
      <c r="X134" s="54" t="str">
        <f t="shared" si="44"/>
        <v>Reactor Applications &amp; Custom Systems enquiry → website group enquiry form → category owner assignment</v>
      </c>
      <c r="Y134" s="54" t="str">
        <f t="shared" si="45"/>
        <v>Demonstration Plant, Reactor Applications &amp; Custom Systems, Rational Lab Solutions (RLS), technical equipment, DIWAN</v>
      </c>
      <c r="Z134" s="54" t="s">
        <v>2250</v>
      </c>
      <c r="AA134" s="55">
        <v>46257</v>
      </c>
      <c r="AB134" s="54" t="s">
        <v>2465</v>
      </c>
      <c r="AC134" s="63" t="str">
        <f t="shared" si="46"/>
        <v>Content drafted - assets/specs pending</v>
      </c>
      <c r="AD134"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4" s="58"/>
      <c r="AF134" s="58"/>
      <c r="AG134" s="58" t="s">
        <v>2467</v>
      </c>
      <c r="AH134" s="58" t="s">
        <v>2468</v>
      </c>
      <c r="AI134" s="58" t="s">
        <v>2469</v>
      </c>
    </row>
    <row r="135" spans="1:35" ht="42" customHeight="1" thickBot="1" x14ac:dyDescent="0.4">
      <c r="A135" s="69">
        <f t="shared" si="48"/>
        <v>32</v>
      </c>
      <c r="B135" s="74" t="s">
        <v>169</v>
      </c>
      <c r="C135" s="75" t="s">
        <v>9</v>
      </c>
      <c r="D135" s="76" t="s">
        <v>10</v>
      </c>
      <c r="E135" s="77" t="s">
        <v>170</v>
      </c>
      <c r="F135" s="86" t="s">
        <v>2995</v>
      </c>
      <c r="G135" s="77" t="s">
        <v>3045</v>
      </c>
      <c r="H135" s="79">
        <v>46257</v>
      </c>
      <c r="I135" s="80" t="s">
        <v>1645</v>
      </c>
      <c r="J135" s="80" t="s">
        <v>932</v>
      </c>
      <c r="K135" s="80" t="str">
        <f t="shared" si="38"/>
        <v>ADD Filament Winding System is a composite manufacturing product from Addcomposites for application-specific laboratory, engineering or industrial use.</v>
      </c>
      <c r="L135" s="80" t="str">
        <f t="shared" si="39"/>
        <v>ADD Filament Winding System from Addcomposites for composite manufacturing applications. Review configuration requirements and request technical information or a quotation from DIWAN.</v>
      </c>
      <c r="M135" s="80" t="s">
        <v>2020</v>
      </c>
      <c r="N135" s="81" t="s">
        <v>2672</v>
      </c>
      <c r="O135" s="82" t="str" cm="1">
        <f t="array" ref="O135">_xlfn.LET(_xlpm.n,LOWER(E135),_xlpm.c,LOWER(B135),_xlpm.t,_xlfn.IFS(OR(ISNUMBER(SEARCH("lens",_xlpm.n)),ISNUMBER(SEARCH("optic",_xlpm.n)),ISNUMBER(SEARCH("polarizer",_xlpm.n))),"precision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"),E135&amp;" is "&amp;_xlpm.art&amp;_xlpm.t&amp;" from "&amp;C135&amp;" designed for application-specific laboratory, engineering or industrial use. It belongs to DIWAN's "&amp;B135&amp;" portfolio; final configuration must be selected against performance, integration and compliance requirements.")</f>
        <v>ADD Filament Winding System is a specialized composite manufacturing product from Addcomposites designed for application-specific laboratory, engineering or industrial use. It belongs to DIWAN's Composite Manufacturing portfolio; final configuration must be selected against performance, integration and compliance requirements.</v>
      </c>
      <c r="P135" s="82" t="str">
        <f t="shared" si="40"/>
        <v>Selection should confirm the model-specific operating range, capacity, accuracy, interfaces, utilities, accessories, standards, environmental limits and service requirements. Final capabilities depend on the approved ADD Filament Winding System configuration.</v>
      </c>
      <c r="Q135" s="82"/>
      <c r="R135" s="82" t="str">
        <f t="shared" si="41"/>
        <v>Composite Manufacturing applications; laboratory research, engineering development, quality control and industrial deployment where applicable. Suitability must be confirmed against the user's sample, process, environment and required standards.</v>
      </c>
      <c r="S135" s="82" t="s">
        <v>2932</v>
      </c>
      <c r="T135" s="82" t="str">
        <f t="shared" si="42"/>
        <v>ADD Filament Winding System from Addcomposites</v>
      </c>
      <c r="U135" s="82"/>
      <c r="V135" s="82" t="s">
        <v>2673</v>
      </c>
      <c r="W135" s="82" t="str">
        <f t="shared" si="43"/>
        <v>See other Composite Manufacturing products</v>
      </c>
      <c r="X135" s="82" t="str">
        <f t="shared" si="44"/>
        <v>Composite Manufacturing enquiry → website group enquiry form → category owner assignment</v>
      </c>
      <c r="Y135" s="82" t="str">
        <f t="shared" si="45"/>
        <v>ADD Filament Winding System, Composite Manufacturing, Addcomposites, technical equipment, DIWAN</v>
      </c>
      <c r="Z135" s="82" t="s">
        <v>2251</v>
      </c>
      <c r="AA135" s="83">
        <v>46257</v>
      </c>
      <c r="AB135" s="82" t="s">
        <v>2465</v>
      </c>
      <c r="AC135" s="84" t="str">
        <f t="shared" si="46"/>
        <v>Content drafted - assets/specs pending</v>
      </c>
      <c r="AD135"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5" s="85"/>
      <c r="AF135" s="85" t="s">
        <v>2950</v>
      </c>
      <c r="AG135" s="85" t="s">
        <v>2467</v>
      </c>
      <c r="AH135" s="85" t="s">
        <v>2468</v>
      </c>
      <c r="AI135" s="85" t="s">
        <v>2469</v>
      </c>
    </row>
    <row r="136" spans="1:35" ht="42" customHeight="1" x14ac:dyDescent="0.35">
      <c r="A136" s="69">
        <f t="shared" si="48"/>
        <v>33</v>
      </c>
      <c r="B136" s="74" t="s">
        <v>171</v>
      </c>
      <c r="C136" s="75" t="s">
        <v>9</v>
      </c>
      <c r="D136" s="76" t="s">
        <v>10</v>
      </c>
      <c r="E136" s="77" t="s">
        <v>172</v>
      </c>
      <c r="F136" s="86" t="s">
        <v>2996</v>
      </c>
      <c r="G136" s="77" t="s">
        <v>3045</v>
      </c>
      <c r="H136" s="79">
        <v>46257</v>
      </c>
      <c r="I136" s="80" t="s">
        <v>1646</v>
      </c>
      <c r="J136" s="80" t="s">
        <v>933</v>
      </c>
      <c r="K136" s="80" t="str">
        <f t="shared" si="38"/>
        <v>AFP-XS is an automated fiber placement product from Addcomposites for application-specific laboratory, engineering or industrial use.</v>
      </c>
      <c r="L136" s="80" t="str">
        <f t="shared" si="39"/>
        <v>AFP-XS from Addcomposites for automated fiber placement applications. Review configuration requirements and request technical information or a quotation from DIWAN.</v>
      </c>
      <c r="M136" s="80" t="s">
        <v>2020</v>
      </c>
      <c r="N136" s="81" t="s">
        <v>2672</v>
      </c>
      <c r="O136" s="82" t="str" cm="1">
        <f t="array" ref="O136">_xlfn.LET(_xlpm.n,LOWER(E136),_xlpm.c,LOWER(B136),_xlpm.t,_xlfn.IFS(OR(ISNUMBER(SEARCH("lens",_xlpm.n)),ISNUMBER(SEARCH("optic",_xlpm.n)),ISNUMBER(SEARCH("polarizer",_xlpm.n))),"precision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"),E136&amp;" is "&amp;_xlpm.art&amp;_xlpm.t&amp;" from "&amp;C136&amp;" designed for application-specific laboratory, engineering or industrial use. It belongs to DIWAN's "&amp;B136&amp;" portfolio; final configuration must be selected against performance, integration and compliance requirements.")</f>
        <v>AFP-XS is a specialized automated fiber placement product from Addcomposites designed for application-specific laboratory, engineering or industrial use. It belongs to DIWAN's Automated Fiber Placement portfolio; final configuration must be selected against performance, integration and compliance requirements.</v>
      </c>
      <c r="P136" s="82" t="str">
        <f t="shared" si="40"/>
        <v>Selection should confirm the model-specific operating range, capacity, accuracy, interfaces, utilities, accessories, standards, environmental limits and service requirements. Final capabilities depend on the approved AFP-XS configuration.</v>
      </c>
      <c r="Q136" s="82"/>
      <c r="R136" s="82" t="str">
        <f t="shared" si="41"/>
        <v>Automated Fiber Placement applications; laboratory research, engineering development, quality control and industrial deployment where applicable. Suitability must be confirmed against the user's sample, process, environment and required standards.</v>
      </c>
      <c r="S136" s="82" t="s">
        <v>2933</v>
      </c>
      <c r="T136" s="82" t="str">
        <f t="shared" si="42"/>
        <v>AFP-XS from Addcomposites</v>
      </c>
      <c r="U136" s="82"/>
      <c r="V136" s="82" t="s">
        <v>2673</v>
      </c>
      <c r="W136" s="82" t="str">
        <f t="shared" si="43"/>
        <v>See other Automated Fiber Placement products</v>
      </c>
      <c r="X136" s="82" t="str">
        <f t="shared" si="44"/>
        <v>Automated Fiber Placement enquiry → website group enquiry form → category owner assignment</v>
      </c>
      <c r="Y136" s="82" t="str">
        <f t="shared" si="45"/>
        <v>AFP-XS, Automated Fiber Placement, Addcomposites, technical equipment, DIWAN</v>
      </c>
      <c r="Z136" s="82" t="s">
        <v>2252</v>
      </c>
      <c r="AA136" s="83">
        <v>46257</v>
      </c>
      <c r="AB136" s="82" t="s">
        <v>2465</v>
      </c>
      <c r="AC136" s="84" t="str">
        <f t="shared" si="46"/>
        <v>Content drafted - assets/specs pending</v>
      </c>
      <c r="AD136"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6" s="85"/>
      <c r="AF136" s="85" t="s">
        <v>2951</v>
      </c>
      <c r="AG136" s="85" t="s">
        <v>2467</v>
      </c>
      <c r="AH136" s="85" t="s">
        <v>2468</v>
      </c>
      <c r="AI136" s="85" t="s">
        <v>2469</v>
      </c>
    </row>
    <row r="137" spans="1:35" ht="42" customHeight="1" thickBot="1" x14ac:dyDescent="0.4">
      <c r="A137" s="69">
        <f t="shared" si="48"/>
        <v>33</v>
      </c>
      <c r="B137" s="70" t="s">
        <v>171</v>
      </c>
      <c r="C137" s="71" t="s">
        <v>9</v>
      </c>
      <c r="D137" s="72" t="s">
        <v>10</v>
      </c>
      <c r="E137" s="45" t="s">
        <v>173</v>
      </c>
      <c r="F137" s="49" t="s">
        <v>2996</v>
      </c>
      <c r="G137" s="45" t="s">
        <v>3045</v>
      </c>
      <c r="H137" s="47">
        <v>46257</v>
      </c>
      <c r="I137" s="48" t="s">
        <v>1647</v>
      </c>
      <c r="J137" s="48" t="s">
        <v>934</v>
      </c>
      <c r="K137" s="48" t="str">
        <f t="shared" si="38"/>
        <v>AFP-X is an automated fiber placement product from Addcomposites for application-specific laboratory, engineering or industrial use.</v>
      </c>
      <c r="L137" s="48" t="str">
        <f t="shared" si="39"/>
        <v>AFP-X from Addcomposites for automated fiber placement applications. Review configuration requirements and request technical information or a quotation from DIWAN.</v>
      </c>
      <c r="M137" s="48" t="s">
        <v>2020</v>
      </c>
      <c r="N137" s="61" t="s">
        <v>2672</v>
      </c>
      <c r="O137" s="54" t="str" cm="1">
        <f t="array" ref="O137">_xlfn.LET(_xlpm.n,LOWER(E137),_xlpm.c,LOWER(B137),_xlpm.t,_xlfn.IFS(OR(ISNUMBER(SEARCH("lens",_xlpm.n)),ISNUMBER(SEARCH("optic",_xlpm.n)),ISNUMBER(SEARCH("polarizer",_xlpm.n))),"precision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"),E137&amp;" is "&amp;_xlpm.art&amp;_xlpm.t&amp;" from "&amp;C137&amp;" designed for application-specific laboratory, engineering or industrial use. It belongs to DIWAN's "&amp;B137&amp;" portfolio; final configuration must be selected against performance, integration and compliance requirements.")</f>
        <v>AFP-X is a specialized automated fiber placement product from Addcomposites designed for application-specific laboratory, engineering or industrial use. It belongs to DIWAN's Automated Fiber Placement portfolio; final configuration must be selected against performance, integration and compliance requirements.</v>
      </c>
      <c r="P137" s="54" t="str">
        <f t="shared" si="40"/>
        <v>Selection should confirm the model-specific operating range, capacity, accuracy, interfaces, utilities, accessories, standards, environmental limits and service requirements. Final capabilities depend on the approved AFP-X configuration.</v>
      </c>
      <c r="Q137" s="54"/>
      <c r="R137" s="54" t="str">
        <f t="shared" si="41"/>
        <v>Automated Fiber Placement applications; laboratory research, engineering development, quality control and industrial deployment where applicable. Suitability must be confirmed against the user's sample, process, environment and required standards.</v>
      </c>
      <c r="S137" s="54" t="s">
        <v>2934</v>
      </c>
      <c r="T137" s="54" t="str">
        <f t="shared" si="42"/>
        <v>AFP-X from Addcomposites</v>
      </c>
      <c r="U137" s="54"/>
      <c r="V137" s="54" t="s">
        <v>2673</v>
      </c>
      <c r="W137" s="54" t="str">
        <f t="shared" si="43"/>
        <v>See other Automated Fiber Placement products</v>
      </c>
      <c r="X137" s="54" t="str">
        <f t="shared" si="44"/>
        <v>Automated Fiber Placement enquiry → website group enquiry form → category owner assignment</v>
      </c>
      <c r="Y137" s="54" t="str">
        <f t="shared" si="45"/>
        <v>AFP-X, Automated Fiber Placement, Addcomposites, technical equipment, DIWAN</v>
      </c>
      <c r="Z137" s="54" t="s">
        <v>2253</v>
      </c>
      <c r="AA137" s="55">
        <v>46257</v>
      </c>
      <c r="AB137" s="54" t="s">
        <v>2465</v>
      </c>
      <c r="AC137" s="63" t="str">
        <f t="shared" si="46"/>
        <v>Content drafted - assets/specs pending</v>
      </c>
      <c r="AD13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7" s="58"/>
      <c r="AF137" s="58"/>
      <c r="AG137" s="58" t="s">
        <v>2467</v>
      </c>
      <c r="AH137" s="58" t="s">
        <v>2468</v>
      </c>
      <c r="AI137" s="58" t="s">
        <v>2469</v>
      </c>
    </row>
    <row r="138" spans="1:35" ht="42" customHeight="1" thickBot="1" x14ac:dyDescent="0.4">
      <c r="A138" s="69">
        <f t="shared" si="48"/>
        <v>34</v>
      </c>
      <c r="B138" s="74" t="s">
        <v>174</v>
      </c>
      <c r="C138" s="75" t="s">
        <v>9</v>
      </c>
      <c r="D138" s="76" t="s">
        <v>10</v>
      </c>
      <c r="E138" s="77" t="s">
        <v>175</v>
      </c>
      <c r="F138" s="86" t="s">
        <v>2997</v>
      </c>
      <c r="G138" s="77" t="s">
        <v>3045</v>
      </c>
      <c r="H138" s="79">
        <v>46257</v>
      </c>
      <c r="I138" s="80" t="s">
        <v>1648</v>
      </c>
      <c r="J138" s="80" t="s">
        <v>935</v>
      </c>
      <c r="K138" s="80" t="str">
        <f t="shared" si="38"/>
        <v>ADDX is a continuous-fiber 3d printing product from Addcomposites for application-specific laboratory, engineering or industrial use.</v>
      </c>
      <c r="L138" s="80" t="str">
        <f t="shared" si="39"/>
        <v>ADDX from Addcomposites for continuous-fiber 3d printing applications. Review configuration requirements and request technical information or a quotation from DIWAN.</v>
      </c>
      <c r="M138" s="80" t="s">
        <v>2020</v>
      </c>
      <c r="N138" s="81" t="s">
        <v>2672</v>
      </c>
      <c r="O138" s="82" t="str" cm="1">
        <f t="array" ref="O138">_xlfn.LET(_xlpm.n,LOWER(E138),_xlpm.c,LOWER(B138),_xlpm.t,_xlfn.IFS(OR(ISNUMBER(SEARCH("lens",_xlpm.n)),ISNUMBER(SEARCH("optic",_xlpm.n)),ISNUMBER(SEARCH("polarizer",_xlpm.n))),"precision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"),E138&amp;" is "&amp;_xlpm.art&amp;_xlpm.t&amp;" from "&amp;C138&amp;" designed for application-specific laboratory, engineering or industrial use. It belongs to DIWAN's "&amp;B138&amp;" portfolio; final configuration must be selected against performance, integration and compliance requirements.")</f>
        <v>ADDX is a specialized continuous-fiber 3d printing product from Addcomposites designed for application-specific laboratory, engineering or industrial use. It belongs to DIWAN's Continuous-Fiber 3D Printing portfolio; final configuration must be selected against performance, integration and compliance requirements.</v>
      </c>
      <c r="P138" s="82" t="str">
        <f t="shared" si="40"/>
        <v>Selection should confirm the model-specific operating range, capacity, accuracy, interfaces, utilities, accessories, standards, environmental limits and service requirements. Final capabilities depend on the approved ADDX configuration.</v>
      </c>
      <c r="Q138" s="82"/>
      <c r="R138" s="82" t="str">
        <f t="shared" si="41"/>
        <v>Continuous-Fiber 3D Printing applications; laboratory research, engineering development, quality control and industrial deployment where applicable. Suitability must be confirmed against the user's sample, process, environment and required standards.</v>
      </c>
      <c r="S138" s="82" t="s">
        <v>2935</v>
      </c>
      <c r="T138" s="82" t="str">
        <f t="shared" si="42"/>
        <v>ADDX from Addcomposites</v>
      </c>
      <c r="U138" s="82"/>
      <c r="V138" s="82" t="s">
        <v>2673</v>
      </c>
      <c r="W138" s="82" t="str">
        <f t="shared" si="43"/>
        <v>See other Continuous-Fiber 3D Printing products</v>
      </c>
      <c r="X138" s="82" t="str">
        <f t="shared" si="44"/>
        <v>Continuous-Fiber 3D Printing enquiry → website group enquiry form → category owner assignment</v>
      </c>
      <c r="Y138" s="82" t="str">
        <f t="shared" si="45"/>
        <v>ADDX, Continuous-Fiber 3D Printing, Addcomposites, technical equipment, DIWAN</v>
      </c>
      <c r="Z138" s="82" t="s">
        <v>2254</v>
      </c>
      <c r="AA138" s="83">
        <v>46257</v>
      </c>
      <c r="AB138" s="82" t="s">
        <v>2465</v>
      </c>
      <c r="AC138" s="84" t="str">
        <f t="shared" si="46"/>
        <v>Content drafted - assets/specs pending</v>
      </c>
      <c r="AD138"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8" s="85"/>
      <c r="AF138" s="85"/>
      <c r="AG138" s="85" t="s">
        <v>2467</v>
      </c>
      <c r="AH138" s="85" t="s">
        <v>2468</v>
      </c>
      <c r="AI138" s="85" t="s">
        <v>2469</v>
      </c>
    </row>
    <row r="139" spans="1:35" ht="42" customHeight="1" thickBot="1" x14ac:dyDescent="0.4">
      <c r="A139" s="69">
        <f t="shared" si="48"/>
        <v>35</v>
      </c>
      <c r="B139" s="74" t="s">
        <v>146</v>
      </c>
      <c r="C139" s="75" t="s">
        <v>9</v>
      </c>
      <c r="D139" s="76" t="s">
        <v>10</v>
      </c>
      <c r="E139" s="77" t="s">
        <v>176</v>
      </c>
      <c r="F139" s="86" t="s">
        <v>2991</v>
      </c>
      <c r="G139" s="77" t="s">
        <v>3045</v>
      </c>
      <c r="H139" s="79">
        <v>46257</v>
      </c>
      <c r="I139" s="80" t="s">
        <v>1649</v>
      </c>
      <c r="J139" s="80" t="s">
        <v>936</v>
      </c>
      <c r="K139" s="80" t="str">
        <f t="shared" si="38"/>
        <v>AddPath is a software product from Addcomposites for application-specific laboratory, engineering or industrial use.</v>
      </c>
      <c r="L139" s="80" t="str">
        <f t="shared" si="39"/>
        <v>AddPath from Addcomposites for software applications. Review configuration requirements and request technical information or a quotation from DIWAN.</v>
      </c>
      <c r="M139" s="80" t="s">
        <v>2020</v>
      </c>
      <c r="N139" s="81" t="s">
        <v>2672</v>
      </c>
      <c r="O139" s="82" t="str" cm="1">
        <f t="array" ref="O139">_xlfn.LET(_xlpm.n,LOWER(E139),_xlpm.c,LOWER(B139),_xlpm.t,_xlfn.IFS(OR(ISNUMBER(SEARCH("lens",_xlpm.n)),ISNUMBER(SEARCH("optic",_xlpm.n)),ISNUMBER(SEARCH("polarizer",_xlpm.n))),"precision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"),E139&amp;" is "&amp;_xlpm.art&amp;_xlpm.t&amp;" from "&amp;C139&amp;" designed for application-specific laboratory, engineering or industrial use. It belongs to DIWAN's "&amp;B139&amp;" portfolio; final configuration must be selected against performance, integration and compliance requirements.")</f>
        <v>AddPath is a specialized software product from Addcomposites designed for application-specific laboratory, engineering or industrial use. It belongs to DIWAN's Software portfolio; final configuration must be selected against performance, integration and compliance requirements.</v>
      </c>
      <c r="P139" s="82" t="str">
        <f t="shared" si="40"/>
        <v>Selection should confirm the model-specific operating range, capacity, accuracy, interfaces, utilities, accessories, standards, environmental limits and service requirements. Final capabilities depend on the approved AddPath configuration.</v>
      </c>
      <c r="Q139" s="82"/>
      <c r="R139" s="82" t="str">
        <f t="shared" si="41"/>
        <v>Software applications; laboratory research, engineering development, quality control and industrial deployment where applicable. Suitability must be confirmed against the user's sample, process, environment and required standards.</v>
      </c>
      <c r="S139" s="82" t="s">
        <v>2936</v>
      </c>
      <c r="T139" s="82" t="str">
        <f t="shared" si="42"/>
        <v>AddPath from Addcomposites</v>
      </c>
      <c r="U139" s="82"/>
      <c r="V139" s="82" t="s">
        <v>2673</v>
      </c>
      <c r="W139" s="82" t="str">
        <f t="shared" si="43"/>
        <v>See other Software products</v>
      </c>
      <c r="X139" s="82" t="str">
        <f t="shared" si="44"/>
        <v>Software enquiry → website group enquiry form → category owner assignment</v>
      </c>
      <c r="Y139" s="82" t="str">
        <f t="shared" si="45"/>
        <v>AddPath, Software, Addcomposites, technical equipment, DIWAN</v>
      </c>
      <c r="Z139" s="82" t="s">
        <v>2255</v>
      </c>
      <c r="AA139" s="83">
        <v>46257</v>
      </c>
      <c r="AB139" s="82" t="s">
        <v>2465</v>
      </c>
      <c r="AC139" s="84" t="str">
        <f t="shared" si="46"/>
        <v>Content drafted - assets/specs pending</v>
      </c>
      <c r="AD139"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39" s="85"/>
      <c r="AF139" s="85" t="s">
        <v>2952</v>
      </c>
      <c r="AG139" s="85" t="s">
        <v>2467</v>
      </c>
      <c r="AH139" s="85" t="s">
        <v>2468</v>
      </c>
      <c r="AI139" s="85" t="s">
        <v>2469</v>
      </c>
    </row>
    <row r="140" spans="1:35" ht="42" customHeight="1" x14ac:dyDescent="0.35">
      <c r="A140" s="69">
        <f t="shared" si="48"/>
        <v>36</v>
      </c>
      <c r="B140" s="74" t="s">
        <v>177</v>
      </c>
      <c r="C140" s="75" t="s">
        <v>9</v>
      </c>
      <c r="D140" s="76" t="s">
        <v>10</v>
      </c>
      <c r="E140" s="77" t="s">
        <v>178</v>
      </c>
      <c r="F140" s="86" t="s">
        <v>2998</v>
      </c>
      <c r="G140" s="77" t="s">
        <v>3045</v>
      </c>
      <c r="H140" s="79">
        <v>46257</v>
      </c>
      <c r="I140" s="80" t="s">
        <v>1650</v>
      </c>
      <c r="J140" s="80" t="s">
        <v>937</v>
      </c>
      <c r="K140" s="80" t="str">
        <f t="shared" si="38"/>
        <v>AddPrint is a software &amp; robotic cells product from Addcomposites for application-specific laboratory, engineering or industrial use.</v>
      </c>
      <c r="L140" s="80" t="str">
        <f t="shared" si="39"/>
        <v>AddPrint from Addcomposites for software &amp; robotic cells applications. Review configuration requirements and request technical information or a quotation from DIWAN.</v>
      </c>
      <c r="M140" s="80" t="s">
        <v>2020</v>
      </c>
      <c r="N140" s="81" t="s">
        <v>2672</v>
      </c>
      <c r="O140" s="82" t="str" cm="1">
        <f t="array" ref="O140">_xlfn.LET(_xlpm.n,LOWER(E140),_xlpm.c,LOWER(B140),_xlpm.t,_xlfn.IFS(OR(ISNUMBER(SEARCH("lens",_xlpm.n)),ISNUMBER(SEARCH("optic",_xlpm.n)),ISNUMBER(SEARCH("polarizer",_xlpm.n))),"precision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"),E140&amp;" is "&amp;_xlpm.art&amp;_xlpm.t&amp;" from "&amp;C140&amp;" designed for application-specific laboratory, engineering or industrial use. It belongs to DIWAN's "&amp;B140&amp;" portfolio; final configuration must be selected against performance, integration and compliance requirements.")</f>
        <v>AddPrint is a specialized software &amp; robotic cells product from Addcomposites designed for application-specific laboratory, engineering or industrial use. It belongs to DIWAN's Software &amp; Robotic Cells portfolio; final configuration must be selected against performance, integration and compliance requirements.</v>
      </c>
      <c r="P140" s="82" t="str">
        <f t="shared" si="40"/>
        <v>Selection should confirm the model-specific operating range, capacity, accuracy, interfaces, utilities, accessories, standards, environmental limits and service requirements. Final capabilities depend on the approved AddPrint configuration.</v>
      </c>
      <c r="Q140" s="82"/>
      <c r="R140" s="82" t="str">
        <f t="shared" si="41"/>
        <v>Software &amp; Robotic Cells applications; laboratory research, engineering development, quality control and industrial deployment where applicable. Suitability must be confirmed against the user's sample, process, environment and required standards.</v>
      </c>
      <c r="S140" s="82" t="s">
        <v>2937</v>
      </c>
      <c r="T140" s="82" t="str">
        <f t="shared" si="42"/>
        <v>AddPrint from Addcomposites</v>
      </c>
      <c r="U140" s="82"/>
      <c r="V140" s="82" t="s">
        <v>2673</v>
      </c>
      <c r="W140" s="82" t="str">
        <f t="shared" si="43"/>
        <v>See other Software &amp; Robotic Cells products</v>
      </c>
      <c r="X140" s="82" t="str">
        <f t="shared" si="44"/>
        <v>Software &amp; Robotic Cells enquiry → website group enquiry form → category owner assignment</v>
      </c>
      <c r="Y140" s="82" t="str">
        <f t="shared" si="45"/>
        <v>AddPrint, Software &amp; Robotic Cells, Addcomposites, technical equipment, DIWAN</v>
      </c>
      <c r="Z140" s="82" t="s">
        <v>20</v>
      </c>
      <c r="AA140" s="83">
        <v>46257</v>
      </c>
      <c r="AB140" s="82" t="s">
        <v>2465</v>
      </c>
      <c r="AC140" s="84" t="str">
        <f t="shared" si="46"/>
        <v>Content drafted - assets/specs pending</v>
      </c>
      <c r="AD140"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0" s="85"/>
      <c r="AF140" s="85"/>
      <c r="AG140" s="85" t="s">
        <v>2467</v>
      </c>
      <c r="AH140" s="85" t="s">
        <v>2468</v>
      </c>
      <c r="AI140" s="85" t="s">
        <v>2469</v>
      </c>
    </row>
    <row r="141" spans="1:35" ht="42" customHeight="1" thickBot="1" x14ac:dyDescent="0.4">
      <c r="A141" s="69">
        <f t="shared" si="48"/>
        <v>36</v>
      </c>
      <c r="B141" s="70" t="s">
        <v>177</v>
      </c>
      <c r="C141" s="71" t="s">
        <v>9</v>
      </c>
      <c r="D141" s="72" t="s">
        <v>10</v>
      </c>
      <c r="E141" s="45" t="s">
        <v>179</v>
      </c>
      <c r="F141" s="49" t="s">
        <v>2998</v>
      </c>
      <c r="G141" s="45" t="s">
        <v>3045</v>
      </c>
      <c r="H141" s="47">
        <v>46257</v>
      </c>
      <c r="I141" s="48" t="s">
        <v>1651</v>
      </c>
      <c r="J141" s="48" t="s">
        <v>938</v>
      </c>
      <c r="K141" s="48" t="str">
        <f t="shared" si="38"/>
        <v>AddCell is a software &amp; robotic cells product from Addcomposites for application-specific laboratory, engineering or industrial use.</v>
      </c>
      <c r="L141" s="48" t="str">
        <f t="shared" si="39"/>
        <v>AddCell from Addcomposites for software &amp; robotic cells applications. Review configuration requirements and request technical information or a quotation from DIWAN.</v>
      </c>
      <c r="M141" s="48" t="s">
        <v>2020</v>
      </c>
      <c r="N141" s="61" t="s">
        <v>2672</v>
      </c>
      <c r="O141" s="54" t="str" cm="1">
        <f t="array" ref="O141">_xlfn.LET(_xlpm.n,LOWER(E141),_xlpm.c,LOWER(B141),_xlpm.t,_xlfn.IFS(OR(ISNUMBER(SEARCH("lens",_xlpm.n)),ISNUMBER(SEARCH("optic",_xlpm.n)),ISNUMBER(SEARCH("polarizer",_xlpm.n))),"precision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"),E141&amp;" is "&amp;_xlpm.art&amp;_xlpm.t&amp;" from "&amp;C141&amp;" designed for application-specific laboratory, engineering or industrial use. It belongs to DIWAN's "&amp;B141&amp;" portfolio; final configuration must be selected against performance, integration and compliance requirements.")</f>
        <v>AddCell is a specialized software &amp; robotic cells product from Addcomposites designed for application-specific laboratory, engineering or industrial use. It belongs to DIWAN's Software &amp; Robotic Cells portfolio; final configuration must be selected against performance, integration and compliance requirements.</v>
      </c>
      <c r="P141" s="54" t="str">
        <f t="shared" si="40"/>
        <v>Selection should confirm the model-specific operating range, capacity, accuracy, interfaces, utilities, accessories, standards, environmental limits and service requirements. Final capabilities depend on the approved AddCell configuration.</v>
      </c>
      <c r="Q141" s="54"/>
      <c r="R141" s="54" t="str">
        <f t="shared" si="41"/>
        <v>Software &amp; Robotic Cells applications; laboratory research, engineering development, quality control and industrial deployment where applicable. Suitability must be confirmed against the user's sample, process, environment and required standards.</v>
      </c>
      <c r="S141" s="54" t="s">
        <v>2938</v>
      </c>
      <c r="T141" s="54" t="str">
        <f t="shared" si="42"/>
        <v>AddCell from Addcomposites</v>
      </c>
      <c r="U141" s="54"/>
      <c r="V141" s="54" t="s">
        <v>2673</v>
      </c>
      <c r="W141" s="54" t="str">
        <f t="shared" si="43"/>
        <v>See other Software &amp; Robotic Cells products</v>
      </c>
      <c r="X141" s="54" t="str">
        <f t="shared" si="44"/>
        <v>Software &amp; Robotic Cells enquiry → website group enquiry form → category owner assignment</v>
      </c>
      <c r="Y141" s="54" t="str">
        <f t="shared" si="45"/>
        <v>AddCell, Software &amp; Robotic Cells, Addcomposites, technical equipment, DIWAN</v>
      </c>
      <c r="Z141" s="54" t="s">
        <v>20</v>
      </c>
      <c r="AA141" s="55">
        <v>46257</v>
      </c>
      <c r="AB141" s="54" t="s">
        <v>2465</v>
      </c>
      <c r="AC141" s="63" t="str">
        <f t="shared" si="46"/>
        <v>Content drafted - assets/specs pending</v>
      </c>
      <c r="AD141"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1" s="58"/>
      <c r="AF141" s="58"/>
      <c r="AG141" s="58" t="s">
        <v>2467</v>
      </c>
      <c r="AH141" s="58" t="s">
        <v>2468</v>
      </c>
      <c r="AI141" s="58" t="s">
        <v>2469</v>
      </c>
    </row>
    <row r="142" spans="1:35" ht="42" customHeight="1" x14ac:dyDescent="0.35">
      <c r="A142" s="69">
        <f t="shared" si="48"/>
        <v>37</v>
      </c>
      <c r="B142" s="74" t="s">
        <v>180</v>
      </c>
      <c r="C142" s="75" t="s">
        <v>11</v>
      </c>
      <c r="D142" s="76" t="s">
        <v>12</v>
      </c>
      <c r="E142" s="77" t="s">
        <v>181</v>
      </c>
      <c r="F142" s="86" t="s">
        <v>2999</v>
      </c>
      <c r="G142" s="77" t="s">
        <v>3045</v>
      </c>
      <c r="H142" s="79">
        <v>46257</v>
      </c>
      <c r="I142" s="80" t="s">
        <v>1652</v>
      </c>
      <c r="J142" s="80" t="s">
        <v>939</v>
      </c>
      <c r="K142" s="80" t="str">
        <f t="shared" si="38"/>
        <v>2 Mega-Pixel Machine Vision Lens is a fa machine-vision lenses product from Lano-tech for application-specific laboratory, engineering or industrial use.</v>
      </c>
      <c r="L142" s="80" t="str">
        <f t="shared" si="39"/>
        <v>2 Mega-Pixel Machine Vision Lens from Lano-tech for fa machine-vision lenses applications. Review configuration requirements and request technical information or a quotation from DIWAN.</v>
      </c>
      <c r="M142" s="80" t="s">
        <v>2020</v>
      </c>
      <c r="N142" s="81" t="s">
        <v>2672</v>
      </c>
      <c r="O142" s="82" t="str" cm="1">
        <f t="array" ref="O142">_xlfn.LET(_xlpm.n,LOWER(E142),_xlpm.c,LOWER(B142),_xlpm.t,_xlfn.IFS(OR(ISNUMBER(SEARCH("lens",_xlpm.n)),ISNUMBER(SEARCH("optic",_xlpm.n)),ISNUMBER(SEARCH("polarizer",_xlpm.n))),"precision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"),E142&amp;" is "&amp;_xlpm.art&amp;_xlpm.t&amp;" from "&amp;C142&amp;" designed for application-specific laboratory, engineering or industrial use. It belongs to DIWAN's "&amp;B142&amp;" portfolio; final configuration must be selected against performance, integration and compliance requirements.")</f>
        <v>2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2" s="82" t="str">
        <f t="shared" si="40"/>
        <v>Selection should confirm the model-specific operating range, capacity, accuracy, interfaces, utilities, accessories, standards, environmental limits and service requirements. Final capabilities depend on the approved 2 Mega-Pixel Machine Vision Lens configuration.</v>
      </c>
      <c r="Q142" s="82"/>
      <c r="R142" s="82" t="str">
        <f t="shared" si="41"/>
        <v>FA Machine-Vision Lenses applications; laboratory research, engineering development, quality control and industrial deployment where applicable. Suitability must be confirmed against the user's sample, process, environment and required standards.</v>
      </c>
      <c r="S142" s="82"/>
      <c r="T142" s="82" t="str">
        <f t="shared" si="42"/>
        <v>2 Mega-Pixel Machine Vision Lens from Lano-tech</v>
      </c>
      <c r="U142" s="82"/>
      <c r="V142" s="82" t="s">
        <v>2673</v>
      </c>
      <c r="W142" s="82" t="str">
        <f t="shared" si="43"/>
        <v>See other FA Machine-Vision Lenses products</v>
      </c>
      <c r="X142" s="82" t="str">
        <f t="shared" si="44"/>
        <v>FA Machine-Vision Lenses enquiry → website group enquiry form → category owner assignment</v>
      </c>
      <c r="Y142" s="82" t="str">
        <f t="shared" si="45"/>
        <v>2 Mega-Pixel Machine Vision Lens, FA Machine-Vision Lenses, Lano-tech, technical equipment, DIWAN</v>
      </c>
      <c r="Z142" s="82" t="s">
        <v>2256</v>
      </c>
      <c r="AA142" s="83">
        <v>46257</v>
      </c>
      <c r="AB142" s="82" t="s">
        <v>2465</v>
      </c>
      <c r="AC142" s="84" t="str">
        <f t="shared" si="46"/>
        <v>Content drafted - assets/specs pending</v>
      </c>
      <c r="AD142"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2" s="85"/>
      <c r="AF142" s="85"/>
      <c r="AG142" s="85" t="s">
        <v>2467</v>
      </c>
      <c r="AH142" s="85" t="s">
        <v>2468</v>
      </c>
      <c r="AI142" s="85" t="s">
        <v>2469</v>
      </c>
    </row>
    <row r="143" spans="1:35" ht="42" customHeight="1" x14ac:dyDescent="0.35">
      <c r="A143" s="69">
        <f t="shared" si="48"/>
        <v>37</v>
      </c>
      <c r="B143" s="70" t="s">
        <v>180</v>
      </c>
      <c r="C143" s="71" t="s">
        <v>11</v>
      </c>
      <c r="D143" s="72" t="s">
        <v>12</v>
      </c>
      <c r="E143" s="45" t="s">
        <v>182</v>
      </c>
      <c r="F143" s="49" t="s">
        <v>2999</v>
      </c>
      <c r="G143" s="45" t="s">
        <v>3045</v>
      </c>
      <c r="H143" s="47">
        <v>46257</v>
      </c>
      <c r="I143" s="48" t="s">
        <v>1653</v>
      </c>
      <c r="J143" s="48" t="s">
        <v>940</v>
      </c>
      <c r="K143" s="48" t="str">
        <f t="shared" si="38"/>
        <v>3 Mega-Pixel Machine Vision Lens is a fa machine-vision lenses product from Lano-tech for application-specific laboratory, engineering or industrial use.</v>
      </c>
      <c r="L143" s="48" t="str">
        <f t="shared" si="39"/>
        <v>3 Mega-Pixel Machine Vision Lens from Lano-tech for fa machine-vision lenses applications. Review configuration requirements and request technical information or a quotation from DIWAN.</v>
      </c>
      <c r="M143" s="48" t="s">
        <v>2020</v>
      </c>
      <c r="N143" s="61" t="s">
        <v>2672</v>
      </c>
      <c r="O143" s="54" t="str" cm="1">
        <f t="array" ref="O143">_xlfn.LET(_xlpm.n,LOWER(E143),_xlpm.c,LOWER(B143),_xlpm.t,_xlfn.IFS(OR(ISNUMBER(SEARCH("lens",_xlpm.n)),ISNUMBER(SEARCH("optic",_xlpm.n)),ISNUMBER(SEARCH("polarizer",_xlpm.n))),"precision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"),E143&amp;" is "&amp;_xlpm.art&amp;_xlpm.t&amp;" from "&amp;C143&amp;" designed for application-specific laboratory, engineering or industrial use. It belongs to DIWAN's "&amp;B143&amp;" portfolio; final configuration must be selected against performance, integration and compliance requirements.")</f>
        <v>3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3" s="54" t="str">
        <f t="shared" si="40"/>
        <v>Selection should confirm the model-specific operating range, capacity, accuracy, interfaces, utilities, accessories, standards, environmental limits and service requirements. Final capabilities depend on the approved 3 Mega-Pixel Machine Vision Lens configuration.</v>
      </c>
      <c r="Q143" s="54"/>
      <c r="R143" s="54" t="str">
        <f t="shared" si="41"/>
        <v>FA Machine-Vision Lenses applications; laboratory research, engineering development, quality control and industrial deployment where applicable. Suitability must be confirmed against the user's sample, process, environment and required standards.</v>
      </c>
      <c r="S143" s="54"/>
      <c r="T143" s="54" t="str">
        <f t="shared" si="42"/>
        <v>3 Mega-Pixel Machine Vision Lens from Lano-tech</v>
      </c>
      <c r="U143" s="54"/>
      <c r="V143" s="54" t="s">
        <v>2673</v>
      </c>
      <c r="W143" s="54" t="str">
        <f t="shared" si="43"/>
        <v>See other FA Machine-Vision Lenses products</v>
      </c>
      <c r="X143" s="54" t="str">
        <f t="shared" si="44"/>
        <v>FA Machine-Vision Lenses enquiry → website group enquiry form → category owner assignment</v>
      </c>
      <c r="Y143" s="54" t="str">
        <f t="shared" si="45"/>
        <v>3 Mega-Pixel Machine Vision Lens, FA Machine-Vision Lenses, Lano-tech, technical equipment, DIWAN</v>
      </c>
      <c r="Z143" s="54" t="s">
        <v>2256</v>
      </c>
      <c r="AA143" s="55">
        <v>46257</v>
      </c>
      <c r="AB143" s="54" t="s">
        <v>2465</v>
      </c>
      <c r="AC143" s="63" t="str">
        <f t="shared" si="46"/>
        <v>Content drafted - assets/specs pending</v>
      </c>
      <c r="AD143"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3" s="58"/>
      <c r="AF143" s="58"/>
      <c r="AG143" s="58" t="s">
        <v>2467</v>
      </c>
      <c r="AH143" s="58" t="s">
        <v>2468</v>
      </c>
      <c r="AI143" s="58" t="s">
        <v>2469</v>
      </c>
    </row>
    <row r="144" spans="1:35" ht="42" customHeight="1" x14ac:dyDescent="0.35">
      <c r="A144" s="69">
        <f t="shared" si="48"/>
        <v>37</v>
      </c>
      <c r="B144" s="70" t="s">
        <v>180</v>
      </c>
      <c r="C144" s="71" t="s">
        <v>11</v>
      </c>
      <c r="D144" s="72" t="s">
        <v>12</v>
      </c>
      <c r="E144" s="45" t="s">
        <v>183</v>
      </c>
      <c r="F144" s="49" t="s">
        <v>2999</v>
      </c>
      <c r="G144" s="45" t="s">
        <v>3045</v>
      </c>
      <c r="H144" s="47">
        <v>46257</v>
      </c>
      <c r="I144" s="48" t="s">
        <v>1654</v>
      </c>
      <c r="J144" s="48" t="s">
        <v>941</v>
      </c>
      <c r="K144" s="48" t="str">
        <f t="shared" si="38"/>
        <v>5 Mega-Pixel Machine Vision Lens is a fa machine-vision lenses product from Lano-tech for application-specific laboratory, engineering or industrial use.</v>
      </c>
      <c r="L144" s="48" t="str">
        <f t="shared" si="39"/>
        <v>5 Mega-Pixel Machine Vision Lens from Lano-tech for fa machine-vision lenses applications. Review configuration requirements and request technical information or a quotation from DIWAN.</v>
      </c>
      <c r="M144" s="48" t="s">
        <v>2020</v>
      </c>
      <c r="N144" s="61" t="s">
        <v>2672</v>
      </c>
      <c r="O144" s="54" t="str" cm="1">
        <f t="array" ref="O144">_xlfn.LET(_xlpm.n,LOWER(E144),_xlpm.c,LOWER(B144),_xlpm.t,_xlfn.IFS(OR(ISNUMBER(SEARCH("lens",_xlpm.n)),ISNUMBER(SEARCH("optic",_xlpm.n)),ISNUMBER(SEARCH("polarizer",_xlpm.n))),"precision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"),E144&amp;" is "&amp;_xlpm.art&amp;_xlpm.t&amp;" from "&amp;C144&amp;" designed for application-specific laboratory, engineering or industrial use. It belongs to DIWAN's "&amp;B144&amp;" portfolio; final configuration must be selected against performance, integration and compliance requirements.")</f>
        <v>5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4" s="54" t="str">
        <f t="shared" si="40"/>
        <v>Selection should confirm the model-specific operating range, capacity, accuracy, interfaces, utilities, accessories, standards, environmental limits and service requirements. Final capabilities depend on the approved 5 Mega-Pixel Machine Vision Lens configuration.</v>
      </c>
      <c r="Q144" s="54"/>
      <c r="R144" s="54" t="str">
        <f t="shared" si="41"/>
        <v>FA Machine-Vision Lenses applications; laboratory research, engineering development, quality control and industrial deployment where applicable. Suitability must be confirmed against the user's sample, process, environment and required standards.</v>
      </c>
      <c r="S144" s="54"/>
      <c r="T144" s="54" t="str">
        <f t="shared" si="42"/>
        <v>5 Mega-Pixel Machine Vision Lens from Lano-tech</v>
      </c>
      <c r="U144" s="54"/>
      <c r="V144" s="54" t="s">
        <v>2673</v>
      </c>
      <c r="W144" s="54" t="str">
        <f t="shared" si="43"/>
        <v>See other FA Machine-Vision Lenses products</v>
      </c>
      <c r="X144" s="54" t="str">
        <f t="shared" si="44"/>
        <v>FA Machine-Vision Lenses enquiry → website group enquiry form → category owner assignment</v>
      </c>
      <c r="Y144" s="54" t="str">
        <f t="shared" si="45"/>
        <v>5 Mega-Pixel Machine Vision Lens, FA Machine-Vision Lenses, Lano-tech, technical equipment, DIWAN</v>
      </c>
      <c r="Z144" s="54" t="s">
        <v>2256</v>
      </c>
      <c r="AA144" s="55">
        <v>46257</v>
      </c>
      <c r="AB144" s="54" t="s">
        <v>2465</v>
      </c>
      <c r="AC144" s="63" t="str">
        <f t="shared" si="46"/>
        <v>Content drafted - assets/specs pending</v>
      </c>
      <c r="AD144"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4" s="58"/>
      <c r="AF144" s="58"/>
      <c r="AG144" s="58" t="s">
        <v>2467</v>
      </c>
      <c r="AH144" s="58" t="s">
        <v>2468</v>
      </c>
      <c r="AI144" s="58" t="s">
        <v>2469</v>
      </c>
    </row>
    <row r="145" spans="1:35" ht="42" customHeight="1" x14ac:dyDescent="0.35">
      <c r="A145" s="69">
        <f t="shared" si="48"/>
        <v>37</v>
      </c>
      <c r="B145" s="70" t="s">
        <v>180</v>
      </c>
      <c r="C145" s="71" t="s">
        <v>11</v>
      </c>
      <c r="D145" s="72" t="s">
        <v>12</v>
      </c>
      <c r="E145" s="45" t="s">
        <v>184</v>
      </c>
      <c r="F145" s="49" t="s">
        <v>2999</v>
      </c>
      <c r="G145" s="45" t="s">
        <v>3045</v>
      </c>
      <c r="H145" s="47">
        <v>46257</v>
      </c>
      <c r="I145" s="48" t="s">
        <v>1655</v>
      </c>
      <c r="J145" s="48" t="s">
        <v>942</v>
      </c>
      <c r="K145" s="48" t="str">
        <f t="shared" si="38"/>
        <v>8 Mega-Pixel Machine Vision Lens is a fa machine-vision lenses product from Lano-tech for application-specific laboratory, engineering or industrial use.</v>
      </c>
      <c r="L145" s="48" t="str">
        <f t="shared" si="39"/>
        <v>8 Mega-Pixel Machine Vision Lens from Lano-tech for fa machine-vision lenses applications. Review configuration requirements and request technical information or a quotation from DIWAN.</v>
      </c>
      <c r="M145" s="48" t="s">
        <v>2020</v>
      </c>
      <c r="N145" s="61" t="s">
        <v>2672</v>
      </c>
      <c r="O145" s="54" t="str" cm="1">
        <f t="array" ref="O145">_xlfn.LET(_xlpm.n,LOWER(E145),_xlpm.c,LOWER(B145),_xlpm.t,_xlfn.IFS(OR(ISNUMBER(SEARCH("lens",_xlpm.n)),ISNUMBER(SEARCH("optic",_xlpm.n)),ISNUMBER(SEARCH("polarizer",_xlpm.n))),"precision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"),E145&amp;" is "&amp;_xlpm.art&amp;_xlpm.t&amp;" from "&amp;C145&amp;" designed for application-specific laboratory, engineering or industrial use. It belongs to DIWAN's "&amp;B145&amp;" portfolio; final configuration must be selected against performance, integration and compliance requirements.")</f>
        <v>8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5" s="54" t="str">
        <f t="shared" si="40"/>
        <v>Selection should confirm the model-specific operating range, capacity, accuracy, interfaces, utilities, accessories, standards, environmental limits and service requirements. Final capabilities depend on the approved 8 Mega-Pixel Machine Vision Lens configuration.</v>
      </c>
      <c r="Q145" s="54"/>
      <c r="R145" s="54" t="str">
        <f t="shared" si="41"/>
        <v>FA Machine-Vision Lenses applications; laboratory research, engineering development, quality control and industrial deployment where applicable. Suitability must be confirmed against the user's sample, process, environment and required standards.</v>
      </c>
      <c r="S145" s="54"/>
      <c r="T145" s="54" t="str">
        <f t="shared" si="42"/>
        <v>8 Mega-Pixel Machine Vision Lens from Lano-tech</v>
      </c>
      <c r="U145" s="54"/>
      <c r="V145" s="54" t="s">
        <v>2673</v>
      </c>
      <c r="W145" s="54" t="str">
        <f t="shared" si="43"/>
        <v>See other FA Machine-Vision Lenses products</v>
      </c>
      <c r="X145" s="54" t="str">
        <f t="shared" si="44"/>
        <v>FA Machine-Vision Lenses enquiry → website group enquiry form → category owner assignment</v>
      </c>
      <c r="Y145" s="54" t="str">
        <f t="shared" si="45"/>
        <v>8 Mega-Pixel Machine Vision Lens, FA Machine-Vision Lenses, Lano-tech, technical equipment, DIWAN</v>
      </c>
      <c r="Z145" s="54" t="s">
        <v>2256</v>
      </c>
      <c r="AA145" s="55">
        <v>46257</v>
      </c>
      <c r="AB145" s="54" t="s">
        <v>2465</v>
      </c>
      <c r="AC145" s="63" t="str">
        <f t="shared" si="46"/>
        <v>Content drafted - assets/specs pending</v>
      </c>
      <c r="AD145"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5" s="58"/>
      <c r="AF145" s="58"/>
      <c r="AG145" s="58" t="s">
        <v>2467</v>
      </c>
      <c r="AH145" s="58" t="s">
        <v>2468</v>
      </c>
      <c r="AI145" s="58" t="s">
        <v>2469</v>
      </c>
    </row>
    <row r="146" spans="1:35" ht="42" customHeight="1" x14ac:dyDescent="0.35">
      <c r="A146" s="69">
        <f t="shared" si="48"/>
        <v>37</v>
      </c>
      <c r="B146" s="70" t="s">
        <v>180</v>
      </c>
      <c r="C146" s="71" t="s">
        <v>11</v>
      </c>
      <c r="D146" s="72" t="s">
        <v>12</v>
      </c>
      <c r="E146" s="45" t="s">
        <v>185</v>
      </c>
      <c r="F146" s="49" t="s">
        <v>2999</v>
      </c>
      <c r="G146" s="45" t="s">
        <v>3045</v>
      </c>
      <c r="H146" s="47">
        <v>46257</v>
      </c>
      <c r="I146" s="48" t="s">
        <v>1656</v>
      </c>
      <c r="J146" s="48" t="s">
        <v>943</v>
      </c>
      <c r="K146" s="48" t="str">
        <f t="shared" si="38"/>
        <v>10 Mega-Pixel Machine Vision Lens is a fa machine-vision lenses product from Lano-tech for application-specific laboratory, engineering or industrial use.</v>
      </c>
      <c r="L146" s="48" t="str">
        <f t="shared" si="39"/>
        <v>10 Mega-Pixel Machine Vision Lens from Lano-tech for fa machine-vision lenses applications. Review configuration requirements and request technical information or a quotation from DIWAN.</v>
      </c>
      <c r="M146" s="48" t="s">
        <v>2020</v>
      </c>
      <c r="N146" s="61" t="s">
        <v>2672</v>
      </c>
      <c r="O146" s="54" t="str" cm="1">
        <f t="array" ref="O146">_xlfn.LET(_xlpm.n,LOWER(E146),_xlpm.c,LOWER(B146),_xlpm.t,_xlfn.IFS(OR(ISNUMBER(SEARCH("lens",_xlpm.n)),ISNUMBER(SEARCH("optic",_xlpm.n)),ISNUMBER(SEARCH("polarizer",_xlpm.n))),"precision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"),E146&amp;" is "&amp;_xlpm.art&amp;_xlpm.t&amp;" from "&amp;C146&amp;" designed for application-specific laboratory, engineering or industrial use. It belongs to DIWAN's "&amp;B146&amp;" portfolio; final configuration must be selected against performance, integration and compliance requirements.")</f>
        <v>10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6" s="54" t="str">
        <f t="shared" si="40"/>
        <v>Selection should confirm the model-specific operating range, capacity, accuracy, interfaces, utilities, accessories, standards, environmental limits and service requirements. Final capabilities depend on the approved 10 Mega-Pixel Machine Vision Lens configuration.</v>
      </c>
      <c r="Q146" s="54"/>
      <c r="R146" s="54" t="str">
        <f t="shared" si="41"/>
        <v>FA Machine-Vision Lenses applications; laboratory research, engineering development, quality control and industrial deployment where applicable. Suitability must be confirmed against the user's sample, process, environment and required standards.</v>
      </c>
      <c r="S146" s="54"/>
      <c r="T146" s="54" t="str">
        <f t="shared" si="42"/>
        <v>10 Mega-Pixel Machine Vision Lens from Lano-tech</v>
      </c>
      <c r="U146" s="54"/>
      <c r="V146" s="54" t="s">
        <v>2673</v>
      </c>
      <c r="W146" s="54" t="str">
        <f t="shared" si="43"/>
        <v>See other FA Machine-Vision Lenses products</v>
      </c>
      <c r="X146" s="54" t="str">
        <f t="shared" si="44"/>
        <v>FA Machine-Vision Lenses enquiry → website group enquiry form → category owner assignment</v>
      </c>
      <c r="Y146" s="54" t="str">
        <f t="shared" si="45"/>
        <v>10 Mega-Pixel Machine Vision Lens, FA Machine-Vision Lenses, Lano-tech, technical equipment, DIWAN</v>
      </c>
      <c r="Z146" s="54" t="s">
        <v>2256</v>
      </c>
      <c r="AA146" s="55">
        <v>46257</v>
      </c>
      <c r="AB146" s="54" t="s">
        <v>2465</v>
      </c>
      <c r="AC146" s="63" t="str">
        <f t="shared" si="46"/>
        <v>Content drafted - assets/specs pending</v>
      </c>
      <c r="AD146"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6" s="58"/>
      <c r="AF146" s="58"/>
      <c r="AG146" s="58" t="s">
        <v>2467</v>
      </c>
      <c r="AH146" s="58" t="s">
        <v>2468</v>
      </c>
      <c r="AI146" s="58" t="s">
        <v>2469</v>
      </c>
    </row>
    <row r="147" spans="1:35" ht="42" customHeight="1" x14ac:dyDescent="0.35">
      <c r="A147" s="69">
        <f t="shared" si="48"/>
        <v>37</v>
      </c>
      <c r="B147" s="70" t="s">
        <v>180</v>
      </c>
      <c r="C147" s="71" t="s">
        <v>11</v>
      </c>
      <c r="D147" s="72" t="s">
        <v>12</v>
      </c>
      <c r="E147" s="45" t="s">
        <v>186</v>
      </c>
      <c r="F147" s="49" t="s">
        <v>2999</v>
      </c>
      <c r="G147" s="45" t="s">
        <v>3045</v>
      </c>
      <c r="H147" s="47">
        <v>46257</v>
      </c>
      <c r="I147" s="48" t="s">
        <v>1657</v>
      </c>
      <c r="J147" s="48" t="s">
        <v>944</v>
      </c>
      <c r="K147" s="48" t="str">
        <f t="shared" si="38"/>
        <v>12 Mega-Pixel Machine Vision Lens is a fa machine-vision lenses product from Lano-tech for application-specific laboratory, engineering or industrial use.</v>
      </c>
      <c r="L147" s="48" t="str">
        <f t="shared" si="39"/>
        <v>12 Mega-Pixel Machine Vision Lens from Lano-tech for fa machine-vision lenses applications. Review configuration requirements and request technical information or a quotation from DIWAN.</v>
      </c>
      <c r="M147" s="48" t="s">
        <v>2020</v>
      </c>
      <c r="N147" s="61" t="s">
        <v>2672</v>
      </c>
      <c r="O147" s="54" t="str" cm="1">
        <f t="array" ref="O147">_xlfn.LET(_xlpm.n,LOWER(E147),_xlpm.c,LOWER(B147),_xlpm.t,_xlfn.IFS(OR(ISNUMBER(SEARCH("lens",_xlpm.n)),ISNUMBER(SEARCH("optic",_xlpm.n)),ISNUMBER(SEARCH("polarizer",_xlpm.n))),"precision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"),E147&amp;" is "&amp;_xlpm.art&amp;_xlpm.t&amp;" from "&amp;C147&amp;" designed for application-specific laboratory, engineering or industrial use. It belongs to DIWAN's "&amp;B147&amp;" portfolio; final configuration must be selected against performance, integration and compliance requirements.")</f>
        <v>12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7" s="54" t="str">
        <f t="shared" si="40"/>
        <v>Selection should confirm the model-specific operating range, capacity, accuracy, interfaces, utilities, accessories, standards, environmental limits and service requirements. Final capabilities depend on the approved 12 Mega-Pixel Machine Vision Lens configuration.</v>
      </c>
      <c r="Q147" s="54"/>
      <c r="R147" s="54" t="str">
        <f t="shared" si="41"/>
        <v>FA Machine-Vision Lenses applications; laboratory research, engineering development, quality control and industrial deployment where applicable. Suitability must be confirmed against the user's sample, process, environment and required standards.</v>
      </c>
      <c r="S147" s="54"/>
      <c r="T147" s="54" t="str">
        <f t="shared" si="42"/>
        <v>12 Mega-Pixel Machine Vision Lens from Lano-tech</v>
      </c>
      <c r="U147" s="54"/>
      <c r="V147" s="54" t="s">
        <v>2673</v>
      </c>
      <c r="W147" s="54" t="str">
        <f t="shared" si="43"/>
        <v>See other FA Machine-Vision Lenses products</v>
      </c>
      <c r="X147" s="54" t="str">
        <f t="shared" si="44"/>
        <v>FA Machine-Vision Lenses enquiry → website group enquiry form → category owner assignment</v>
      </c>
      <c r="Y147" s="54" t="str">
        <f t="shared" si="45"/>
        <v>12 Mega-Pixel Machine Vision Lens, FA Machine-Vision Lenses, Lano-tech, technical equipment, DIWAN</v>
      </c>
      <c r="Z147" s="54" t="s">
        <v>2256</v>
      </c>
      <c r="AA147" s="55">
        <v>46257</v>
      </c>
      <c r="AB147" s="54" t="s">
        <v>2465</v>
      </c>
      <c r="AC147" s="63" t="str">
        <f t="shared" si="46"/>
        <v>Content drafted - assets/specs pending</v>
      </c>
      <c r="AD14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7" s="58"/>
      <c r="AF147" s="58"/>
      <c r="AG147" s="58" t="s">
        <v>2467</v>
      </c>
      <c r="AH147" s="58" t="s">
        <v>2468</v>
      </c>
      <c r="AI147" s="58" t="s">
        <v>2469</v>
      </c>
    </row>
    <row r="148" spans="1:35" ht="42" customHeight="1" x14ac:dyDescent="0.35">
      <c r="A148" s="69">
        <f t="shared" si="48"/>
        <v>37</v>
      </c>
      <c r="B148" s="70" t="s">
        <v>180</v>
      </c>
      <c r="C148" s="71" t="s">
        <v>11</v>
      </c>
      <c r="D148" s="72" t="s">
        <v>12</v>
      </c>
      <c r="E148" s="45" t="s">
        <v>187</v>
      </c>
      <c r="F148" s="49" t="s">
        <v>2999</v>
      </c>
      <c r="G148" s="45" t="s">
        <v>3045</v>
      </c>
      <c r="H148" s="47">
        <v>46257</v>
      </c>
      <c r="I148" s="48" t="s">
        <v>1658</v>
      </c>
      <c r="J148" s="48" t="s">
        <v>945</v>
      </c>
      <c r="K148" s="48" t="str">
        <f t="shared" si="38"/>
        <v>20 Mega-Pixel Machine Vision Lens is a fa machine-vision lenses product from Lano-tech for application-specific laboratory, engineering or industrial use.</v>
      </c>
      <c r="L148" s="48" t="str">
        <f t="shared" si="39"/>
        <v>20 Mega-Pixel Machine Vision Lens from Lano-tech for fa machine-vision lenses applications. Review configuration requirements and request technical information or a quotation from DIWAN.</v>
      </c>
      <c r="M148" s="48" t="s">
        <v>2020</v>
      </c>
      <c r="N148" s="61" t="s">
        <v>2672</v>
      </c>
      <c r="O148" s="54" t="str" cm="1">
        <f t="array" ref="O148">_xlfn.LET(_xlpm.n,LOWER(E148),_xlpm.c,LOWER(B148),_xlpm.t,_xlfn.IFS(OR(ISNUMBER(SEARCH("lens",_xlpm.n)),ISNUMBER(SEARCH("optic",_xlpm.n)),ISNUMBER(SEARCH("polarizer",_xlpm.n))),"precision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"),E148&amp;" is "&amp;_xlpm.art&amp;_xlpm.t&amp;" from "&amp;C148&amp;" designed for application-specific laboratory, engineering or industrial use. It belongs to DIWAN's "&amp;B148&amp;" portfolio; final configuration must be selected against performance, integration and compliance requirements.")</f>
        <v>20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8" s="54" t="str">
        <f t="shared" si="40"/>
        <v>Selection should confirm the model-specific operating range, capacity, accuracy, interfaces, utilities, accessories, standards, environmental limits and service requirements. Final capabilities depend on the approved 20 Mega-Pixel Machine Vision Lens configuration.</v>
      </c>
      <c r="Q148" s="54"/>
      <c r="R148" s="54" t="str">
        <f t="shared" si="41"/>
        <v>FA Machine-Vision Lenses applications; laboratory research, engineering development, quality control and industrial deployment where applicable. Suitability must be confirmed against the user's sample, process, environment and required standards.</v>
      </c>
      <c r="S148" s="54"/>
      <c r="T148" s="54" t="str">
        <f t="shared" si="42"/>
        <v>20 Mega-Pixel Machine Vision Lens from Lano-tech</v>
      </c>
      <c r="U148" s="54"/>
      <c r="V148" s="54" t="s">
        <v>2673</v>
      </c>
      <c r="W148" s="54" t="str">
        <f t="shared" si="43"/>
        <v>See other FA Machine-Vision Lenses products</v>
      </c>
      <c r="X148" s="54" t="str">
        <f t="shared" si="44"/>
        <v>FA Machine-Vision Lenses enquiry → website group enquiry form → category owner assignment</v>
      </c>
      <c r="Y148" s="54" t="str">
        <f t="shared" si="45"/>
        <v>20 Mega-Pixel Machine Vision Lens, FA Machine-Vision Lenses, Lano-tech, technical equipment, DIWAN</v>
      </c>
      <c r="Z148" s="54" t="s">
        <v>2256</v>
      </c>
      <c r="AA148" s="55">
        <v>46257</v>
      </c>
      <c r="AB148" s="54" t="s">
        <v>2465</v>
      </c>
      <c r="AC148" s="63" t="str">
        <f t="shared" si="46"/>
        <v>Content drafted - assets/specs pending</v>
      </c>
      <c r="AD14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8" s="58"/>
      <c r="AF148" s="58"/>
      <c r="AG148" s="58" t="s">
        <v>2467</v>
      </c>
      <c r="AH148" s="58" t="s">
        <v>2468</v>
      </c>
      <c r="AI148" s="58" t="s">
        <v>2469</v>
      </c>
    </row>
    <row r="149" spans="1:35" ht="42" customHeight="1" thickBot="1" x14ac:dyDescent="0.4">
      <c r="A149" s="69">
        <f t="shared" si="48"/>
        <v>37</v>
      </c>
      <c r="B149" s="70" t="s">
        <v>180</v>
      </c>
      <c r="C149" s="71" t="s">
        <v>11</v>
      </c>
      <c r="D149" s="72" t="s">
        <v>12</v>
      </c>
      <c r="E149" s="45" t="s">
        <v>188</v>
      </c>
      <c r="F149" s="49" t="s">
        <v>2999</v>
      </c>
      <c r="G149" s="45" t="s">
        <v>3045</v>
      </c>
      <c r="H149" s="47">
        <v>46257</v>
      </c>
      <c r="I149" s="48" t="s">
        <v>1659</v>
      </c>
      <c r="J149" s="48" t="s">
        <v>946</v>
      </c>
      <c r="K149" s="48" t="str">
        <f t="shared" si="38"/>
        <v>25 Mega-Pixel Machine Vision Lens is a fa machine-vision lenses product from Lano-tech for application-specific laboratory, engineering or industrial use.</v>
      </c>
      <c r="L149" s="48" t="str">
        <f t="shared" si="39"/>
        <v>25 Mega-Pixel Machine Vision Lens from Lano-tech for fa machine-vision lenses applications. Review configuration requirements and request technical information or a quotation from DIWAN.</v>
      </c>
      <c r="M149" s="48" t="s">
        <v>2020</v>
      </c>
      <c r="N149" s="61" t="s">
        <v>2672</v>
      </c>
      <c r="O149" s="54" t="str" cm="1">
        <f t="array" ref="O149">_xlfn.LET(_xlpm.n,LOWER(E149),_xlpm.c,LOWER(B149),_xlpm.t,_xlfn.IFS(OR(ISNUMBER(SEARCH("lens",_xlpm.n)),ISNUMBER(SEARCH("optic",_xlpm.n)),ISNUMBER(SEARCH("polarizer",_xlpm.n))),"precision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"),E149&amp;" is "&amp;_xlpm.art&amp;_xlpm.t&amp;" from "&amp;C149&amp;" designed for application-specific laboratory, engineering or industrial use. It belongs to DIWAN's "&amp;B149&amp;" portfolio; final configuration must be selected against performance, integration and compliance requirements.")</f>
        <v>25 Mega-Pixel Machine Vision Lens is a precision optical component from Lano-tech designed for application-specific laboratory, engineering or industrial use. It belongs to DIWAN's FA Machine-Vision Lenses portfolio; final configuration must be selected against performance, integration and compliance requirements.</v>
      </c>
      <c r="P149" s="54" t="str">
        <f t="shared" si="40"/>
        <v>Selection should confirm the model-specific operating range, capacity, accuracy, interfaces, utilities, accessories, standards, environmental limits and service requirements. Final capabilities depend on the approved 25 Mega-Pixel Machine Vision Lens configuration.</v>
      </c>
      <c r="Q149" s="54"/>
      <c r="R149" s="54" t="str">
        <f t="shared" si="41"/>
        <v>FA Machine-Vision Lenses applications; laboratory research, engineering development, quality control and industrial deployment where applicable. Suitability must be confirmed against the user's sample, process, environment and required standards.</v>
      </c>
      <c r="S149" s="54"/>
      <c r="T149" s="54" t="str">
        <f t="shared" si="42"/>
        <v>25 Mega-Pixel Machine Vision Lens from Lano-tech</v>
      </c>
      <c r="U149" s="54"/>
      <c r="V149" s="54" t="s">
        <v>2673</v>
      </c>
      <c r="W149" s="54" t="str">
        <f t="shared" si="43"/>
        <v>See other FA Machine-Vision Lenses products</v>
      </c>
      <c r="X149" s="54" t="str">
        <f t="shared" si="44"/>
        <v>FA Machine-Vision Lenses enquiry → website group enquiry form → category owner assignment</v>
      </c>
      <c r="Y149" s="54" t="str">
        <f t="shared" si="45"/>
        <v>25 Mega-Pixel Machine Vision Lens, FA Machine-Vision Lenses, Lano-tech, technical equipment, DIWAN</v>
      </c>
      <c r="Z149" s="54" t="s">
        <v>2256</v>
      </c>
      <c r="AA149" s="55">
        <v>46257</v>
      </c>
      <c r="AB149" s="54" t="s">
        <v>2465</v>
      </c>
      <c r="AC149" s="63" t="str">
        <f t="shared" si="46"/>
        <v>Content drafted - assets/specs pending</v>
      </c>
      <c r="AD149"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49" s="58"/>
      <c r="AF149" s="58"/>
      <c r="AG149" s="58" t="s">
        <v>2467</v>
      </c>
      <c r="AH149" s="58" t="s">
        <v>2468</v>
      </c>
      <c r="AI149" s="58" t="s">
        <v>2469</v>
      </c>
    </row>
    <row r="150" spans="1:35" ht="42" customHeight="1" x14ac:dyDescent="0.35">
      <c r="A150" s="69">
        <f t="shared" si="48"/>
        <v>38</v>
      </c>
      <c r="B150" s="74" t="s">
        <v>189</v>
      </c>
      <c r="C150" s="75" t="s">
        <v>11</v>
      </c>
      <c r="D150" s="76" t="s">
        <v>12</v>
      </c>
      <c r="E150" s="77" t="s">
        <v>190</v>
      </c>
      <c r="F150" s="86" t="s">
        <v>3000</v>
      </c>
      <c r="G150" s="77" t="s">
        <v>3045</v>
      </c>
      <c r="H150" s="79">
        <v>46257</v>
      </c>
      <c r="I150" s="80" t="s">
        <v>1660</v>
      </c>
      <c r="J150" s="80" t="s">
        <v>947</v>
      </c>
      <c r="K150" s="80" t="str">
        <f t="shared" si="38"/>
        <v>65mm Standard Resolution Telecentric Lens is a telecentric lenses product from Lano-tech for application-specific laboratory, engineering or industrial use.</v>
      </c>
      <c r="L150" s="80" t="str">
        <f t="shared" si="39"/>
        <v>65mm Standard Resolution Telecentric Lens from Lano-tech for telecentric lenses applications. Review configuration requirements and request technical information or a quotation from DIWAN.</v>
      </c>
      <c r="M150" s="80" t="s">
        <v>2020</v>
      </c>
      <c r="N150" s="81" t="s">
        <v>2672</v>
      </c>
      <c r="O150" s="82" t="str" cm="1">
        <f t="array" ref="O150">_xlfn.LET(_xlpm.n,LOWER(E150),_xlpm.c,LOWER(B150),_xlpm.t,_xlfn.IFS(OR(ISNUMBER(SEARCH("lens",_xlpm.n)),ISNUMBER(SEARCH("optic",_xlpm.n)),ISNUMBER(SEARCH("polarizer",_xlpm.n))),"precision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"),E150&amp;" is "&amp;_xlpm.art&amp;_xlpm.t&amp;" from "&amp;C150&amp;" designed for application-specific laboratory, engineering or industrial use. It belongs to DIWAN's "&amp;B150&amp;" portfolio; final configuration must be selected against performance, integration and compliance requirements.")</f>
        <v>65mm Standard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0" s="82" t="str">
        <f t="shared" si="40"/>
        <v>Selection should confirm the model-specific operating range, capacity, accuracy, interfaces, utilities, accessories, standards, environmental limits and service requirements. Final capabilities depend on the approved 65mm Standard Resolution Telecentric Lens configuration.</v>
      </c>
      <c r="Q150" s="82"/>
      <c r="R150" s="82" t="str">
        <f t="shared" si="41"/>
        <v>Telecentric Lenses applications; laboratory research, engineering development, quality control and industrial deployment where applicable. Suitability must be confirmed against the user's sample, process, environment and required standards.</v>
      </c>
      <c r="S150" s="82"/>
      <c r="T150" s="82" t="str">
        <f t="shared" si="42"/>
        <v>65mm Standard Resolution Telecentric Lens from Lano-tech</v>
      </c>
      <c r="U150" s="82"/>
      <c r="V150" s="82" t="s">
        <v>2673</v>
      </c>
      <c r="W150" s="82" t="str">
        <f t="shared" si="43"/>
        <v>See other Telecentric Lenses products</v>
      </c>
      <c r="X150" s="82" t="str">
        <f t="shared" si="44"/>
        <v>Telecentric Lenses enquiry → website group enquiry form → category owner assignment</v>
      </c>
      <c r="Y150" s="82" t="str">
        <f t="shared" si="45"/>
        <v>65mm Standard Resolution Telecentric Lens, Telecentric Lenses, Lano-tech, technical equipment, DIWAN</v>
      </c>
      <c r="Z150" s="82" t="s">
        <v>2257</v>
      </c>
      <c r="AA150" s="83">
        <v>46257</v>
      </c>
      <c r="AB150" s="82" t="s">
        <v>2465</v>
      </c>
      <c r="AC150" s="84" t="str">
        <f t="shared" si="46"/>
        <v>Content drafted - assets/specs pending</v>
      </c>
      <c r="AD150"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0" s="85"/>
      <c r="AF150" s="85"/>
      <c r="AG150" s="85" t="s">
        <v>2467</v>
      </c>
      <c r="AH150" s="85" t="s">
        <v>2468</v>
      </c>
      <c r="AI150" s="85" t="s">
        <v>2469</v>
      </c>
    </row>
    <row r="151" spans="1:35" ht="42" customHeight="1" x14ac:dyDescent="0.35">
      <c r="A151" s="69">
        <f t="shared" si="48"/>
        <v>38</v>
      </c>
      <c r="B151" s="70" t="s">
        <v>189</v>
      </c>
      <c r="C151" s="71" t="s">
        <v>11</v>
      </c>
      <c r="D151" s="72" t="s">
        <v>12</v>
      </c>
      <c r="E151" s="45" t="s">
        <v>191</v>
      </c>
      <c r="F151" s="49" t="s">
        <v>3000</v>
      </c>
      <c r="G151" s="45" t="s">
        <v>3045</v>
      </c>
      <c r="H151" s="47">
        <v>46257</v>
      </c>
      <c r="I151" s="48" t="s">
        <v>1661</v>
      </c>
      <c r="J151" s="48" t="s">
        <v>948</v>
      </c>
      <c r="K151" s="48" t="str">
        <f t="shared" si="38"/>
        <v>110mm Standard Resolution Telecentric Lens is a telecentric lenses product from Lano-tech for application-specific laboratory, engineering or industrial use.</v>
      </c>
      <c r="L151" s="48" t="str">
        <f t="shared" si="39"/>
        <v>110mm Standard Resolution Telecentric Lens from Lano-tech for telecentric lenses applications. Review configuration requirements and request technical information or a quotation from DIWAN.</v>
      </c>
      <c r="M151" s="48" t="s">
        <v>2020</v>
      </c>
      <c r="N151" s="61" t="s">
        <v>2672</v>
      </c>
      <c r="O151" s="54" t="str" cm="1">
        <f t="array" ref="O151">_xlfn.LET(_xlpm.n,LOWER(E151),_xlpm.c,LOWER(B151),_xlpm.t,_xlfn.IFS(OR(ISNUMBER(SEARCH("lens",_xlpm.n)),ISNUMBER(SEARCH("optic",_xlpm.n)),ISNUMBER(SEARCH("polarizer",_xlpm.n))),"precision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"),E151&amp;" is "&amp;_xlpm.art&amp;_xlpm.t&amp;" from "&amp;C151&amp;" designed for application-specific laboratory, engineering or industrial use. It belongs to DIWAN's "&amp;B151&amp;" portfolio; final configuration must be selected against performance, integration and compliance requirements.")</f>
        <v>110mm Standard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1" s="54" t="str">
        <f t="shared" si="40"/>
        <v>Selection should confirm the model-specific operating range, capacity, accuracy, interfaces, utilities, accessories, standards, environmental limits and service requirements. Final capabilities depend on the approved 110mm Standard Resolution Telecentric Lens configuration.</v>
      </c>
      <c r="Q151" s="54"/>
      <c r="R151" s="54" t="str">
        <f t="shared" si="41"/>
        <v>Telecentric Lenses applications; laboratory research, engineering development, quality control and industrial deployment where applicable. Suitability must be confirmed against the user's sample, process, environment and required standards.</v>
      </c>
      <c r="S151" s="54"/>
      <c r="T151" s="54" t="str">
        <f t="shared" si="42"/>
        <v>110mm Standard Resolution Telecentric Lens from Lano-tech</v>
      </c>
      <c r="U151" s="54"/>
      <c r="V151" s="54" t="s">
        <v>2673</v>
      </c>
      <c r="W151" s="54" t="str">
        <f t="shared" si="43"/>
        <v>See other Telecentric Lenses products</v>
      </c>
      <c r="X151" s="54" t="str">
        <f t="shared" si="44"/>
        <v>Telecentric Lenses enquiry → website group enquiry form → category owner assignment</v>
      </c>
      <c r="Y151" s="54" t="str">
        <f t="shared" si="45"/>
        <v>110mm Standard Resolution Telecentric Lens, Telecentric Lenses, Lano-tech, technical equipment, DIWAN</v>
      </c>
      <c r="Z151" s="54" t="s">
        <v>2257</v>
      </c>
      <c r="AA151" s="55">
        <v>46257</v>
      </c>
      <c r="AB151" s="54" t="s">
        <v>2465</v>
      </c>
      <c r="AC151" s="63" t="str">
        <f t="shared" si="46"/>
        <v>Content drafted - assets/specs pending</v>
      </c>
      <c r="AD151"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1" s="58"/>
      <c r="AF151" s="58"/>
      <c r="AG151" s="58" t="s">
        <v>2467</v>
      </c>
      <c r="AH151" s="58" t="s">
        <v>2468</v>
      </c>
      <c r="AI151" s="58" t="s">
        <v>2469</v>
      </c>
    </row>
    <row r="152" spans="1:35" ht="42" customHeight="1" x14ac:dyDescent="0.35">
      <c r="A152" s="69">
        <f t="shared" si="48"/>
        <v>38</v>
      </c>
      <c r="B152" s="70" t="s">
        <v>189</v>
      </c>
      <c r="C152" s="71" t="s">
        <v>11</v>
      </c>
      <c r="D152" s="72" t="s">
        <v>12</v>
      </c>
      <c r="E152" s="45" t="s">
        <v>192</v>
      </c>
      <c r="F152" s="49" t="s">
        <v>3000</v>
      </c>
      <c r="G152" s="45" t="s">
        <v>3045</v>
      </c>
      <c r="H152" s="47">
        <v>46257</v>
      </c>
      <c r="I152" s="48" t="s">
        <v>1662</v>
      </c>
      <c r="J152" s="48" t="s">
        <v>949</v>
      </c>
      <c r="K152" s="48" t="str">
        <f t="shared" si="38"/>
        <v>Standard Resolution Telecentric Lens is a telecentric lenses product from Lano-tech for application-specific laboratory, engineering or industrial use.</v>
      </c>
      <c r="L152" s="48" t="str">
        <f t="shared" si="39"/>
        <v>Standard Resolution Telecentric Lens from Lano-tech for telecentric lenses applications. Review configuration requirements and request technical information or a quotation from DIWAN.</v>
      </c>
      <c r="M152" s="48" t="s">
        <v>2020</v>
      </c>
      <c r="N152" s="61" t="s">
        <v>2672</v>
      </c>
      <c r="O152" s="54" t="str" cm="1">
        <f t="array" ref="O152">_xlfn.LET(_xlpm.n,LOWER(E152),_xlpm.c,LOWER(B152),_xlpm.t,_xlfn.IFS(OR(ISNUMBER(SEARCH("lens",_xlpm.n)),ISNUMBER(SEARCH("optic",_xlpm.n)),ISNUMBER(SEARCH("polarizer",_xlpm.n))),"precision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"),E152&amp;" is "&amp;_xlpm.art&amp;_xlpm.t&amp;" from "&amp;C152&amp;" designed for application-specific laboratory, engineering or industrial use. It belongs to DIWAN's "&amp;B152&amp;" portfolio; final configuration must be selected against performance, integration and compliance requirements.")</f>
        <v>Standard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2" s="54" t="str">
        <f t="shared" si="40"/>
        <v>Selection should confirm the model-specific operating range, capacity, accuracy, interfaces, utilities, accessories, standards, environmental limits and service requirements. Final capabilities depend on the approved Standard Resolution Telecentric Lens configuration.</v>
      </c>
      <c r="Q152" s="54"/>
      <c r="R152" s="54" t="str">
        <f t="shared" si="41"/>
        <v>Telecentric Lenses applications; laboratory research, engineering development, quality control and industrial deployment where applicable. Suitability must be confirmed against the user's sample, process, environment and required standards.</v>
      </c>
      <c r="S152" s="54"/>
      <c r="T152" s="54" t="str">
        <f t="shared" si="42"/>
        <v>Standard Resolution Telecentric Lens from Lano-tech</v>
      </c>
      <c r="U152" s="54"/>
      <c r="V152" s="54" t="s">
        <v>2673</v>
      </c>
      <c r="W152" s="54" t="str">
        <f t="shared" si="43"/>
        <v>See other Telecentric Lenses products</v>
      </c>
      <c r="X152" s="54" t="str">
        <f t="shared" si="44"/>
        <v>Telecentric Lenses enquiry → website group enquiry form → category owner assignment</v>
      </c>
      <c r="Y152" s="54" t="str">
        <f t="shared" si="45"/>
        <v>Standard Resolution Telecentric Lens, Telecentric Lenses, Lano-tech, technical equipment, DIWAN</v>
      </c>
      <c r="Z152" s="54" t="s">
        <v>2257</v>
      </c>
      <c r="AA152" s="55">
        <v>46257</v>
      </c>
      <c r="AB152" s="54" t="s">
        <v>2465</v>
      </c>
      <c r="AC152" s="63" t="str">
        <f t="shared" si="46"/>
        <v>Content drafted - assets/specs pending</v>
      </c>
      <c r="AD152"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2" s="58"/>
      <c r="AF152" s="58"/>
      <c r="AG152" s="58" t="s">
        <v>2467</v>
      </c>
      <c r="AH152" s="58" t="s">
        <v>2468</v>
      </c>
      <c r="AI152" s="58" t="s">
        <v>2469</v>
      </c>
    </row>
    <row r="153" spans="1:35" ht="42" customHeight="1" x14ac:dyDescent="0.35">
      <c r="A153" s="69">
        <f t="shared" si="48"/>
        <v>38</v>
      </c>
      <c r="B153" s="70" t="s">
        <v>189</v>
      </c>
      <c r="C153" s="71" t="s">
        <v>11</v>
      </c>
      <c r="D153" s="72" t="s">
        <v>12</v>
      </c>
      <c r="E153" s="45" t="s">
        <v>193</v>
      </c>
      <c r="F153" s="49" t="s">
        <v>3000</v>
      </c>
      <c r="G153" s="45" t="s">
        <v>3045</v>
      </c>
      <c r="H153" s="47">
        <v>46257</v>
      </c>
      <c r="I153" s="48" t="s">
        <v>1663</v>
      </c>
      <c r="J153" s="48" t="s">
        <v>950</v>
      </c>
      <c r="K153" s="48" t="str">
        <f t="shared" si="38"/>
        <v>65mm High Resolution Telecentric Lens is a telecentric lenses product from Lano-tech for application-specific laboratory, engineering or industrial use.</v>
      </c>
      <c r="L153" s="48" t="str">
        <f t="shared" si="39"/>
        <v>65mm High Resolution Telecentric Lens from Lano-tech for telecentric lenses applications. Review configuration requirements and request technical information or a quotation from DIWAN.</v>
      </c>
      <c r="M153" s="48" t="s">
        <v>2020</v>
      </c>
      <c r="N153" s="61" t="s">
        <v>2672</v>
      </c>
      <c r="O153" s="54" t="str" cm="1">
        <f t="array" ref="O153">_xlfn.LET(_xlpm.n,LOWER(E153),_xlpm.c,LOWER(B153),_xlpm.t,_xlfn.IFS(OR(ISNUMBER(SEARCH("lens",_xlpm.n)),ISNUMBER(SEARCH("optic",_xlpm.n)),ISNUMBER(SEARCH("polarizer",_xlpm.n))),"precision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"),E153&amp;" is "&amp;_xlpm.art&amp;_xlpm.t&amp;" from "&amp;C153&amp;" designed for application-specific laboratory, engineering or industrial use. It belongs to DIWAN's "&amp;B153&amp;" portfolio; final configuration must be selected against performance, integration and compliance requirements.")</f>
        <v>65mm High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3" s="54" t="str">
        <f t="shared" si="40"/>
        <v>Selection should confirm the model-specific operating range, capacity, accuracy, interfaces, utilities, accessories, standards, environmental limits and service requirements. Final capabilities depend on the approved 65mm High Resolution Telecentric Lens configuration.</v>
      </c>
      <c r="Q153" s="54"/>
      <c r="R153" s="54" t="str">
        <f t="shared" si="41"/>
        <v>Telecentric Lenses applications; laboratory research, engineering development, quality control and industrial deployment where applicable. Suitability must be confirmed against the user's sample, process, environment and required standards.</v>
      </c>
      <c r="S153" s="54"/>
      <c r="T153" s="54" t="str">
        <f t="shared" si="42"/>
        <v>65mm High Resolution Telecentric Lens from Lano-tech</v>
      </c>
      <c r="U153" s="54"/>
      <c r="V153" s="54" t="s">
        <v>2673</v>
      </c>
      <c r="W153" s="54" t="str">
        <f t="shared" si="43"/>
        <v>See other Telecentric Lenses products</v>
      </c>
      <c r="X153" s="54" t="str">
        <f t="shared" si="44"/>
        <v>Telecentric Lenses enquiry → website group enquiry form → category owner assignment</v>
      </c>
      <c r="Y153" s="54" t="str">
        <f t="shared" si="45"/>
        <v>65mm High Resolution Telecentric Lens, Telecentric Lenses, Lano-tech, technical equipment, DIWAN</v>
      </c>
      <c r="Z153" s="54" t="s">
        <v>2257</v>
      </c>
      <c r="AA153" s="55">
        <v>46257</v>
      </c>
      <c r="AB153" s="54" t="s">
        <v>2465</v>
      </c>
      <c r="AC153" s="63" t="str">
        <f t="shared" si="46"/>
        <v>Content drafted - assets/specs pending</v>
      </c>
      <c r="AD153"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3" s="58"/>
      <c r="AF153" s="58"/>
      <c r="AG153" s="58" t="s">
        <v>2467</v>
      </c>
      <c r="AH153" s="58" t="s">
        <v>2468</v>
      </c>
      <c r="AI153" s="58" t="s">
        <v>2469</v>
      </c>
    </row>
    <row r="154" spans="1:35" ht="42" customHeight="1" x14ac:dyDescent="0.35">
      <c r="A154" s="69">
        <f t="shared" si="48"/>
        <v>38</v>
      </c>
      <c r="B154" s="70" t="s">
        <v>189</v>
      </c>
      <c r="C154" s="71" t="s">
        <v>11</v>
      </c>
      <c r="D154" s="72" t="s">
        <v>12</v>
      </c>
      <c r="E154" s="45" t="s">
        <v>194</v>
      </c>
      <c r="F154" s="49" t="s">
        <v>3000</v>
      </c>
      <c r="G154" s="45" t="s">
        <v>3045</v>
      </c>
      <c r="H154" s="47">
        <v>46257</v>
      </c>
      <c r="I154" s="48" t="s">
        <v>1664</v>
      </c>
      <c r="J154" s="48" t="s">
        <v>951</v>
      </c>
      <c r="K154" s="48" t="str">
        <f t="shared" si="38"/>
        <v>110mm High Resolution Telecentric Lens is a telecentric lenses product from Lano-tech for application-specific laboratory, engineering or industrial use.</v>
      </c>
      <c r="L154" s="48" t="str">
        <f t="shared" si="39"/>
        <v>110mm High Resolution Telecentric Lens from Lano-tech for telecentric lenses applications. Review configuration requirements and request technical information or a quotation from DIWAN.</v>
      </c>
      <c r="M154" s="48" t="s">
        <v>2020</v>
      </c>
      <c r="N154" s="61" t="s">
        <v>2672</v>
      </c>
      <c r="O154" s="54" t="str" cm="1">
        <f t="array" ref="O154">_xlfn.LET(_xlpm.n,LOWER(E154),_xlpm.c,LOWER(B154),_xlpm.t,_xlfn.IFS(OR(ISNUMBER(SEARCH("lens",_xlpm.n)),ISNUMBER(SEARCH("optic",_xlpm.n)),ISNUMBER(SEARCH("polarizer",_xlpm.n))),"precision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"),E154&amp;" is "&amp;_xlpm.art&amp;_xlpm.t&amp;" from "&amp;C154&amp;" designed for application-specific laboratory, engineering or industrial use. It belongs to DIWAN's "&amp;B154&amp;" portfolio; final configuration must be selected against performance, integration and compliance requirements.")</f>
        <v>110mm High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4" s="54" t="str">
        <f t="shared" si="40"/>
        <v>Selection should confirm the model-specific operating range, capacity, accuracy, interfaces, utilities, accessories, standards, environmental limits and service requirements. Final capabilities depend on the approved 110mm High Resolution Telecentric Lens configuration.</v>
      </c>
      <c r="Q154" s="54"/>
      <c r="R154" s="54" t="str">
        <f t="shared" si="41"/>
        <v>Telecentric Lenses applications; laboratory research, engineering development, quality control and industrial deployment where applicable. Suitability must be confirmed against the user's sample, process, environment and required standards.</v>
      </c>
      <c r="S154" s="54"/>
      <c r="T154" s="54" t="str">
        <f t="shared" si="42"/>
        <v>110mm High Resolution Telecentric Lens from Lano-tech</v>
      </c>
      <c r="U154" s="54"/>
      <c r="V154" s="54" t="s">
        <v>2673</v>
      </c>
      <c r="W154" s="54" t="str">
        <f t="shared" si="43"/>
        <v>See other Telecentric Lenses products</v>
      </c>
      <c r="X154" s="54" t="str">
        <f t="shared" si="44"/>
        <v>Telecentric Lenses enquiry → website group enquiry form → category owner assignment</v>
      </c>
      <c r="Y154" s="54" t="str">
        <f t="shared" si="45"/>
        <v>110mm High Resolution Telecentric Lens, Telecentric Lenses, Lano-tech, technical equipment, DIWAN</v>
      </c>
      <c r="Z154" s="54" t="s">
        <v>2257</v>
      </c>
      <c r="AA154" s="55">
        <v>46257</v>
      </c>
      <c r="AB154" s="54" t="s">
        <v>2465</v>
      </c>
      <c r="AC154" s="63" t="str">
        <f t="shared" si="46"/>
        <v>Content drafted - assets/specs pending</v>
      </c>
      <c r="AD154"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4" s="58"/>
      <c r="AF154" s="58"/>
      <c r="AG154" s="58" t="s">
        <v>2467</v>
      </c>
      <c r="AH154" s="58" t="s">
        <v>2468</v>
      </c>
      <c r="AI154" s="58" t="s">
        <v>2469</v>
      </c>
    </row>
    <row r="155" spans="1:35" ht="42" customHeight="1" x14ac:dyDescent="0.35">
      <c r="A155" s="69">
        <f t="shared" si="48"/>
        <v>38</v>
      </c>
      <c r="B155" s="70" t="s">
        <v>189</v>
      </c>
      <c r="C155" s="71" t="s">
        <v>11</v>
      </c>
      <c r="D155" s="72" t="s">
        <v>12</v>
      </c>
      <c r="E155" s="45" t="s">
        <v>195</v>
      </c>
      <c r="F155" s="49" t="s">
        <v>3000</v>
      </c>
      <c r="G155" s="45" t="s">
        <v>3045</v>
      </c>
      <c r="H155" s="47">
        <v>46257</v>
      </c>
      <c r="I155" s="48" t="s">
        <v>1665</v>
      </c>
      <c r="J155" s="48" t="s">
        <v>952</v>
      </c>
      <c r="K155" s="48" t="str">
        <f t="shared" si="38"/>
        <v>High Resolution Telecentric Lens is a telecentric lenses product from Lano-tech for application-specific laboratory, engineering or industrial use.</v>
      </c>
      <c r="L155" s="48" t="str">
        <f t="shared" si="39"/>
        <v>High Resolution Telecentric Lens from Lano-tech for telecentric lenses applications. Review configuration requirements and request technical information or a quotation from DIWAN.</v>
      </c>
      <c r="M155" s="48" t="s">
        <v>2020</v>
      </c>
      <c r="N155" s="61" t="s">
        <v>2672</v>
      </c>
      <c r="O155" s="54" t="str" cm="1">
        <f t="array" ref="O155">_xlfn.LET(_xlpm.n,LOWER(E155),_xlpm.c,LOWER(B155),_xlpm.t,_xlfn.IFS(OR(ISNUMBER(SEARCH("lens",_xlpm.n)),ISNUMBER(SEARCH("optic",_xlpm.n)),ISNUMBER(SEARCH("polarizer",_xlpm.n))),"precision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"),E155&amp;" is "&amp;_xlpm.art&amp;_xlpm.t&amp;" from "&amp;C155&amp;" designed for application-specific laboratory, engineering or industrial use. It belongs to DIWAN's "&amp;B155&amp;" portfolio; final configuration must be selected against performance, integration and compliance requirements.")</f>
        <v>High Resolution 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5" s="54" t="str">
        <f t="shared" si="40"/>
        <v>Selection should confirm the model-specific operating range, capacity, accuracy, interfaces, utilities, accessories, standards, environmental limits and service requirements. Final capabilities depend on the approved High Resolution Telecentric Lens configuration.</v>
      </c>
      <c r="Q155" s="54"/>
      <c r="R155" s="54" t="str">
        <f t="shared" si="41"/>
        <v>Telecentric Lenses applications; laboratory research, engineering development, quality control and industrial deployment where applicable. Suitability must be confirmed against the user's sample, process, environment and required standards.</v>
      </c>
      <c r="S155" s="54"/>
      <c r="T155" s="54" t="str">
        <f t="shared" si="42"/>
        <v>High Resolution Telecentric Lens from Lano-tech</v>
      </c>
      <c r="U155" s="54"/>
      <c r="V155" s="54" t="s">
        <v>2673</v>
      </c>
      <c r="W155" s="54" t="str">
        <f t="shared" si="43"/>
        <v>See other Telecentric Lenses products</v>
      </c>
      <c r="X155" s="54" t="str">
        <f t="shared" si="44"/>
        <v>Telecentric Lenses enquiry → website group enquiry form → category owner assignment</v>
      </c>
      <c r="Y155" s="54" t="str">
        <f t="shared" si="45"/>
        <v>High Resolution Telecentric Lens, Telecentric Lenses, Lano-tech, technical equipment, DIWAN</v>
      </c>
      <c r="Z155" s="54" t="s">
        <v>2257</v>
      </c>
      <c r="AA155" s="55">
        <v>46257</v>
      </c>
      <c r="AB155" s="54" t="s">
        <v>2465</v>
      </c>
      <c r="AC155" s="63" t="str">
        <f t="shared" si="46"/>
        <v>Content drafted - assets/specs pending</v>
      </c>
      <c r="AD155"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5" s="58"/>
      <c r="AF155" s="58"/>
      <c r="AG155" s="58" t="s">
        <v>2467</v>
      </c>
      <c r="AH155" s="58" t="s">
        <v>2468</v>
      </c>
      <c r="AI155" s="58" t="s">
        <v>2469</v>
      </c>
    </row>
    <row r="156" spans="1:35" ht="42" customHeight="1" x14ac:dyDescent="0.35">
      <c r="A156" s="69">
        <f t="shared" si="48"/>
        <v>38</v>
      </c>
      <c r="B156" s="70" t="s">
        <v>189</v>
      </c>
      <c r="C156" s="71" t="s">
        <v>11</v>
      </c>
      <c r="D156" s="72" t="s">
        <v>12</v>
      </c>
      <c r="E156" s="45" t="s">
        <v>196</v>
      </c>
      <c r="F156" s="49" t="s">
        <v>3000</v>
      </c>
      <c r="G156" s="45" t="s">
        <v>3045</v>
      </c>
      <c r="H156" s="47">
        <v>46257</v>
      </c>
      <c r="I156" s="48" t="s">
        <v>1666</v>
      </c>
      <c r="J156" s="48" t="s">
        <v>953</v>
      </c>
      <c r="K156" s="48" t="str">
        <f t="shared" si="38"/>
        <v>BT-10 Series Bi-Telecentric Lens is a telecentric lenses product from Lano-tech for application-specific laboratory, engineering or industrial use.</v>
      </c>
      <c r="L156" s="48" t="str">
        <f t="shared" si="39"/>
        <v>BT-10 Series Bi-Telecentric Lens from Lano-tech for telecentric lenses applications. Review configuration requirements and request technical information or a quotation from DIWAN.</v>
      </c>
      <c r="M156" s="48" t="s">
        <v>2020</v>
      </c>
      <c r="N156" s="61" t="s">
        <v>2672</v>
      </c>
      <c r="O156" s="54" t="str" cm="1">
        <f t="array" ref="O156">_xlfn.LET(_xlpm.n,LOWER(E156),_xlpm.c,LOWER(B156),_xlpm.t,_xlfn.IFS(OR(ISNUMBER(SEARCH("lens",_xlpm.n)),ISNUMBER(SEARCH("optic",_xlpm.n)),ISNUMBER(SEARCH("polarizer",_xlpm.n))),"precision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"),E156&amp;" is "&amp;_xlpm.art&amp;_xlpm.t&amp;" from "&amp;C156&amp;" designed for application-specific laboratory, engineering or industrial use. It belongs to DIWAN's "&amp;B156&amp;" portfolio; final configuration must be selected against performance, integration and compliance requirements.")</f>
        <v>BT-10 Series Bi-Telecentric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6" s="54" t="str">
        <f t="shared" si="40"/>
        <v>Selection should confirm the model-specific operating range, capacity, accuracy, interfaces, utilities, accessories, standards, environmental limits and service requirements. Final capabilities depend on the approved BT-10 Series Bi-Telecentric Lens configuration.</v>
      </c>
      <c r="Q156" s="54"/>
      <c r="R156" s="54" t="str">
        <f t="shared" si="41"/>
        <v>Telecentric Lenses applications; laboratory research, engineering development, quality control and industrial deployment where applicable. Suitability must be confirmed against the user's sample, process, environment and required standards.</v>
      </c>
      <c r="S156" s="54"/>
      <c r="T156" s="54" t="str">
        <f t="shared" si="42"/>
        <v>BT-10 Series Bi-Telecentric Lens from Lano-tech</v>
      </c>
      <c r="U156" s="54"/>
      <c r="V156" s="54" t="s">
        <v>2673</v>
      </c>
      <c r="W156" s="54" t="str">
        <f t="shared" si="43"/>
        <v>See other Telecentric Lenses products</v>
      </c>
      <c r="X156" s="54" t="str">
        <f t="shared" si="44"/>
        <v>Telecentric Lenses enquiry → website group enquiry form → category owner assignment</v>
      </c>
      <c r="Y156" s="54" t="str">
        <f t="shared" si="45"/>
        <v>BT-10 Series Bi-Telecentric Lens, Telecentric Lenses, Lano-tech, technical equipment, DIWAN</v>
      </c>
      <c r="Z156" s="54" t="s">
        <v>2257</v>
      </c>
      <c r="AA156" s="55">
        <v>46257</v>
      </c>
      <c r="AB156" s="54" t="s">
        <v>2465</v>
      </c>
      <c r="AC156" s="63" t="str">
        <f t="shared" si="46"/>
        <v>Content drafted - assets/specs pending</v>
      </c>
      <c r="AD156"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6" s="58"/>
      <c r="AF156" s="58"/>
      <c r="AG156" s="58" t="s">
        <v>2467</v>
      </c>
      <c r="AH156" s="58" t="s">
        <v>2468</v>
      </c>
      <c r="AI156" s="58" t="s">
        <v>2469</v>
      </c>
    </row>
    <row r="157" spans="1:35" ht="42" customHeight="1" x14ac:dyDescent="0.35">
      <c r="A157" s="69">
        <f t="shared" si="48"/>
        <v>38</v>
      </c>
      <c r="B157" s="70" t="s">
        <v>189</v>
      </c>
      <c r="C157" s="71" t="s">
        <v>11</v>
      </c>
      <c r="D157" s="72" t="s">
        <v>12</v>
      </c>
      <c r="E157" s="45" t="s">
        <v>197</v>
      </c>
      <c r="F157" s="49" t="s">
        <v>3000</v>
      </c>
      <c r="G157" s="45" t="s">
        <v>3045</v>
      </c>
      <c r="H157" s="47">
        <v>46257</v>
      </c>
      <c r="I157" s="48" t="s">
        <v>1667</v>
      </c>
      <c r="J157" s="48" t="s">
        <v>954</v>
      </c>
      <c r="K157" s="48" t="str">
        <f t="shared" si="38"/>
        <v>BT-23 Series Bi-Telecentric Lens is a telecentric lenses product from Lano-tech for application-specific laboratory, engineering or industrial use.</v>
      </c>
      <c r="L157" s="48" t="str">
        <f t="shared" si="39"/>
        <v>BT-23 Series Bi-Telecentric Lens from Lano-tech for telecentric lenses applications. Review configuration requirements and request technical information or a quotation from DIWAN.</v>
      </c>
      <c r="M157" s="48" t="s">
        <v>2020</v>
      </c>
      <c r="N157" s="61" t="s">
        <v>2672</v>
      </c>
      <c r="O157" s="54" t="str" cm="1">
        <f t="array" ref="O157">_xlfn.LET(_xlpm.n,LOWER(E157),_xlpm.c,LOWER(B157),_xlpm.t,_xlfn.IFS(OR(ISNUMBER(SEARCH("lens",_xlpm.n)),ISNUMBER(SEARCH("optic",_xlpm.n)),ISNUMBER(SEARCH("polarizer",_xlpm.n))),"precision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"),E157&amp;" is "&amp;_xlpm.art&amp;_xlpm.t&amp;" from "&amp;C157&amp;" designed for application-specific laboratory, engineering or industrial use. It belongs to DIWAN's "&amp;B157&amp;" portfolio; final configuration must be selected against performance, integration and compliance requirements.")</f>
        <v>BT-23 Series Bi-Telecentric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7" s="54" t="str">
        <f t="shared" si="40"/>
        <v>Selection should confirm the model-specific operating range, capacity, accuracy, interfaces, utilities, accessories, standards, environmental limits and service requirements. Final capabilities depend on the approved BT-23 Series Bi-Telecentric Lens configuration.</v>
      </c>
      <c r="Q157" s="54"/>
      <c r="R157" s="54" t="str">
        <f t="shared" si="41"/>
        <v>Telecentric Lenses applications; laboratory research, engineering development, quality control and industrial deployment where applicable. Suitability must be confirmed against the user's sample, process, environment and required standards.</v>
      </c>
      <c r="S157" s="54"/>
      <c r="T157" s="54" t="str">
        <f t="shared" si="42"/>
        <v>BT-23 Series Bi-Telecentric Lens from Lano-tech</v>
      </c>
      <c r="U157" s="54"/>
      <c r="V157" s="54" t="s">
        <v>2673</v>
      </c>
      <c r="W157" s="54" t="str">
        <f t="shared" si="43"/>
        <v>See other Telecentric Lenses products</v>
      </c>
      <c r="X157" s="54" t="str">
        <f t="shared" si="44"/>
        <v>Telecentric Lenses enquiry → website group enquiry form → category owner assignment</v>
      </c>
      <c r="Y157" s="54" t="str">
        <f t="shared" si="45"/>
        <v>BT-23 Series Bi-Telecentric Lens, Telecentric Lenses, Lano-tech, technical equipment, DIWAN</v>
      </c>
      <c r="Z157" s="54" t="s">
        <v>2257</v>
      </c>
      <c r="AA157" s="55">
        <v>46257</v>
      </c>
      <c r="AB157" s="54" t="s">
        <v>2465</v>
      </c>
      <c r="AC157" s="63" t="str">
        <f t="shared" si="46"/>
        <v>Content drafted - assets/specs pending</v>
      </c>
      <c r="AD157"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7" s="58"/>
      <c r="AF157" s="58"/>
      <c r="AG157" s="58" t="s">
        <v>2467</v>
      </c>
      <c r="AH157" s="58" t="s">
        <v>2468</v>
      </c>
      <c r="AI157" s="58" t="s">
        <v>2469</v>
      </c>
    </row>
    <row r="158" spans="1:35" ht="42" customHeight="1" thickBot="1" x14ac:dyDescent="0.4">
      <c r="A158" s="69">
        <f t="shared" si="48"/>
        <v>38</v>
      </c>
      <c r="B158" s="70" t="s">
        <v>189</v>
      </c>
      <c r="C158" s="71" t="s">
        <v>11</v>
      </c>
      <c r="D158" s="72" t="s">
        <v>12</v>
      </c>
      <c r="E158" s="45" t="s">
        <v>198</v>
      </c>
      <c r="F158" s="49" t="s">
        <v>3000</v>
      </c>
      <c r="G158" s="45" t="s">
        <v>3045</v>
      </c>
      <c r="H158" s="47">
        <v>46257</v>
      </c>
      <c r="I158" s="48" t="s">
        <v>1668</v>
      </c>
      <c r="J158" s="48" t="s">
        <v>955</v>
      </c>
      <c r="K158" s="48" t="str">
        <f t="shared" si="38"/>
        <v>BT-43 Series Bi-Telecentric Lens is a telecentric lenses product from Lano-tech for application-specific laboratory, engineering or industrial use.</v>
      </c>
      <c r="L158" s="48" t="str">
        <f t="shared" si="39"/>
        <v>BT-43 Series Bi-Telecentric Lens from Lano-tech for telecentric lenses applications. Review configuration requirements and request technical information or a quotation from DIWAN.</v>
      </c>
      <c r="M158" s="48" t="s">
        <v>2020</v>
      </c>
      <c r="N158" s="61" t="s">
        <v>2672</v>
      </c>
      <c r="O158" s="54" t="str" cm="1">
        <f t="array" ref="O158">_xlfn.LET(_xlpm.n,LOWER(E158),_xlpm.c,LOWER(B158),_xlpm.t,_xlfn.IFS(OR(ISNUMBER(SEARCH("lens",_xlpm.n)),ISNUMBER(SEARCH("optic",_xlpm.n)),ISNUMBER(SEARCH("polarizer",_xlpm.n))),"precision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"),E158&amp;" is "&amp;_xlpm.art&amp;_xlpm.t&amp;" from "&amp;C158&amp;" designed for application-specific laboratory, engineering or industrial use. It belongs to DIWAN's "&amp;B158&amp;" portfolio; final configuration must be selected against performance, integration and compliance requirements.")</f>
        <v>BT-43 Series Bi-Telecentric Lens is a precision optical component from Lano-tech designed for application-specific laboratory, engineering or industrial use. It belongs to DIWAN's Telecentric Lenses portfolio; final configuration must be selected against performance, integration and compliance requirements.</v>
      </c>
      <c r="P158" s="54" t="str">
        <f t="shared" si="40"/>
        <v>Selection should confirm the model-specific operating range, capacity, accuracy, interfaces, utilities, accessories, standards, environmental limits and service requirements. Final capabilities depend on the approved BT-43 Series Bi-Telecentric Lens configuration.</v>
      </c>
      <c r="Q158" s="54"/>
      <c r="R158" s="54" t="str">
        <f t="shared" si="41"/>
        <v>Telecentric Lenses applications; laboratory research, engineering development, quality control and industrial deployment where applicable. Suitability must be confirmed against the user's sample, process, environment and required standards.</v>
      </c>
      <c r="S158" s="54"/>
      <c r="T158" s="54" t="str">
        <f t="shared" si="42"/>
        <v>BT-43 Series Bi-Telecentric Lens from Lano-tech</v>
      </c>
      <c r="U158" s="54"/>
      <c r="V158" s="54" t="s">
        <v>2673</v>
      </c>
      <c r="W158" s="54" t="str">
        <f t="shared" si="43"/>
        <v>See other Telecentric Lenses products</v>
      </c>
      <c r="X158" s="54" t="str">
        <f t="shared" si="44"/>
        <v>Telecentric Lenses enquiry → website group enquiry form → category owner assignment</v>
      </c>
      <c r="Y158" s="54" t="str">
        <f t="shared" si="45"/>
        <v>BT-43 Series Bi-Telecentric Lens, Telecentric Lenses, Lano-tech, technical equipment, DIWAN</v>
      </c>
      <c r="Z158" s="54" t="s">
        <v>2257</v>
      </c>
      <c r="AA158" s="55">
        <v>46257</v>
      </c>
      <c r="AB158" s="54" t="s">
        <v>2465</v>
      </c>
      <c r="AC158" s="63" t="str">
        <f t="shared" si="46"/>
        <v>Content drafted - assets/specs pending</v>
      </c>
      <c r="AD158" s="54"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8" s="58"/>
      <c r="AF158" s="58"/>
      <c r="AG158" s="58" t="s">
        <v>2467</v>
      </c>
      <c r="AH158" s="58" t="s">
        <v>2468</v>
      </c>
      <c r="AI158" s="58" t="s">
        <v>2469</v>
      </c>
    </row>
    <row r="159" spans="1:35" ht="42" customHeight="1" x14ac:dyDescent="0.35">
      <c r="A159" s="69">
        <f t="shared" si="48"/>
        <v>39</v>
      </c>
      <c r="B159" s="74" t="s">
        <v>199</v>
      </c>
      <c r="C159" s="75" t="s">
        <v>11</v>
      </c>
      <c r="D159" s="76" t="s">
        <v>12</v>
      </c>
      <c r="E159" s="77" t="s">
        <v>200</v>
      </c>
      <c r="F159" s="86" t="s">
        <v>3001</v>
      </c>
      <c r="G159" s="77" t="s">
        <v>3045</v>
      </c>
      <c r="H159" s="79">
        <v>46257</v>
      </c>
      <c r="I159" s="80" t="s">
        <v>1669</v>
      </c>
      <c r="J159" s="80" t="s">
        <v>956</v>
      </c>
      <c r="K159" s="80" t="str">
        <f t="shared" si="38"/>
        <v>360 Degree Internal Inspection Lens is a 360-degree inspection lenses product from Lano-tech for application-specific laboratory, engineering or industrial use.</v>
      </c>
      <c r="L159" s="80" t="str">
        <f t="shared" si="39"/>
        <v>360 Degree Internal Inspection Lens from Lano-tech for 360-degree inspection lenses applications. Review configuration requirements and request technical information or a quotation from DIWAN.</v>
      </c>
      <c r="M159" s="80" t="s">
        <v>2020</v>
      </c>
      <c r="N159" s="81" t="s">
        <v>2672</v>
      </c>
      <c r="O159" s="82" t="str" cm="1">
        <f t="array" ref="O159">_xlfn.LET(_xlpm.n,LOWER(E159),_xlpm.c,LOWER(B159),_xlpm.t,_xlfn.IFS(OR(ISNUMBER(SEARCH("lens",_xlpm.n)),ISNUMBER(SEARCH("optic",_xlpm.n)),ISNUMBER(SEARCH("polarizer",_xlpm.n))),"precision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"),E159&amp;" is "&amp;_xlpm.art&amp;_xlpm.t&amp;" from "&amp;C159&amp;" designed for application-specific laboratory, engineering or industrial use. It belongs to DIWAN's "&amp;B159&amp;" portfolio; final configuration must be selected against performance, integration and compliance requirements.")</f>
        <v>360 Degree Internal Inspection Lens is a precision optical component from Lano-tech designed for application-specific laboratory, engineering or industrial use. It belongs to DIWAN's 360-Degree Inspection Lenses portfolio; final configuration must be selected against performance, integration and compliance requirements.</v>
      </c>
      <c r="P159" s="82" t="str">
        <f t="shared" si="40"/>
        <v>Selection should confirm the model-specific operating range, capacity, accuracy, interfaces, utilities, accessories, standards, environmental limits and service requirements. Final capabilities depend on the approved 360 Degree Internal Inspection Lens configuration.</v>
      </c>
      <c r="Q159" s="82"/>
      <c r="R159" s="82" t="str">
        <f t="shared" si="41"/>
        <v>360-Degree Inspection Lenses applications; laboratory research, engineering development, quality control and industrial deployment where applicable. Suitability must be confirmed against the user's sample, process, environment and required standards.</v>
      </c>
      <c r="S159" s="82"/>
      <c r="T159" s="82" t="str">
        <f t="shared" si="42"/>
        <v>360 Degree Internal Inspection Lens from Lano-tech</v>
      </c>
      <c r="U159" s="82"/>
      <c r="V159" s="82" t="s">
        <v>2673</v>
      </c>
      <c r="W159" s="82" t="str">
        <f t="shared" si="43"/>
        <v>See other 360-Degree Inspection Lenses products</v>
      </c>
      <c r="X159" s="82" t="str">
        <f t="shared" si="44"/>
        <v>360-Degree Inspection Lenses enquiry → website group enquiry form → category owner assignment</v>
      </c>
      <c r="Y159" s="82" t="str">
        <f t="shared" si="45"/>
        <v>360 Degree Internal Inspection Lens, 360-Degree Inspection Lenses, Lano-tech, technical equipment, DIWAN</v>
      </c>
      <c r="Z159" s="82" t="s">
        <v>2258</v>
      </c>
      <c r="AA159" s="83">
        <v>46257</v>
      </c>
      <c r="AB159" s="82" t="s">
        <v>2465</v>
      </c>
      <c r="AC159" s="84" t="str">
        <f t="shared" si="46"/>
        <v>Content drafted - assets/specs pending</v>
      </c>
      <c r="AD159" s="82" t="str">
        <f t="shared" si="47"/>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59" s="85"/>
      <c r="AF159" s="85"/>
      <c r="AG159" s="85" t="s">
        <v>2467</v>
      </c>
      <c r="AH159" s="85" t="s">
        <v>2468</v>
      </c>
      <c r="AI159" s="85" t="s">
        <v>2469</v>
      </c>
    </row>
    <row r="160" spans="1:35" ht="42" customHeight="1" thickBot="1" x14ac:dyDescent="0.4">
      <c r="A160" s="69">
        <f t="shared" si="48"/>
        <v>39</v>
      </c>
      <c r="B160" s="70" t="s">
        <v>199</v>
      </c>
      <c r="C160" s="71" t="s">
        <v>11</v>
      </c>
      <c r="D160" s="72" t="s">
        <v>12</v>
      </c>
      <c r="E160" s="45" t="s">
        <v>201</v>
      </c>
      <c r="F160" s="49" t="s">
        <v>3001</v>
      </c>
      <c r="G160" s="45" t="s">
        <v>3045</v>
      </c>
      <c r="H160" s="47">
        <v>46257</v>
      </c>
      <c r="I160" s="48" t="s">
        <v>1670</v>
      </c>
      <c r="J160" s="48" t="s">
        <v>957</v>
      </c>
      <c r="K160" s="48" t="str">
        <f t="shared" ref="K160:K223" si="49">E160&amp;" is "&amp;IF(ISNUMBER(SEARCH(LEFT(LOWER(B160),1),"aeiou")),"an ","a ")&amp;LOWER(B160)&amp;" product from "&amp;C160&amp;" for application-specific laboratory, engineering or industrial use."</f>
        <v>360 Degree External Inspection Lens is a 360-degree inspection lenses product from Lano-tech for application-specific laboratory, engineering or industrial use.</v>
      </c>
      <c r="L160" s="48" t="str">
        <f t="shared" ref="L160:L223" si="50">E160&amp;" from "&amp;C160&amp;" for "&amp;LOWER(B160)&amp;" applications. Review configuration requirements and request technical information or a quotation from DIWAN."</f>
        <v>360 Degree External Inspection Lens from Lano-tech for 360-degree inspection lenses applications. Review configuration requirements and request technical information or a quotation from DIWAN.</v>
      </c>
      <c r="M160" s="48" t="s">
        <v>2020</v>
      </c>
      <c r="N160" s="61" t="s">
        <v>2672</v>
      </c>
      <c r="O160" s="54" t="str" cm="1">
        <f t="array" ref="O160">_xlfn.LET(_xlpm.n,LOWER(E160),_xlpm.c,LOWER(B160),_xlpm.t,_xlfn.IFS(OR(ISNUMBER(SEARCH("lens",_xlpm.n)),ISNUMBER(SEARCH("optic",_xlpm.n)),ISNUMBER(SEARCH("polarizer",_xlpm.n))),"precision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"),E160&amp;" is "&amp;_xlpm.art&amp;_xlpm.t&amp;" from "&amp;C160&amp;" designed for application-specific laboratory, engineering or industrial use. It belongs to DIWAN's "&amp;B160&amp;" portfolio; final configuration must be selected against performance, integration and compliance requirements.")</f>
        <v>360 Degree External Inspection Lens is a precision optical component from Lano-tech designed for application-specific laboratory, engineering or industrial use. It belongs to DIWAN's 360-Degree Inspection Lenses portfolio; final configuration must be selected against performance, integration and compliance requirements.</v>
      </c>
      <c r="P160" s="54" t="str">
        <f t="shared" ref="P160:P223" si="51">"Selection should confirm the model-specific operating range, capacity, accuracy, interfaces, utilities, accessories, standards, environmental limits and service requirements. Final capabilities depend on the approved "&amp;E160&amp;" configuration."</f>
        <v>Selection should confirm the model-specific operating range, capacity, accuracy, interfaces, utilities, accessories, standards, environmental limits and service requirements. Final capabilities depend on the approved 360 Degree External Inspection Lens configuration.</v>
      </c>
      <c r="Q160" s="54"/>
      <c r="R160" s="54" t="str">
        <f t="shared" ref="R160:R223" si="52">B160&amp;" applications; laboratory research, engineering development, quality control and industrial deployment where applicable. Suitability must be confirmed against the user's sample, process, environment and required standards."</f>
        <v>360-Degree Inspection Lenses applications; laboratory research, engineering development, quality control and industrial deployment where applicable. Suitability must be confirmed against the user's sample, process, environment and required standards.</v>
      </c>
      <c r="S160" s="54"/>
      <c r="T160" s="54" t="str">
        <f t="shared" ref="T160:T223" si="53">E160&amp;" from "&amp;C160</f>
        <v>360 Degree External Inspection Lens from Lano-tech</v>
      </c>
      <c r="U160" s="54"/>
      <c r="V160" s="54" t="s">
        <v>2673</v>
      </c>
      <c r="W160" s="54" t="str">
        <f t="shared" ref="W160:W223" si="54">"See other "&amp;B160&amp;" products"</f>
        <v>See other 360-Degree Inspection Lenses products</v>
      </c>
      <c r="X160" s="54" t="str">
        <f t="shared" ref="X160:X223" si="55">B160&amp;" enquiry → website group enquiry form → category owner assignment"</f>
        <v>360-Degree Inspection Lenses enquiry → website group enquiry form → category owner assignment</v>
      </c>
      <c r="Y160" s="54" t="str">
        <f t="shared" ref="Y160:Y223" si="56">E160&amp;", "&amp;B160&amp;", "&amp;C160&amp;", technical equipment, DIWAN"</f>
        <v>360 Degree External Inspection Lens, 360-Degree Inspection Lenses, Lano-tech, technical equipment, DIWAN</v>
      </c>
      <c r="Z160" s="54" t="s">
        <v>2258</v>
      </c>
      <c r="AA160" s="55">
        <v>46257</v>
      </c>
      <c r="AB160" s="54" t="s">
        <v>2465</v>
      </c>
      <c r="AC160" s="63" t="str">
        <f t="shared" ref="AC160:AC223" si="57">IF(AND(O160&lt;&gt;"",P160&lt;&gt;"",R160&lt;&gt;"",T160&lt;&gt;"",X160&lt;&gt;"",Y160&lt;&gt;"",Z160&lt;&gt;"",AA160&lt;&gt;"",AB160&lt;&gt;""),IF(AND(Q160&lt;&gt;"",S160&lt;&gt;"",U160&lt;&gt;""),"Ready for approval","Content drafted - assets/specs pending"),IF(COUNTA(O160:AB160)=0,"Not started","In progress"))</f>
        <v>Content drafted - assets/specs pending</v>
      </c>
      <c r="AD160" s="54" t="str">
        <f t="shared" ref="AD160:AD223" si="58">"Baseline definition created from the official catalog name, partner and category classification ("&amp;G160&amp;").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0" s="58"/>
      <c r="AF160" s="58"/>
      <c r="AG160" s="58" t="s">
        <v>2467</v>
      </c>
      <c r="AH160" s="58" t="s">
        <v>2468</v>
      </c>
      <c r="AI160" s="58" t="s">
        <v>2469</v>
      </c>
    </row>
    <row r="161" spans="1:35" ht="42" customHeight="1" x14ac:dyDescent="0.35">
      <c r="A161" s="69">
        <f t="shared" si="48"/>
        <v>40</v>
      </c>
      <c r="B161" s="74" t="s">
        <v>202</v>
      </c>
      <c r="C161" s="75" t="s">
        <v>11</v>
      </c>
      <c r="D161" s="76" t="s">
        <v>12</v>
      </c>
      <c r="E161" s="77" t="s">
        <v>203</v>
      </c>
      <c r="F161" s="86" t="s">
        <v>3002</v>
      </c>
      <c r="G161" s="77" t="s">
        <v>3045</v>
      </c>
      <c r="H161" s="79">
        <v>46257</v>
      </c>
      <c r="I161" s="80" t="s">
        <v>1671</v>
      </c>
      <c r="J161" s="80" t="s">
        <v>958</v>
      </c>
      <c r="K161" s="80" t="str">
        <f t="shared" si="49"/>
        <v>LM Series Low Magnification Line-Scan Lens is a line-scan lenses product from Lano-tech for application-specific laboratory, engineering or industrial use.</v>
      </c>
      <c r="L161" s="80" t="str">
        <f t="shared" si="50"/>
        <v>LM Series Low Magnification Line-Scan Lens from Lano-tech for line-scan lenses applications. Review configuration requirements and request technical information or a quotation from DIWAN.</v>
      </c>
      <c r="M161" s="80" t="s">
        <v>2020</v>
      </c>
      <c r="N161" s="81" t="s">
        <v>2672</v>
      </c>
      <c r="O161" s="82" t="str" cm="1">
        <f t="array" ref="O161">_xlfn.LET(_xlpm.n,LOWER(E161),_xlpm.c,LOWER(B161),_xlpm.t,_xlfn.IFS(OR(ISNUMBER(SEARCH("lens",_xlpm.n)),ISNUMBER(SEARCH("optic",_xlpm.n)),ISNUMBER(SEARCH("polarizer",_xlpm.n))),"precision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"),E161&amp;" is "&amp;_xlpm.art&amp;_xlpm.t&amp;" from "&amp;C161&amp;" designed for application-specific laboratory, engineering or industrial use. It belongs to DIWAN's "&amp;B161&amp;" portfolio; final configuration must be selected against performance, integration and compliance requirements.")</f>
        <v>LM Series Low Magnification Line-Scan Lens is a precision optical component from Lano-tech designed for application-specific laboratory, engineering or industrial use. It belongs to DIWAN's Line-Scan Lenses portfolio; final configuration must be selected against performance, integration and compliance requirements.</v>
      </c>
      <c r="P161" s="82" t="str">
        <f t="shared" si="51"/>
        <v>Selection should confirm the model-specific operating range, capacity, accuracy, interfaces, utilities, accessories, standards, environmental limits and service requirements. Final capabilities depend on the approved LM Series Low Magnification Line-Scan Lens configuration.</v>
      </c>
      <c r="Q161" s="82"/>
      <c r="R161" s="82" t="str">
        <f t="shared" si="52"/>
        <v>Line-Scan Lenses applications; laboratory research, engineering development, quality control and industrial deployment where applicable. Suitability must be confirmed against the user's sample, process, environment and required standards.</v>
      </c>
      <c r="S161" s="82"/>
      <c r="T161" s="82" t="str">
        <f t="shared" si="53"/>
        <v>LM Series Low Magnification Line-Scan Lens from Lano-tech</v>
      </c>
      <c r="U161" s="82"/>
      <c r="V161" s="82" t="s">
        <v>2673</v>
      </c>
      <c r="W161" s="82" t="str">
        <f t="shared" si="54"/>
        <v>See other Line-Scan Lenses products</v>
      </c>
      <c r="X161" s="82" t="str">
        <f t="shared" si="55"/>
        <v>Line-Scan Lenses enquiry → website group enquiry form → category owner assignment</v>
      </c>
      <c r="Y161" s="82" t="str">
        <f t="shared" si="56"/>
        <v>LM Series Low Magnification Line-Scan Lens, Line-Scan Lenses, Lano-tech, technical equipment, DIWAN</v>
      </c>
      <c r="Z161" s="82" t="s">
        <v>2259</v>
      </c>
      <c r="AA161" s="83">
        <v>46257</v>
      </c>
      <c r="AB161" s="82" t="s">
        <v>2465</v>
      </c>
      <c r="AC161" s="84" t="str">
        <f t="shared" si="57"/>
        <v>Content drafted - assets/specs pending</v>
      </c>
      <c r="AD161"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1" s="85"/>
      <c r="AF161" s="85"/>
      <c r="AG161" s="85" t="s">
        <v>2467</v>
      </c>
      <c r="AH161" s="85" t="s">
        <v>2468</v>
      </c>
      <c r="AI161" s="85" t="s">
        <v>2469</v>
      </c>
    </row>
    <row r="162" spans="1:35" ht="42" customHeight="1" x14ac:dyDescent="0.35">
      <c r="A162" s="69">
        <f t="shared" si="48"/>
        <v>40</v>
      </c>
      <c r="B162" s="70" t="s">
        <v>202</v>
      </c>
      <c r="C162" s="71" t="s">
        <v>11</v>
      </c>
      <c r="D162" s="72" t="s">
        <v>12</v>
      </c>
      <c r="E162" s="45" t="s">
        <v>204</v>
      </c>
      <c r="F162" s="49" t="s">
        <v>3002</v>
      </c>
      <c r="G162" s="45" t="s">
        <v>3045</v>
      </c>
      <c r="H162" s="47">
        <v>46257</v>
      </c>
      <c r="I162" s="48" t="s">
        <v>1672</v>
      </c>
      <c r="J162" s="48" t="s">
        <v>959</v>
      </c>
      <c r="K162" s="48" t="str">
        <f t="shared" si="49"/>
        <v>LC Series Low Magnification Line-Scan Lens is a line-scan lenses product from Lano-tech for application-specific laboratory, engineering or industrial use.</v>
      </c>
      <c r="L162" s="48" t="str">
        <f t="shared" si="50"/>
        <v>LC Series Low Magnification Line-Scan Lens from Lano-tech for line-scan lenses applications. Review configuration requirements and request technical information or a quotation from DIWAN.</v>
      </c>
      <c r="M162" s="48" t="s">
        <v>2020</v>
      </c>
      <c r="N162" s="61" t="s">
        <v>2672</v>
      </c>
      <c r="O162" s="54" t="str" cm="1">
        <f t="array" ref="O162">_xlfn.LET(_xlpm.n,LOWER(E162),_xlpm.c,LOWER(B162),_xlpm.t,_xlfn.IFS(OR(ISNUMBER(SEARCH("lens",_xlpm.n)),ISNUMBER(SEARCH("optic",_xlpm.n)),ISNUMBER(SEARCH("polarizer",_xlpm.n))),"precision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"),E162&amp;" is "&amp;_xlpm.art&amp;_xlpm.t&amp;" from "&amp;C162&amp;" designed for application-specific laboratory, engineering or industrial use. It belongs to DIWAN's "&amp;B162&amp;" portfolio; final configuration must be selected against performance, integration and compliance requirements.")</f>
        <v>LC Series Low Magnification Line-Scan Lens is a precision optical component from Lano-tech designed for application-specific laboratory, engineering or industrial use. It belongs to DIWAN's Line-Scan Lenses portfolio; final configuration must be selected against performance, integration and compliance requirements.</v>
      </c>
      <c r="P162" s="54" t="str">
        <f t="shared" si="51"/>
        <v>Selection should confirm the model-specific operating range, capacity, accuracy, interfaces, utilities, accessories, standards, environmental limits and service requirements. Final capabilities depend on the approved LC Series Low Magnification Line-Scan Lens configuration.</v>
      </c>
      <c r="Q162" s="54"/>
      <c r="R162" s="54" t="str">
        <f t="shared" si="52"/>
        <v>Line-Scan Lenses applications; laboratory research, engineering development, quality control and industrial deployment where applicable. Suitability must be confirmed against the user's sample, process, environment and required standards.</v>
      </c>
      <c r="S162" s="54"/>
      <c r="T162" s="54" t="str">
        <f t="shared" si="53"/>
        <v>LC Series Low Magnification Line-Scan Lens from Lano-tech</v>
      </c>
      <c r="U162" s="54"/>
      <c r="V162" s="54" t="s">
        <v>2673</v>
      </c>
      <c r="W162" s="54" t="str">
        <f t="shared" si="54"/>
        <v>See other Line-Scan Lenses products</v>
      </c>
      <c r="X162" s="54" t="str">
        <f t="shared" si="55"/>
        <v>Line-Scan Lenses enquiry → website group enquiry form → category owner assignment</v>
      </c>
      <c r="Y162" s="54" t="str">
        <f t="shared" si="56"/>
        <v>LC Series Low Magnification Line-Scan Lens, Line-Scan Lenses, Lano-tech, technical equipment, DIWAN</v>
      </c>
      <c r="Z162" s="54" t="s">
        <v>2259</v>
      </c>
      <c r="AA162" s="55">
        <v>46257</v>
      </c>
      <c r="AB162" s="54" t="s">
        <v>2465</v>
      </c>
      <c r="AC162" s="63" t="str">
        <f t="shared" si="57"/>
        <v>Content drafted - assets/specs pending</v>
      </c>
      <c r="AD16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2" s="58"/>
      <c r="AF162" s="58"/>
      <c r="AG162" s="58" t="s">
        <v>2467</v>
      </c>
      <c r="AH162" s="58" t="s">
        <v>2468</v>
      </c>
      <c r="AI162" s="58" t="s">
        <v>2469</v>
      </c>
    </row>
    <row r="163" spans="1:35" ht="42" customHeight="1" thickBot="1" x14ac:dyDescent="0.4">
      <c r="A163" s="69">
        <f t="shared" si="48"/>
        <v>40</v>
      </c>
      <c r="B163" s="70" t="s">
        <v>202</v>
      </c>
      <c r="C163" s="71" t="s">
        <v>11</v>
      </c>
      <c r="D163" s="72" t="s">
        <v>12</v>
      </c>
      <c r="E163" s="45" t="s">
        <v>205</v>
      </c>
      <c r="F163" s="49" t="s">
        <v>3002</v>
      </c>
      <c r="G163" s="45" t="s">
        <v>3045</v>
      </c>
      <c r="H163" s="47">
        <v>46257</v>
      </c>
      <c r="I163" s="48" t="s">
        <v>1673</v>
      </c>
      <c r="J163" s="48" t="s">
        <v>960</v>
      </c>
      <c r="K163" s="48" t="str">
        <f t="shared" si="49"/>
        <v>LS Series Low Magnification Line-Scan Lens is a line-scan lenses product from Lano-tech for application-specific laboratory, engineering or industrial use.</v>
      </c>
      <c r="L163" s="48" t="str">
        <f t="shared" si="50"/>
        <v>LS Series Low Magnification Line-Scan Lens from Lano-tech for line-scan lenses applications. Review configuration requirements and request technical information or a quotation from DIWAN.</v>
      </c>
      <c r="M163" s="48" t="s">
        <v>2020</v>
      </c>
      <c r="N163" s="61" t="s">
        <v>2672</v>
      </c>
      <c r="O163" s="54" t="str" cm="1">
        <f t="array" ref="O163">_xlfn.LET(_xlpm.n,LOWER(E163),_xlpm.c,LOWER(B163),_xlpm.t,_xlfn.IFS(OR(ISNUMBER(SEARCH("lens",_xlpm.n)),ISNUMBER(SEARCH("optic",_xlpm.n)),ISNUMBER(SEARCH("polarizer",_xlpm.n))),"precision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"),E163&amp;" is "&amp;_xlpm.art&amp;_xlpm.t&amp;" from "&amp;C163&amp;" designed for application-specific laboratory, engineering or industrial use. It belongs to DIWAN's "&amp;B163&amp;" portfolio; final configuration must be selected against performance, integration and compliance requirements.")</f>
        <v>LS Series Low Magnification Line-Scan Lens is a precision optical component from Lano-tech designed for application-specific laboratory, engineering or industrial use. It belongs to DIWAN's Line-Scan Lenses portfolio; final configuration must be selected against performance, integration and compliance requirements.</v>
      </c>
      <c r="P163" s="54" t="str">
        <f t="shared" si="51"/>
        <v>Selection should confirm the model-specific operating range, capacity, accuracy, interfaces, utilities, accessories, standards, environmental limits and service requirements. Final capabilities depend on the approved LS Series Low Magnification Line-Scan Lens configuration.</v>
      </c>
      <c r="Q163" s="54"/>
      <c r="R163" s="54" t="str">
        <f t="shared" si="52"/>
        <v>Line-Scan Lenses applications; laboratory research, engineering development, quality control and industrial deployment where applicable. Suitability must be confirmed against the user's sample, process, environment and required standards.</v>
      </c>
      <c r="S163" s="54"/>
      <c r="T163" s="54" t="str">
        <f t="shared" si="53"/>
        <v>LS Series Low Magnification Line-Scan Lens from Lano-tech</v>
      </c>
      <c r="U163" s="54"/>
      <c r="V163" s="54" t="s">
        <v>2673</v>
      </c>
      <c r="W163" s="54" t="str">
        <f t="shared" si="54"/>
        <v>See other Line-Scan Lenses products</v>
      </c>
      <c r="X163" s="54" t="str">
        <f t="shared" si="55"/>
        <v>Line-Scan Lenses enquiry → website group enquiry form → category owner assignment</v>
      </c>
      <c r="Y163" s="54" t="str">
        <f t="shared" si="56"/>
        <v>LS Series Low Magnification Line-Scan Lens, Line-Scan Lenses, Lano-tech, technical equipment, DIWAN</v>
      </c>
      <c r="Z163" s="54" t="s">
        <v>2259</v>
      </c>
      <c r="AA163" s="55">
        <v>46257</v>
      </c>
      <c r="AB163" s="54" t="s">
        <v>2465</v>
      </c>
      <c r="AC163" s="63" t="str">
        <f t="shared" si="57"/>
        <v>Content drafted - assets/specs pending</v>
      </c>
      <c r="AD16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3" s="58"/>
      <c r="AF163" s="58"/>
      <c r="AG163" s="58" t="s">
        <v>2467</v>
      </c>
      <c r="AH163" s="58" t="s">
        <v>2468</v>
      </c>
      <c r="AI163" s="58" t="s">
        <v>2469</v>
      </c>
    </row>
    <row r="164" spans="1:35" ht="42" customHeight="1" x14ac:dyDescent="0.35">
      <c r="A164" s="69">
        <f t="shared" si="48"/>
        <v>41</v>
      </c>
      <c r="B164" s="74" t="s">
        <v>206</v>
      </c>
      <c r="C164" s="75" t="s">
        <v>11</v>
      </c>
      <c r="D164" s="76" t="s">
        <v>12</v>
      </c>
      <c r="E164" s="77" t="s">
        <v>207</v>
      </c>
      <c r="F164" s="86" t="s">
        <v>3003</v>
      </c>
      <c r="G164" s="77" t="s">
        <v>3045</v>
      </c>
      <c r="H164" s="79">
        <v>46257</v>
      </c>
      <c r="I164" s="80" t="s">
        <v>1674</v>
      </c>
      <c r="J164" s="80" t="s">
        <v>961</v>
      </c>
      <c r="K164" s="80" t="str">
        <f t="shared" si="49"/>
        <v>1 Inch Fixed-Focus Shortwave Lens Series (900-1700nm) is a swir lenses product from Lano-tech for application-specific laboratory, engineering or industrial use.</v>
      </c>
      <c r="L164" s="80" t="str">
        <f t="shared" si="50"/>
        <v>1 Inch Fixed-Focus Shortwave Lens Series (900-1700nm) from Lano-tech for swir lenses applications. Review configuration requirements and request technical information or a quotation from DIWAN.</v>
      </c>
      <c r="M164" s="80" t="s">
        <v>2020</v>
      </c>
      <c r="N164" s="81" t="s">
        <v>2672</v>
      </c>
      <c r="O164" s="82" t="str" cm="1">
        <f t="array" ref="O164">_xlfn.LET(_xlpm.n,LOWER(E164),_xlpm.c,LOWER(B164),_xlpm.t,_xlfn.IFS(OR(ISNUMBER(SEARCH("lens",_xlpm.n)),ISNUMBER(SEARCH("optic",_xlpm.n)),ISNUMBER(SEARCH("polarizer",_xlpm.n))),"precision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"),E164&amp;" is "&amp;_xlpm.art&amp;_xlpm.t&amp;" from "&amp;C164&amp;" designed for application-specific laboratory, engineering or industrial use. It belongs to DIWAN's "&amp;B164&amp;" portfolio; final configuration must be selected against performance, integration and compliance requirements.")</f>
        <v>1 Inch Fixed-Focus Shortwave Lens Series (900-1700nm) is a precision optical component from Lano-tech designed for application-specific laboratory, engineering or industrial use. It belongs to DIWAN's SWIR Lenses portfolio; final configuration must be selected against performance, integration and compliance requirements.</v>
      </c>
      <c r="P164" s="82" t="str">
        <f t="shared" si="51"/>
        <v>Selection should confirm the model-specific operating range, capacity, accuracy, interfaces, utilities, accessories, standards, environmental limits and service requirements. Final capabilities depend on the approved 1 Inch Fixed-Focus Shortwave Lens Series (900-1700nm) configuration.</v>
      </c>
      <c r="Q164" s="82"/>
      <c r="R164" s="82" t="str">
        <f t="shared" si="52"/>
        <v>SWIR Lenses applications; laboratory research, engineering development, quality control and industrial deployment where applicable. Suitability must be confirmed against the user's sample, process, environment and required standards.</v>
      </c>
      <c r="S164" s="82"/>
      <c r="T164" s="82" t="str">
        <f t="shared" si="53"/>
        <v>1 Inch Fixed-Focus Shortwave Lens Series (900-1700nm) from Lano-tech</v>
      </c>
      <c r="U164" s="82"/>
      <c r="V164" s="82" t="s">
        <v>2673</v>
      </c>
      <c r="W164" s="82" t="str">
        <f t="shared" si="54"/>
        <v>See other SWIR Lenses products</v>
      </c>
      <c r="X164" s="82" t="str">
        <f t="shared" si="55"/>
        <v>SWIR Lenses enquiry → website group enquiry form → category owner assignment</v>
      </c>
      <c r="Y164" s="82" t="str">
        <f t="shared" si="56"/>
        <v>1 Inch Fixed-Focus Shortwave Lens Series (900-1700nm), SWIR Lenses, Lano-tech, technical equipment, DIWAN</v>
      </c>
      <c r="Z164" s="82" t="s">
        <v>2260</v>
      </c>
      <c r="AA164" s="83">
        <v>46257</v>
      </c>
      <c r="AB164" s="82" t="s">
        <v>2465</v>
      </c>
      <c r="AC164" s="84" t="str">
        <f t="shared" si="57"/>
        <v>Content drafted - assets/specs pending</v>
      </c>
      <c r="AD164"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4" s="85"/>
      <c r="AF164" s="85"/>
      <c r="AG164" s="85" t="s">
        <v>2467</v>
      </c>
      <c r="AH164" s="85" t="s">
        <v>2468</v>
      </c>
      <c r="AI164" s="85" t="s">
        <v>2469</v>
      </c>
    </row>
    <row r="165" spans="1:35" ht="42" customHeight="1" x14ac:dyDescent="0.35">
      <c r="A165" s="69">
        <f t="shared" si="48"/>
        <v>41</v>
      </c>
      <c r="B165" s="70" t="s">
        <v>206</v>
      </c>
      <c r="C165" s="71" t="s">
        <v>11</v>
      </c>
      <c r="D165" s="72" t="s">
        <v>12</v>
      </c>
      <c r="E165" s="45" t="s">
        <v>208</v>
      </c>
      <c r="F165" s="49" t="s">
        <v>3003</v>
      </c>
      <c r="G165" s="45" t="s">
        <v>3045</v>
      </c>
      <c r="H165" s="47">
        <v>46257</v>
      </c>
      <c r="I165" s="48" t="s">
        <v>1675</v>
      </c>
      <c r="J165" s="48" t="s">
        <v>962</v>
      </c>
      <c r="K165" s="48" t="str">
        <f t="shared" si="49"/>
        <v>2/3-Inch Fixed-Focus Shortwave Lens Series is a swir lenses product from Lano-tech for application-specific laboratory, engineering or industrial use.</v>
      </c>
      <c r="L165" s="48" t="str">
        <f t="shared" si="50"/>
        <v>2/3-Inch Fixed-Focus Shortwave Lens Series from Lano-tech for swir lenses applications. Review configuration requirements and request technical information or a quotation from DIWAN.</v>
      </c>
      <c r="M165" s="48" t="s">
        <v>2020</v>
      </c>
      <c r="N165" s="61" t="s">
        <v>2672</v>
      </c>
      <c r="O165" s="54" t="str" cm="1">
        <f t="array" ref="O165">_xlfn.LET(_xlpm.n,LOWER(E165),_xlpm.c,LOWER(B165),_xlpm.t,_xlfn.IFS(OR(ISNUMBER(SEARCH("lens",_xlpm.n)),ISNUMBER(SEARCH("optic",_xlpm.n)),ISNUMBER(SEARCH("polarizer",_xlpm.n))),"precision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"),E165&amp;" is "&amp;_xlpm.art&amp;_xlpm.t&amp;" from "&amp;C165&amp;" designed for application-specific laboratory, engineering or industrial use. It belongs to DIWAN's "&amp;B165&amp;" portfolio; final configuration must be selected against performance, integration and compliance requirements.")</f>
        <v>2/3-Inch Fixed-Focus Shortwave Lens Series is a precision optical component from Lano-tech designed for application-specific laboratory, engineering or industrial use. It belongs to DIWAN's SWIR Lenses portfolio; final configuration must be selected against performance, integration and compliance requirements.</v>
      </c>
      <c r="P165" s="54" t="str">
        <f t="shared" si="51"/>
        <v>Selection should confirm the model-specific operating range, capacity, accuracy, interfaces, utilities, accessories, standards, environmental limits and service requirements. Final capabilities depend on the approved 2/3-Inch Fixed-Focus Shortwave Lens Series configuration.</v>
      </c>
      <c r="Q165" s="54"/>
      <c r="R165" s="54" t="str">
        <f t="shared" si="52"/>
        <v>SWIR Lenses applications; laboratory research, engineering development, quality control and industrial deployment where applicable. Suitability must be confirmed against the user's sample, process, environment and required standards.</v>
      </c>
      <c r="S165" s="54"/>
      <c r="T165" s="54" t="str">
        <f t="shared" si="53"/>
        <v>2/3-Inch Fixed-Focus Shortwave Lens Series from Lano-tech</v>
      </c>
      <c r="U165" s="54"/>
      <c r="V165" s="54" t="s">
        <v>2673</v>
      </c>
      <c r="W165" s="54" t="str">
        <f t="shared" si="54"/>
        <v>See other SWIR Lenses products</v>
      </c>
      <c r="X165" s="54" t="str">
        <f t="shared" si="55"/>
        <v>SWIR Lenses enquiry → website group enquiry form → category owner assignment</v>
      </c>
      <c r="Y165" s="54" t="str">
        <f t="shared" si="56"/>
        <v>2/3-Inch Fixed-Focus Shortwave Lens Series, SWIR Lenses, Lano-tech, technical equipment, DIWAN</v>
      </c>
      <c r="Z165" s="54" t="s">
        <v>2260</v>
      </c>
      <c r="AA165" s="55">
        <v>46257</v>
      </c>
      <c r="AB165" s="54" t="s">
        <v>2465</v>
      </c>
      <c r="AC165" s="63" t="str">
        <f t="shared" si="57"/>
        <v>Content drafted - assets/specs pending</v>
      </c>
      <c r="AD16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5" s="58"/>
      <c r="AF165" s="58"/>
      <c r="AG165" s="58" t="s">
        <v>2467</v>
      </c>
      <c r="AH165" s="58" t="s">
        <v>2468</v>
      </c>
      <c r="AI165" s="58" t="s">
        <v>2469</v>
      </c>
    </row>
    <row r="166" spans="1:35" ht="42" customHeight="1" thickBot="1" x14ac:dyDescent="0.4">
      <c r="A166" s="69">
        <f t="shared" si="48"/>
        <v>41</v>
      </c>
      <c r="B166" s="70" t="s">
        <v>206</v>
      </c>
      <c r="C166" s="71" t="s">
        <v>11</v>
      </c>
      <c r="D166" s="72" t="s">
        <v>12</v>
      </c>
      <c r="E166" s="45" t="s">
        <v>209</v>
      </c>
      <c r="F166" s="49" t="s">
        <v>3003</v>
      </c>
      <c r="G166" s="45" t="s">
        <v>3045</v>
      </c>
      <c r="H166" s="47">
        <v>46257</v>
      </c>
      <c r="I166" s="48" t="s">
        <v>1676</v>
      </c>
      <c r="J166" s="48" t="s">
        <v>963</v>
      </c>
      <c r="K166" s="48" t="str">
        <f t="shared" si="49"/>
        <v>1-Inch Continuous Zoom Shortwave Lens Series is a swir lenses product from Lano-tech for application-specific laboratory, engineering or industrial use.</v>
      </c>
      <c r="L166" s="48" t="str">
        <f t="shared" si="50"/>
        <v>1-Inch Continuous Zoom Shortwave Lens Series from Lano-tech for swir lenses applications. Review configuration requirements and request technical information or a quotation from DIWAN.</v>
      </c>
      <c r="M166" s="48" t="s">
        <v>2020</v>
      </c>
      <c r="N166" s="61" t="s">
        <v>2672</v>
      </c>
      <c r="O166" s="54" t="str" cm="1">
        <f t="array" ref="O166">_xlfn.LET(_xlpm.n,LOWER(E166),_xlpm.c,LOWER(B166),_xlpm.t,_xlfn.IFS(OR(ISNUMBER(SEARCH("lens",_xlpm.n)),ISNUMBER(SEARCH("optic",_xlpm.n)),ISNUMBER(SEARCH("polarizer",_xlpm.n))),"precision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"),E166&amp;" is "&amp;_xlpm.art&amp;_xlpm.t&amp;" from "&amp;C166&amp;" designed for application-specific laboratory, engineering or industrial use. It belongs to DIWAN's "&amp;B166&amp;" portfolio; final configuration must be selected against performance, integration and compliance requirements.")</f>
        <v>1-Inch Continuous Zoom Shortwave Lens Series is a precision optical component from Lano-tech designed for application-specific laboratory, engineering or industrial use. It belongs to DIWAN's SWIR Lenses portfolio; final configuration must be selected against performance, integration and compliance requirements.</v>
      </c>
      <c r="P166" s="54" t="str">
        <f t="shared" si="51"/>
        <v>Selection should confirm the model-specific operating range, capacity, accuracy, interfaces, utilities, accessories, standards, environmental limits and service requirements. Final capabilities depend on the approved 1-Inch Continuous Zoom Shortwave Lens Series configuration.</v>
      </c>
      <c r="Q166" s="54"/>
      <c r="R166" s="54" t="str">
        <f t="shared" si="52"/>
        <v>SWIR Lenses applications; laboratory research, engineering development, quality control and industrial deployment where applicable. Suitability must be confirmed against the user's sample, process, environment and required standards.</v>
      </c>
      <c r="S166" s="54"/>
      <c r="T166" s="54" t="str">
        <f t="shared" si="53"/>
        <v>1-Inch Continuous Zoom Shortwave Lens Series from Lano-tech</v>
      </c>
      <c r="U166" s="54"/>
      <c r="V166" s="54" t="s">
        <v>2673</v>
      </c>
      <c r="W166" s="54" t="str">
        <f t="shared" si="54"/>
        <v>See other SWIR Lenses products</v>
      </c>
      <c r="X166" s="54" t="str">
        <f t="shared" si="55"/>
        <v>SWIR Lenses enquiry → website group enquiry form → category owner assignment</v>
      </c>
      <c r="Y166" s="54" t="str">
        <f t="shared" si="56"/>
        <v>1-Inch Continuous Zoom Shortwave Lens Series, SWIR Lenses, Lano-tech, technical equipment, DIWAN</v>
      </c>
      <c r="Z166" s="54" t="s">
        <v>2260</v>
      </c>
      <c r="AA166" s="55">
        <v>46257</v>
      </c>
      <c r="AB166" s="54" t="s">
        <v>2465</v>
      </c>
      <c r="AC166" s="63" t="str">
        <f t="shared" si="57"/>
        <v>Content drafted - assets/specs pending</v>
      </c>
      <c r="AD16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6" s="58"/>
      <c r="AF166" s="58"/>
      <c r="AG166" s="58" t="s">
        <v>2467</v>
      </c>
      <c r="AH166" s="58" t="s">
        <v>2468</v>
      </c>
      <c r="AI166" s="58" t="s">
        <v>2469</v>
      </c>
    </row>
    <row r="167" spans="1:35" ht="42" customHeight="1" x14ac:dyDescent="0.35">
      <c r="A167" s="69">
        <f t="shared" si="48"/>
        <v>42</v>
      </c>
      <c r="B167" s="74" t="s">
        <v>210</v>
      </c>
      <c r="C167" s="75" t="s">
        <v>11</v>
      </c>
      <c r="D167" s="76" t="s">
        <v>12</v>
      </c>
      <c r="E167" s="77" t="s">
        <v>211</v>
      </c>
      <c r="F167" s="86" t="s">
        <v>3004</v>
      </c>
      <c r="G167" s="77" t="s">
        <v>3045</v>
      </c>
      <c r="H167" s="79">
        <v>46257</v>
      </c>
      <c r="I167" s="80" t="s">
        <v>1677</v>
      </c>
      <c r="J167" s="80" t="s">
        <v>964</v>
      </c>
      <c r="K167" s="80" t="str">
        <f t="shared" si="49"/>
        <v>AE Series GigE Industrial Area Scan Camera is an industrial cameras product from Lano-tech for application-specific laboratory, engineering or industrial use.</v>
      </c>
      <c r="L167" s="80" t="str">
        <f t="shared" si="50"/>
        <v>AE Series GigE Industrial Area Scan Camera from Lano-tech for industrial cameras applications. Review configuration requirements and request technical information or a quotation from DIWAN.</v>
      </c>
      <c r="M167" s="80" t="s">
        <v>2020</v>
      </c>
      <c r="N167" s="81" t="s">
        <v>2672</v>
      </c>
      <c r="O167" s="82" t="str" cm="1">
        <f t="array" ref="O167">_xlfn.LET(_xlpm.n,LOWER(E167),_xlpm.c,LOWER(B167),_xlpm.t,_xlfn.IFS(OR(ISNUMBER(SEARCH("lens",_xlpm.n)),ISNUMBER(SEARCH("optic",_xlpm.n)),ISNUMBER(SEARCH("polarizer",_xlpm.n))),"precision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"),E167&amp;" is "&amp;_xlpm.art&amp;_xlpm.t&amp;" from "&amp;C167&amp;" designed for application-specific laboratory, engineering or industrial use. It belongs to DIWAN's "&amp;B167&amp;" portfolio; final configuration must be selected against performance, integration and compliance requirements.")</f>
        <v>AE Series GigE Industrial Area Scan Camera is a scientific or industrial imaging system from Lano-tech designed for application-specific laboratory, engineering or industrial use. It belongs to DIWAN's Industrial Cameras portfolio; final configuration must be selected against performance, integration and compliance requirements.</v>
      </c>
      <c r="P167" s="82" t="str">
        <f t="shared" si="51"/>
        <v>Selection should confirm the model-specific operating range, capacity, accuracy, interfaces, utilities, accessories, standards, environmental limits and service requirements. Final capabilities depend on the approved AE Series GigE Industrial Area Scan Camera configuration.</v>
      </c>
      <c r="Q167" s="82"/>
      <c r="R167" s="82" t="str">
        <f t="shared" si="52"/>
        <v>Industrial Cameras applications; laboratory research, engineering development, quality control and industrial deployment where applicable. Suitability must be confirmed against the user's sample, process, environment and required standards.</v>
      </c>
      <c r="S167" s="82"/>
      <c r="T167" s="82" t="str">
        <f t="shared" si="53"/>
        <v>AE Series GigE Industrial Area Scan Camera from Lano-tech</v>
      </c>
      <c r="U167" s="82"/>
      <c r="V167" s="82" t="s">
        <v>2673</v>
      </c>
      <c r="W167" s="82" t="str">
        <f t="shared" si="54"/>
        <v>See other Industrial Cameras products</v>
      </c>
      <c r="X167" s="82" t="str">
        <f t="shared" si="55"/>
        <v>Industrial Cameras enquiry → website group enquiry form → category owner assignment</v>
      </c>
      <c r="Y167" s="82" t="str">
        <f t="shared" si="56"/>
        <v>AE Series GigE Industrial Area Scan Camera, Industrial Cameras, Lano-tech, technical equipment, DIWAN</v>
      </c>
      <c r="Z167" s="82" t="s">
        <v>2261</v>
      </c>
      <c r="AA167" s="83">
        <v>46257</v>
      </c>
      <c r="AB167" s="82" t="s">
        <v>2465</v>
      </c>
      <c r="AC167" s="84" t="str">
        <f t="shared" si="57"/>
        <v>Content drafted - assets/specs pending</v>
      </c>
      <c r="AD167"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7" s="85"/>
      <c r="AF167" s="85"/>
      <c r="AG167" s="85" t="s">
        <v>2467</v>
      </c>
      <c r="AH167" s="85" t="s">
        <v>2468</v>
      </c>
      <c r="AI167" s="85" t="s">
        <v>2469</v>
      </c>
    </row>
    <row r="168" spans="1:35" ht="42" customHeight="1" x14ac:dyDescent="0.35">
      <c r="A168" s="69">
        <f t="shared" si="48"/>
        <v>42</v>
      </c>
      <c r="B168" s="70" t="s">
        <v>210</v>
      </c>
      <c r="C168" s="71" t="s">
        <v>11</v>
      </c>
      <c r="D168" s="72" t="s">
        <v>12</v>
      </c>
      <c r="E168" s="45" t="s">
        <v>212</v>
      </c>
      <c r="F168" s="49" t="s">
        <v>3004</v>
      </c>
      <c r="G168" s="45" t="s">
        <v>3045</v>
      </c>
      <c r="H168" s="47">
        <v>46257</v>
      </c>
      <c r="I168" s="48" t="s">
        <v>1678</v>
      </c>
      <c r="J168" s="48" t="s">
        <v>965</v>
      </c>
      <c r="K168" s="48" t="str">
        <f t="shared" si="49"/>
        <v>Medium &amp; High-Speed Line Scan Camera is an industrial cameras product from Lano-tech for application-specific laboratory, engineering or industrial use.</v>
      </c>
      <c r="L168" s="48" t="str">
        <f t="shared" si="50"/>
        <v>Medium &amp; High-Speed Line Scan Camera from Lano-tech for industrial cameras applications. Review configuration requirements and request technical information or a quotation from DIWAN.</v>
      </c>
      <c r="M168" s="48" t="s">
        <v>2020</v>
      </c>
      <c r="N168" s="61" t="s">
        <v>2672</v>
      </c>
      <c r="O168" s="54" t="str" cm="1">
        <f t="array" ref="O168">_xlfn.LET(_xlpm.n,LOWER(E168),_xlpm.c,LOWER(B168),_xlpm.t,_xlfn.IFS(OR(ISNUMBER(SEARCH("lens",_xlpm.n)),ISNUMBER(SEARCH("optic",_xlpm.n)),ISNUMBER(SEARCH("polarizer",_xlpm.n))),"precision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"),E168&amp;" is "&amp;_xlpm.art&amp;_xlpm.t&amp;" from "&amp;C168&amp;" designed for application-specific laboratory, engineering or industrial use. It belongs to DIWAN's "&amp;B168&amp;" portfolio; final configuration must be selected against performance, integration and compliance requirements.")</f>
        <v>Medium &amp; High-Speed Line Scan Camera is a scientific or industrial imaging system from Lano-tech designed for application-specific laboratory, engineering or industrial use. It belongs to DIWAN's Industrial Cameras portfolio; final configuration must be selected against performance, integration and compliance requirements.</v>
      </c>
      <c r="P168" s="54" t="str">
        <f t="shared" si="51"/>
        <v>Selection should confirm the model-specific operating range, capacity, accuracy, interfaces, utilities, accessories, standards, environmental limits and service requirements. Final capabilities depend on the approved Medium &amp; High-Speed Line Scan Camera configuration.</v>
      </c>
      <c r="Q168" s="54"/>
      <c r="R168" s="54" t="str">
        <f t="shared" si="52"/>
        <v>Industrial Cameras applications; laboratory research, engineering development, quality control and industrial deployment where applicable. Suitability must be confirmed against the user's sample, process, environment and required standards.</v>
      </c>
      <c r="S168" s="54"/>
      <c r="T168" s="54" t="str">
        <f t="shared" si="53"/>
        <v>Medium &amp; High-Speed Line Scan Camera from Lano-tech</v>
      </c>
      <c r="U168" s="54"/>
      <c r="V168" s="54" t="s">
        <v>2673</v>
      </c>
      <c r="W168" s="54" t="str">
        <f t="shared" si="54"/>
        <v>See other Industrial Cameras products</v>
      </c>
      <c r="X168" s="54" t="str">
        <f t="shared" si="55"/>
        <v>Industrial Cameras enquiry → website group enquiry form → category owner assignment</v>
      </c>
      <c r="Y168" s="54" t="str">
        <f t="shared" si="56"/>
        <v>Medium &amp; High-Speed Line Scan Camera, Industrial Cameras, Lano-tech, technical equipment, DIWAN</v>
      </c>
      <c r="Z168" s="54" t="s">
        <v>2261</v>
      </c>
      <c r="AA168" s="55">
        <v>46257</v>
      </c>
      <c r="AB168" s="54" t="s">
        <v>2465</v>
      </c>
      <c r="AC168" s="63" t="str">
        <f t="shared" si="57"/>
        <v>Content drafted - assets/specs pending</v>
      </c>
      <c r="AD16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8" s="58"/>
      <c r="AF168" s="58"/>
      <c r="AG168" s="58" t="s">
        <v>2467</v>
      </c>
      <c r="AH168" s="58" t="s">
        <v>2468</v>
      </c>
      <c r="AI168" s="58" t="s">
        <v>2469</v>
      </c>
    </row>
    <row r="169" spans="1:35" ht="42" customHeight="1" thickBot="1" x14ac:dyDescent="0.4">
      <c r="A169" s="69">
        <f t="shared" si="48"/>
        <v>42</v>
      </c>
      <c r="B169" s="70" t="s">
        <v>210</v>
      </c>
      <c r="C169" s="71" t="s">
        <v>11</v>
      </c>
      <c r="D169" s="72" t="s">
        <v>12</v>
      </c>
      <c r="E169" s="45" t="s">
        <v>213</v>
      </c>
      <c r="F169" s="49" t="s">
        <v>3004</v>
      </c>
      <c r="G169" s="45" t="s">
        <v>3045</v>
      </c>
      <c r="H169" s="47">
        <v>46257</v>
      </c>
      <c r="I169" s="48" t="s">
        <v>1679</v>
      </c>
      <c r="J169" s="48" t="s">
        <v>966</v>
      </c>
      <c r="K169" s="48" t="str">
        <f t="shared" si="49"/>
        <v>LINESCAN Series High Resolution Line Scan Camera is an industrial cameras product from Lano-tech for application-specific laboratory, engineering or industrial use.</v>
      </c>
      <c r="L169" s="48" t="str">
        <f t="shared" si="50"/>
        <v>LINESCAN Series High Resolution Line Scan Camera from Lano-tech for industrial cameras applications. Review configuration requirements and request technical information or a quotation from DIWAN.</v>
      </c>
      <c r="M169" s="48" t="s">
        <v>2020</v>
      </c>
      <c r="N169" s="61" t="s">
        <v>2672</v>
      </c>
      <c r="O169" s="54" t="str" cm="1">
        <f t="array" ref="O169">_xlfn.LET(_xlpm.n,LOWER(E169),_xlpm.c,LOWER(B169),_xlpm.t,_xlfn.IFS(OR(ISNUMBER(SEARCH("lens",_xlpm.n)),ISNUMBER(SEARCH("optic",_xlpm.n)),ISNUMBER(SEARCH("polarizer",_xlpm.n))),"precision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"),E169&amp;" is "&amp;_xlpm.art&amp;_xlpm.t&amp;" from "&amp;C169&amp;" designed for application-specific laboratory, engineering or industrial use. It belongs to DIWAN's "&amp;B169&amp;" portfolio; final configuration must be selected against performance, integration and compliance requirements.")</f>
        <v>LINESCAN Series High Resolution Line Scan Camera is a scientific or industrial imaging system from Lano-tech designed for application-specific laboratory, engineering or industrial use. It belongs to DIWAN's Industrial Cameras portfolio; final configuration must be selected against performance, integration and compliance requirements.</v>
      </c>
      <c r="P169" s="54" t="str">
        <f t="shared" si="51"/>
        <v>Selection should confirm the model-specific operating range, capacity, accuracy, interfaces, utilities, accessories, standards, environmental limits and service requirements. Final capabilities depend on the approved LINESCAN Series High Resolution Line Scan Camera configuration.</v>
      </c>
      <c r="Q169" s="54"/>
      <c r="R169" s="54" t="str">
        <f t="shared" si="52"/>
        <v>Industrial Cameras applications; laboratory research, engineering development, quality control and industrial deployment where applicable. Suitability must be confirmed against the user's sample, process, environment and required standards.</v>
      </c>
      <c r="S169" s="54"/>
      <c r="T169" s="54" t="str">
        <f t="shared" si="53"/>
        <v>LINESCAN Series High Resolution Line Scan Camera from Lano-tech</v>
      </c>
      <c r="U169" s="54"/>
      <c r="V169" s="54" t="s">
        <v>2673</v>
      </c>
      <c r="W169" s="54" t="str">
        <f t="shared" si="54"/>
        <v>See other Industrial Cameras products</v>
      </c>
      <c r="X169" s="54" t="str">
        <f t="shared" si="55"/>
        <v>Industrial Cameras enquiry → website group enquiry form → category owner assignment</v>
      </c>
      <c r="Y169" s="54" t="str">
        <f t="shared" si="56"/>
        <v>LINESCAN Series High Resolution Line Scan Camera, Industrial Cameras, Lano-tech, technical equipment, DIWAN</v>
      </c>
      <c r="Z169" s="54" t="s">
        <v>2261</v>
      </c>
      <c r="AA169" s="55">
        <v>46257</v>
      </c>
      <c r="AB169" s="54" t="s">
        <v>2465</v>
      </c>
      <c r="AC169" s="63" t="str">
        <f t="shared" si="57"/>
        <v>Content drafted - assets/specs pending</v>
      </c>
      <c r="AD16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69" s="58"/>
      <c r="AF169" s="58"/>
      <c r="AG169" s="58" t="s">
        <v>2467</v>
      </c>
      <c r="AH169" s="58" t="s">
        <v>2468</v>
      </c>
      <c r="AI169" s="58" t="s">
        <v>2469</v>
      </c>
    </row>
    <row r="170" spans="1:35" ht="42" customHeight="1" x14ac:dyDescent="0.35">
      <c r="A170" s="69">
        <f t="shared" si="48"/>
        <v>43</v>
      </c>
      <c r="B170" s="74" t="s">
        <v>214</v>
      </c>
      <c r="C170" s="75" t="s">
        <v>11</v>
      </c>
      <c r="D170" s="76" t="s">
        <v>12</v>
      </c>
      <c r="E170" s="77" t="s">
        <v>215</v>
      </c>
      <c r="F170" s="86" t="s">
        <v>3005</v>
      </c>
      <c r="G170" s="77" t="s">
        <v>3045</v>
      </c>
      <c r="H170" s="79">
        <v>46257</v>
      </c>
      <c r="I170" s="80" t="s">
        <v>1680</v>
      </c>
      <c r="J170" s="80" t="s">
        <v>967</v>
      </c>
      <c r="K170" s="80" t="str">
        <f t="shared" si="49"/>
        <v>Concentrating Hyperspectral Camera is a hyperspectral &amp; multispectral cameras product from Lano-tech for application-specific laboratory, engineering or industrial use.</v>
      </c>
      <c r="L170" s="80" t="str">
        <f t="shared" si="50"/>
        <v>Concentrating Hyperspectral Camera from Lano-tech for hyperspectral &amp; multispectral cameras applications. Review configuration requirements and request technical information or a quotation from DIWAN.</v>
      </c>
      <c r="M170" s="80" t="s">
        <v>2020</v>
      </c>
      <c r="N170" s="81" t="s">
        <v>2672</v>
      </c>
      <c r="O170" s="82" t="str" cm="1">
        <f t="array" ref="O170">_xlfn.LET(_xlpm.n,LOWER(E170),_xlpm.c,LOWER(B170),_xlpm.t,_xlfn.IFS(OR(ISNUMBER(SEARCH("lens",_xlpm.n)),ISNUMBER(SEARCH("optic",_xlpm.n)),ISNUMBER(SEARCH("polarizer",_xlpm.n))),"precision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"),E170&amp;" is "&amp;_xlpm.art&amp;_xlpm.t&amp;" from "&amp;C170&amp;" designed for application-specific laboratory, engineering or industrial use. It belongs to DIWAN's "&amp;B170&amp;" portfolio; final configuration must be selected against performance, integration and compliance requirements.")</f>
        <v>Concentrating Hyperspectral Camera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0" s="82" t="str">
        <f t="shared" si="51"/>
        <v>Selection should confirm the model-specific operating range, capacity, accuracy, interfaces, utilities, accessories, standards, environmental limits and service requirements. Final capabilities depend on the approved Concentrating Hyperspectral Camera configuration.</v>
      </c>
      <c r="Q170" s="82"/>
      <c r="R170" s="82"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0" s="82"/>
      <c r="T170" s="82" t="str">
        <f t="shared" si="53"/>
        <v>Concentrating Hyperspectral Camera from Lano-tech</v>
      </c>
      <c r="U170" s="82"/>
      <c r="V170" s="82" t="s">
        <v>2673</v>
      </c>
      <c r="W170" s="82" t="str">
        <f t="shared" si="54"/>
        <v>See other Hyperspectral &amp; Multispectral Cameras products</v>
      </c>
      <c r="X170" s="82" t="str">
        <f t="shared" si="55"/>
        <v>Hyperspectral &amp; Multispectral Cameras enquiry → website group enquiry form → category owner assignment</v>
      </c>
      <c r="Y170" s="82" t="str">
        <f t="shared" si="56"/>
        <v>Concentrating Hyperspectral Camera, Hyperspectral &amp; Multispectral Cameras, Lano-tech, technical equipment, DIWAN</v>
      </c>
      <c r="Z170" s="82" t="s">
        <v>2262</v>
      </c>
      <c r="AA170" s="83">
        <v>46257</v>
      </c>
      <c r="AB170" s="82" t="s">
        <v>2465</v>
      </c>
      <c r="AC170" s="84" t="str">
        <f t="shared" si="57"/>
        <v>Content drafted - assets/specs pending</v>
      </c>
      <c r="AD170"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0" s="85"/>
      <c r="AF170" s="85"/>
      <c r="AG170" s="85" t="s">
        <v>2467</v>
      </c>
      <c r="AH170" s="85" t="s">
        <v>2468</v>
      </c>
      <c r="AI170" s="85" t="s">
        <v>2469</v>
      </c>
    </row>
    <row r="171" spans="1:35" ht="42" customHeight="1" x14ac:dyDescent="0.35">
      <c r="A171" s="69">
        <f t="shared" si="48"/>
        <v>43</v>
      </c>
      <c r="B171" s="70" t="s">
        <v>214</v>
      </c>
      <c r="C171" s="71" t="s">
        <v>11</v>
      </c>
      <c r="D171" s="72" t="s">
        <v>12</v>
      </c>
      <c r="E171" s="45" t="s">
        <v>216</v>
      </c>
      <c r="F171" s="49" t="s">
        <v>3005</v>
      </c>
      <c r="G171" s="45" t="s">
        <v>3045</v>
      </c>
      <c r="H171" s="47">
        <v>46257</v>
      </c>
      <c r="I171" s="48" t="s">
        <v>1681</v>
      </c>
      <c r="J171" s="48" t="s">
        <v>968</v>
      </c>
      <c r="K171" s="48" t="str">
        <f t="shared" si="49"/>
        <v>Push-Broom Hyperspectral Camera 2nm is a hyperspectral &amp; multispectral cameras product from Lano-tech for application-specific laboratory, engineering or industrial use.</v>
      </c>
      <c r="L171" s="48" t="str">
        <f t="shared" si="50"/>
        <v>Push-Broom Hyperspectral Camera 2nm from Lano-tech for hyperspectral &amp; multispectral cameras applications. Review configuration requirements and request technical information or a quotation from DIWAN.</v>
      </c>
      <c r="M171" s="48" t="s">
        <v>2020</v>
      </c>
      <c r="N171" s="61" t="s">
        <v>2672</v>
      </c>
      <c r="O171" s="54" t="str" cm="1">
        <f t="array" ref="O171">_xlfn.LET(_xlpm.n,LOWER(E171),_xlpm.c,LOWER(B171),_xlpm.t,_xlfn.IFS(OR(ISNUMBER(SEARCH("lens",_xlpm.n)),ISNUMBER(SEARCH("optic",_xlpm.n)),ISNUMBER(SEARCH("polarizer",_xlpm.n))),"precision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"),E171&amp;" is "&amp;_xlpm.art&amp;_xlpm.t&amp;" from "&amp;C171&amp;" designed for application-specific laboratory, engineering or industrial use. It belongs to DIWAN's "&amp;B171&amp;" portfolio; final configuration must be selected against performance, integration and compliance requirements.")</f>
        <v>Push-Broom Hyperspectral Camera 2nm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1" s="54" t="str">
        <f t="shared" si="51"/>
        <v>Selection should confirm the model-specific operating range, capacity, accuracy, interfaces, utilities, accessories, standards, environmental limits and service requirements. Final capabilities depend on the approved Push-Broom Hyperspectral Camera 2nm configuration.</v>
      </c>
      <c r="Q171" s="54"/>
      <c r="R171"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1" s="54"/>
      <c r="T171" s="54" t="str">
        <f t="shared" si="53"/>
        <v>Push-Broom Hyperspectral Camera 2nm from Lano-tech</v>
      </c>
      <c r="U171" s="54"/>
      <c r="V171" s="54" t="s">
        <v>2673</v>
      </c>
      <c r="W171" s="54" t="str">
        <f t="shared" si="54"/>
        <v>See other Hyperspectral &amp; Multispectral Cameras products</v>
      </c>
      <c r="X171" s="54" t="str">
        <f t="shared" si="55"/>
        <v>Hyperspectral &amp; Multispectral Cameras enquiry → website group enquiry form → category owner assignment</v>
      </c>
      <c r="Y171" s="54" t="str">
        <f t="shared" si="56"/>
        <v>Push-Broom Hyperspectral Camera 2nm, Hyperspectral &amp; Multispectral Cameras, Lano-tech, technical equipment, DIWAN</v>
      </c>
      <c r="Z171" s="54" t="s">
        <v>2262</v>
      </c>
      <c r="AA171" s="55">
        <v>46257</v>
      </c>
      <c r="AB171" s="54" t="s">
        <v>2465</v>
      </c>
      <c r="AC171" s="63" t="str">
        <f t="shared" si="57"/>
        <v>Content drafted - assets/specs pending</v>
      </c>
      <c r="AD171"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1" s="58"/>
      <c r="AF171" s="58"/>
      <c r="AG171" s="58" t="s">
        <v>2467</v>
      </c>
      <c r="AH171" s="58" t="s">
        <v>2468</v>
      </c>
      <c r="AI171" s="58" t="s">
        <v>2469</v>
      </c>
    </row>
    <row r="172" spans="1:35" ht="42" customHeight="1" x14ac:dyDescent="0.35">
      <c r="A172" s="69">
        <f t="shared" si="48"/>
        <v>43</v>
      </c>
      <c r="B172" s="70" t="s">
        <v>214</v>
      </c>
      <c r="C172" s="71" t="s">
        <v>11</v>
      </c>
      <c r="D172" s="72" t="s">
        <v>12</v>
      </c>
      <c r="E172" s="45" t="s">
        <v>217</v>
      </c>
      <c r="F172" s="49" t="s">
        <v>3005</v>
      </c>
      <c r="G172" s="45" t="s">
        <v>3045</v>
      </c>
      <c r="H172" s="47">
        <v>46257</v>
      </c>
      <c r="I172" s="48" t="s">
        <v>1682</v>
      </c>
      <c r="J172" s="48" t="s">
        <v>969</v>
      </c>
      <c r="K172" s="48" t="str">
        <f t="shared" si="49"/>
        <v>Push-Broom Hyperspectral Camera 3nm is a hyperspectral &amp; multispectral cameras product from Lano-tech for application-specific laboratory, engineering or industrial use.</v>
      </c>
      <c r="L172" s="48" t="str">
        <f t="shared" si="50"/>
        <v>Push-Broom Hyperspectral Camera 3nm from Lano-tech for hyperspectral &amp; multispectral cameras applications. Review configuration requirements and request technical information or a quotation from DIWAN.</v>
      </c>
      <c r="M172" s="48" t="s">
        <v>2020</v>
      </c>
      <c r="N172" s="61" t="s">
        <v>2672</v>
      </c>
      <c r="O172" s="54" t="str" cm="1">
        <f t="array" ref="O172">_xlfn.LET(_xlpm.n,LOWER(E172),_xlpm.c,LOWER(B172),_xlpm.t,_xlfn.IFS(OR(ISNUMBER(SEARCH("lens",_xlpm.n)),ISNUMBER(SEARCH("optic",_xlpm.n)),ISNUMBER(SEARCH("polarizer",_xlpm.n))),"precision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"),E172&amp;" is "&amp;_xlpm.art&amp;_xlpm.t&amp;" from "&amp;C172&amp;" designed for application-specific laboratory, engineering or industrial use. It belongs to DIWAN's "&amp;B172&amp;" portfolio; final configuration must be selected against performance, integration and compliance requirements.")</f>
        <v>Push-Broom Hyperspectral Camera 3nm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2" s="54" t="str">
        <f t="shared" si="51"/>
        <v>Selection should confirm the model-specific operating range, capacity, accuracy, interfaces, utilities, accessories, standards, environmental limits and service requirements. Final capabilities depend on the approved Push-Broom Hyperspectral Camera 3nm configuration.</v>
      </c>
      <c r="Q172" s="54"/>
      <c r="R172"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2" s="54"/>
      <c r="T172" s="54" t="str">
        <f t="shared" si="53"/>
        <v>Push-Broom Hyperspectral Camera 3nm from Lano-tech</v>
      </c>
      <c r="U172" s="54"/>
      <c r="V172" s="54" t="s">
        <v>2673</v>
      </c>
      <c r="W172" s="54" t="str">
        <f t="shared" si="54"/>
        <v>See other Hyperspectral &amp; Multispectral Cameras products</v>
      </c>
      <c r="X172" s="54" t="str">
        <f t="shared" si="55"/>
        <v>Hyperspectral &amp; Multispectral Cameras enquiry → website group enquiry form → category owner assignment</v>
      </c>
      <c r="Y172" s="54" t="str">
        <f t="shared" si="56"/>
        <v>Push-Broom Hyperspectral Camera 3nm, Hyperspectral &amp; Multispectral Cameras, Lano-tech, technical equipment, DIWAN</v>
      </c>
      <c r="Z172" s="54" t="s">
        <v>2262</v>
      </c>
      <c r="AA172" s="55">
        <v>46257</v>
      </c>
      <c r="AB172" s="54" t="s">
        <v>2465</v>
      </c>
      <c r="AC172" s="63" t="str">
        <f t="shared" si="57"/>
        <v>Content drafted - assets/specs pending</v>
      </c>
      <c r="AD17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2" s="58"/>
      <c r="AF172" s="58"/>
      <c r="AG172" s="58" t="s">
        <v>2467</v>
      </c>
      <c r="AH172" s="58" t="s">
        <v>2468</v>
      </c>
      <c r="AI172" s="58" t="s">
        <v>2469</v>
      </c>
    </row>
    <row r="173" spans="1:35" ht="42" customHeight="1" x14ac:dyDescent="0.35">
      <c r="A173" s="69">
        <f t="shared" si="48"/>
        <v>43</v>
      </c>
      <c r="B173" s="70" t="s">
        <v>214</v>
      </c>
      <c r="C173" s="71" t="s">
        <v>11</v>
      </c>
      <c r="D173" s="72" t="s">
        <v>12</v>
      </c>
      <c r="E173" s="45" t="s">
        <v>218</v>
      </c>
      <c r="F173" s="49" t="s">
        <v>3005</v>
      </c>
      <c r="G173" s="45" t="s">
        <v>3045</v>
      </c>
      <c r="H173" s="47">
        <v>46257</v>
      </c>
      <c r="I173" s="48" t="s">
        <v>1683</v>
      </c>
      <c r="J173" s="48" t="s">
        <v>970</v>
      </c>
      <c r="K173" s="48" t="str">
        <f t="shared" si="49"/>
        <v>LANO-SP900-1700B Push-Broom Hyperspectral Camera is a hyperspectral &amp; multispectral cameras product from Lano-tech for application-specific laboratory, engineering or industrial use.</v>
      </c>
      <c r="L173" s="48" t="str">
        <f t="shared" si="50"/>
        <v>LANO-SP900-1700B Push-Broom Hyperspectral Camera from Lano-tech for hyperspectral &amp; multispectral cameras applications. Review configuration requirements and request technical information or a quotation from DIWAN.</v>
      </c>
      <c r="M173" s="48" t="s">
        <v>2020</v>
      </c>
      <c r="N173" s="61" t="s">
        <v>2672</v>
      </c>
      <c r="O173" s="54" t="str" cm="1">
        <f t="array" ref="O173">_xlfn.LET(_xlpm.n,LOWER(E173),_xlpm.c,LOWER(B173),_xlpm.t,_xlfn.IFS(OR(ISNUMBER(SEARCH("lens",_xlpm.n)),ISNUMBER(SEARCH("optic",_xlpm.n)),ISNUMBER(SEARCH("polarizer",_xlpm.n))),"precision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"),E173&amp;" is "&amp;_xlpm.art&amp;_xlpm.t&amp;" from "&amp;C173&amp;" designed for application-specific laboratory, engineering or industrial use. It belongs to DIWAN's "&amp;B173&amp;" portfolio; final configuration must be selected against performance, integration and compliance requirements.")</f>
        <v>LANO-SP900-1700B Push-Broom Hyperspectral Camera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3" s="54" t="str">
        <f t="shared" si="51"/>
        <v>Selection should confirm the model-specific operating range, capacity, accuracy, interfaces, utilities, accessories, standards, environmental limits and service requirements. Final capabilities depend on the approved LANO-SP900-1700B Push-Broom Hyperspectral Camera configuration.</v>
      </c>
      <c r="Q173" s="54"/>
      <c r="R173"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3" s="54"/>
      <c r="T173" s="54" t="str">
        <f t="shared" si="53"/>
        <v>LANO-SP900-1700B Push-Broom Hyperspectral Camera from Lano-tech</v>
      </c>
      <c r="U173" s="54"/>
      <c r="V173" s="54" t="s">
        <v>2673</v>
      </c>
      <c r="W173" s="54" t="str">
        <f t="shared" si="54"/>
        <v>See other Hyperspectral &amp; Multispectral Cameras products</v>
      </c>
      <c r="X173" s="54" t="str">
        <f t="shared" si="55"/>
        <v>Hyperspectral &amp; Multispectral Cameras enquiry → website group enquiry form → category owner assignment</v>
      </c>
      <c r="Y173" s="54" t="str">
        <f t="shared" si="56"/>
        <v>LANO-SP900-1700B Push-Broom Hyperspectral Camera, Hyperspectral &amp; Multispectral Cameras, Lano-tech, technical equipment, DIWAN</v>
      </c>
      <c r="Z173" s="54" t="s">
        <v>2262</v>
      </c>
      <c r="AA173" s="55">
        <v>46257</v>
      </c>
      <c r="AB173" s="54" t="s">
        <v>2465</v>
      </c>
      <c r="AC173" s="63" t="str">
        <f t="shared" si="57"/>
        <v>Content drafted - assets/specs pending</v>
      </c>
      <c r="AD17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3" s="58"/>
      <c r="AF173" s="58"/>
      <c r="AG173" s="58" t="s">
        <v>2467</v>
      </c>
      <c r="AH173" s="58" t="s">
        <v>2468</v>
      </c>
      <c r="AI173" s="58" t="s">
        <v>2469</v>
      </c>
    </row>
    <row r="174" spans="1:35" ht="42" customHeight="1" x14ac:dyDescent="0.35">
      <c r="A174" s="69">
        <f t="shared" si="48"/>
        <v>43</v>
      </c>
      <c r="B174" s="70" t="s">
        <v>214</v>
      </c>
      <c r="C174" s="71" t="s">
        <v>11</v>
      </c>
      <c r="D174" s="72" t="s">
        <v>12</v>
      </c>
      <c r="E174" s="45" t="s">
        <v>219</v>
      </c>
      <c r="F174" s="49" t="s">
        <v>3005</v>
      </c>
      <c r="G174" s="45" t="s">
        <v>3045</v>
      </c>
      <c r="H174" s="47">
        <v>46257</v>
      </c>
      <c r="I174" s="48" t="s">
        <v>1684</v>
      </c>
      <c r="J174" s="48" t="s">
        <v>971</v>
      </c>
      <c r="K174" s="48" t="str">
        <f t="shared" si="49"/>
        <v>Airborne Multispectral PTZ Camera is a hyperspectral &amp; multispectral cameras product from Lano-tech for application-specific laboratory, engineering or industrial use.</v>
      </c>
      <c r="L174" s="48" t="str">
        <f t="shared" si="50"/>
        <v>Airborne Multispectral PTZ Camera from Lano-tech for hyperspectral &amp; multispectral cameras applications. Review configuration requirements and request technical information or a quotation from DIWAN.</v>
      </c>
      <c r="M174" s="48" t="s">
        <v>2020</v>
      </c>
      <c r="N174" s="61" t="s">
        <v>2672</v>
      </c>
      <c r="O174" s="54" t="str" cm="1">
        <f t="array" ref="O174">_xlfn.LET(_xlpm.n,LOWER(E174),_xlpm.c,LOWER(B174),_xlpm.t,_xlfn.IFS(OR(ISNUMBER(SEARCH("lens",_xlpm.n)),ISNUMBER(SEARCH("optic",_xlpm.n)),ISNUMBER(SEARCH("polarizer",_xlpm.n))),"precision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"),E174&amp;" is "&amp;_xlpm.art&amp;_xlpm.t&amp;" from "&amp;C174&amp;" designed for application-specific laboratory, engineering or industrial use. It belongs to DIWAN's "&amp;B174&amp;" portfolio; final configuration must be selected against performance, integration and compliance requirements.")</f>
        <v>Airborne Multispectral PTZ Camera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4" s="54" t="str">
        <f t="shared" si="51"/>
        <v>Selection should confirm the model-specific operating range, capacity, accuracy, interfaces, utilities, accessories, standards, environmental limits and service requirements. Final capabilities depend on the approved Airborne Multispectral PTZ Camera configuration.</v>
      </c>
      <c r="Q174" s="54"/>
      <c r="R174"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4" s="54"/>
      <c r="T174" s="54" t="str">
        <f t="shared" si="53"/>
        <v>Airborne Multispectral PTZ Camera from Lano-tech</v>
      </c>
      <c r="U174" s="54"/>
      <c r="V174" s="54" t="s">
        <v>2673</v>
      </c>
      <c r="W174" s="54" t="str">
        <f t="shared" si="54"/>
        <v>See other Hyperspectral &amp; Multispectral Cameras products</v>
      </c>
      <c r="X174" s="54" t="str">
        <f t="shared" si="55"/>
        <v>Hyperspectral &amp; Multispectral Cameras enquiry → website group enquiry form → category owner assignment</v>
      </c>
      <c r="Y174" s="54" t="str">
        <f t="shared" si="56"/>
        <v>Airborne Multispectral PTZ Camera, Hyperspectral &amp; Multispectral Cameras, Lano-tech, technical equipment, DIWAN</v>
      </c>
      <c r="Z174" s="54" t="s">
        <v>2262</v>
      </c>
      <c r="AA174" s="55">
        <v>46257</v>
      </c>
      <c r="AB174" s="54" t="s">
        <v>2465</v>
      </c>
      <c r="AC174" s="63" t="str">
        <f t="shared" si="57"/>
        <v>Content drafted - assets/specs pending</v>
      </c>
      <c r="AD174"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4" s="58"/>
      <c r="AF174" s="58"/>
      <c r="AG174" s="58" t="s">
        <v>2467</v>
      </c>
      <c r="AH174" s="58" t="s">
        <v>2468</v>
      </c>
      <c r="AI174" s="58" t="s">
        <v>2469</v>
      </c>
    </row>
    <row r="175" spans="1:35" ht="42" customHeight="1" x14ac:dyDescent="0.35">
      <c r="A175" s="69">
        <f t="shared" si="48"/>
        <v>43</v>
      </c>
      <c r="B175" s="70" t="s">
        <v>214</v>
      </c>
      <c r="C175" s="71" t="s">
        <v>11</v>
      </c>
      <c r="D175" s="72" t="s">
        <v>12</v>
      </c>
      <c r="E175" s="45" t="s">
        <v>220</v>
      </c>
      <c r="F175" s="49" t="s">
        <v>3005</v>
      </c>
      <c r="G175" s="45" t="s">
        <v>3045</v>
      </c>
      <c r="H175" s="47">
        <v>46257</v>
      </c>
      <c r="I175" s="48" t="s">
        <v>1685</v>
      </c>
      <c r="J175" s="48" t="s">
        <v>972</v>
      </c>
      <c r="K175" s="48" t="str">
        <f t="shared" si="49"/>
        <v>8-Channel Video Spectrum Camera is a hyperspectral &amp; multispectral cameras product from Lano-tech for application-specific laboratory, engineering or industrial use.</v>
      </c>
      <c r="L175" s="48" t="str">
        <f t="shared" si="50"/>
        <v>8-Channel Video Spectrum Camera from Lano-tech for hyperspectral &amp; multispectral cameras applications. Review configuration requirements and request technical information or a quotation from DIWAN.</v>
      </c>
      <c r="M175" s="48" t="s">
        <v>2020</v>
      </c>
      <c r="N175" s="61" t="s">
        <v>2672</v>
      </c>
      <c r="O175" s="54" t="str" cm="1">
        <f t="array" ref="O175">_xlfn.LET(_xlpm.n,LOWER(E175),_xlpm.c,LOWER(B175),_xlpm.t,_xlfn.IFS(OR(ISNUMBER(SEARCH("lens",_xlpm.n)),ISNUMBER(SEARCH("optic",_xlpm.n)),ISNUMBER(SEARCH("polarizer",_xlpm.n))),"precision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"),E175&amp;" is "&amp;_xlpm.art&amp;_xlpm.t&amp;" from "&amp;C175&amp;" designed for application-specific laboratory, engineering or industrial use. It belongs to DIWAN's "&amp;B175&amp;" portfolio; final configuration must be selected against performance, integration and compliance requirements.")</f>
        <v>8-Channel Video Spectrum Camera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5" s="54" t="str">
        <f t="shared" si="51"/>
        <v>Selection should confirm the model-specific operating range, capacity, accuracy, interfaces, utilities, accessories, standards, environmental limits and service requirements. Final capabilities depend on the approved 8-Channel Video Spectrum Camera configuration.</v>
      </c>
      <c r="Q175" s="54"/>
      <c r="R175"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5" s="54"/>
      <c r="T175" s="54" t="str">
        <f t="shared" si="53"/>
        <v>8-Channel Video Spectrum Camera from Lano-tech</v>
      </c>
      <c r="U175" s="54"/>
      <c r="V175" s="54" t="s">
        <v>2673</v>
      </c>
      <c r="W175" s="54" t="str">
        <f t="shared" si="54"/>
        <v>See other Hyperspectral &amp; Multispectral Cameras products</v>
      </c>
      <c r="X175" s="54" t="str">
        <f t="shared" si="55"/>
        <v>Hyperspectral &amp; Multispectral Cameras enquiry → website group enquiry form → category owner assignment</v>
      </c>
      <c r="Y175" s="54" t="str">
        <f t="shared" si="56"/>
        <v>8-Channel Video Spectrum Camera, Hyperspectral &amp; Multispectral Cameras, Lano-tech, technical equipment, DIWAN</v>
      </c>
      <c r="Z175" s="54" t="s">
        <v>2262</v>
      </c>
      <c r="AA175" s="55">
        <v>46257</v>
      </c>
      <c r="AB175" s="54" t="s">
        <v>2465</v>
      </c>
      <c r="AC175" s="63" t="str">
        <f t="shared" si="57"/>
        <v>Content drafted - assets/specs pending</v>
      </c>
      <c r="AD17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5" s="58"/>
      <c r="AF175" s="58"/>
      <c r="AG175" s="58" t="s">
        <v>2467</v>
      </c>
      <c r="AH175" s="58" t="s">
        <v>2468</v>
      </c>
      <c r="AI175" s="58" t="s">
        <v>2469</v>
      </c>
    </row>
    <row r="176" spans="1:35" ht="42" customHeight="1" thickBot="1" x14ac:dyDescent="0.4">
      <c r="A176" s="69">
        <f t="shared" si="48"/>
        <v>43</v>
      </c>
      <c r="B176" s="70" t="s">
        <v>214</v>
      </c>
      <c r="C176" s="71" t="s">
        <v>11</v>
      </c>
      <c r="D176" s="72" t="s">
        <v>12</v>
      </c>
      <c r="E176" s="45" t="s">
        <v>221</v>
      </c>
      <c r="F176" s="49" t="s">
        <v>3005</v>
      </c>
      <c r="G176" s="45" t="s">
        <v>3045</v>
      </c>
      <c r="H176" s="47">
        <v>46257</v>
      </c>
      <c r="I176" s="48" t="s">
        <v>1686</v>
      </c>
      <c r="J176" s="48" t="s">
        <v>973</v>
      </c>
      <c r="K176" s="48" t="str">
        <f t="shared" si="49"/>
        <v>4-Channel Video Spectrum Camera is a hyperspectral &amp; multispectral cameras product from Lano-tech for application-specific laboratory, engineering or industrial use.</v>
      </c>
      <c r="L176" s="48" t="str">
        <f t="shared" si="50"/>
        <v>4-Channel Video Spectrum Camera from Lano-tech for hyperspectral &amp; multispectral cameras applications. Review configuration requirements and request technical information or a quotation from DIWAN.</v>
      </c>
      <c r="M176" s="48" t="s">
        <v>2020</v>
      </c>
      <c r="N176" s="61" t="s">
        <v>2672</v>
      </c>
      <c r="O176" s="54" t="str" cm="1">
        <f t="array" ref="O176">_xlfn.LET(_xlpm.n,LOWER(E176),_xlpm.c,LOWER(B176),_xlpm.t,_xlfn.IFS(OR(ISNUMBER(SEARCH("lens",_xlpm.n)),ISNUMBER(SEARCH("optic",_xlpm.n)),ISNUMBER(SEARCH("polarizer",_xlpm.n))),"precision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"),E176&amp;" is "&amp;_xlpm.art&amp;_xlpm.t&amp;" from "&amp;C176&amp;" designed for application-specific laboratory, engineering or industrial use. It belongs to DIWAN's "&amp;B176&amp;" portfolio; final configuration must be selected against performance, integration and compliance requirements.")</f>
        <v>4-Channel Video Spectrum Camera is a scientific or industrial imaging system from Lano-tech designed for application-specific laboratory, engineering or industrial use. It belongs to DIWAN's Hyperspectral &amp; Multispectral Cameras portfolio; final configuration must be selected against performance, integration and compliance requirements.</v>
      </c>
      <c r="P176" s="54" t="str">
        <f t="shared" si="51"/>
        <v>Selection should confirm the model-specific operating range, capacity, accuracy, interfaces, utilities, accessories, standards, environmental limits and service requirements. Final capabilities depend on the approved 4-Channel Video Spectrum Camera configuration.</v>
      </c>
      <c r="Q176" s="54"/>
      <c r="R176" s="54" t="str">
        <f t="shared" si="52"/>
        <v>Hyperspectral &amp; Multispectral Cameras applications; laboratory research, engineering development, quality control and industrial deployment where applicable. Suitability must be confirmed against the user's sample, process, environment and required standards.</v>
      </c>
      <c r="S176" s="54"/>
      <c r="T176" s="54" t="str">
        <f t="shared" si="53"/>
        <v>4-Channel Video Spectrum Camera from Lano-tech</v>
      </c>
      <c r="U176" s="54"/>
      <c r="V176" s="54" t="s">
        <v>2673</v>
      </c>
      <c r="W176" s="54" t="str">
        <f t="shared" si="54"/>
        <v>See other Hyperspectral &amp; Multispectral Cameras products</v>
      </c>
      <c r="X176" s="54" t="str">
        <f t="shared" si="55"/>
        <v>Hyperspectral &amp; Multispectral Cameras enquiry → website group enquiry form → category owner assignment</v>
      </c>
      <c r="Y176" s="54" t="str">
        <f t="shared" si="56"/>
        <v>4-Channel Video Spectrum Camera, Hyperspectral &amp; Multispectral Cameras, Lano-tech, technical equipment, DIWAN</v>
      </c>
      <c r="Z176" s="54" t="s">
        <v>2262</v>
      </c>
      <c r="AA176" s="55">
        <v>46257</v>
      </c>
      <c r="AB176" s="54" t="s">
        <v>2465</v>
      </c>
      <c r="AC176" s="63" t="str">
        <f t="shared" si="57"/>
        <v>Content drafted - assets/specs pending</v>
      </c>
      <c r="AD17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6" s="58"/>
      <c r="AF176" s="58"/>
      <c r="AG176" s="58" t="s">
        <v>2467</v>
      </c>
      <c r="AH176" s="58" t="s">
        <v>2468</v>
      </c>
      <c r="AI176" s="58" t="s">
        <v>2469</v>
      </c>
    </row>
    <row r="177" spans="1:35" ht="42" customHeight="1" x14ac:dyDescent="0.35">
      <c r="A177" s="69">
        <f t="shared" si="48"/>
        <v>44</v>
      </c>
      <c r="B177" s="74" t="s">
        <v>222</v>
      </c>
      <c r="C177" s="75" t="s">
        <v>11</v>
      </c>
      <c r="D177" s="76" t="s">
        <v>12</v>
      </c>
      <c r="E177" s="77" t="s">
        <v>223</v>
      </c>
      <c r="F177" s="86" t="s">
        <v>3006</v>
      </c>
      <c r="G177" s="77" t="s">
        <v>3045</v>
      </c>
      <c r="H177" s="79">
        <v>46257</v>
      </c>
      <c r="I177" s="80" t="s">
        <v>1687</v>
      </c>
      <c r="J177" s="80" t="s">
        <v>974</v>
      </c>
      <c r="K177" s="80" t="str">
        <f t="shared" si="49"/>
        <v>LANO-HSC20-25000G is a high-speed cameras product from Lano-tech for application-specific laboratory, engineering or industrial use.</v>
      </c>
      <c r="L177" s="80" t="str">
        <f t="shared" si="50"/>
        <v>LANO-HSC20-25000G from Lano-tech for high-speed cameras applications. Review configuration requirements and request technical information or a quotation from DIWAN.</v>
      </c>
      <c r="M177" s="80" t="s">
        <v>2020</v>
      </c>
      <c r="N177" s="81" t="s">
        <v>2672</v>
      </c>
      <c r="O177" s="82" t="str" cm="1">
        <f t="array" ref="O177">_xlfn.LET(_xlpm.n,LOWER(E177),_xlpm.c,LOWER(B177),_xlpm.t,_xlfn.IFS(OR(ISNUMBER(SEARCH("lens",_xlpm.n)),ISNUMBER(SEARCH("optic",_xlpm.n)),ISNUMBER(SEARCH("polarizer",_xlpm.n))),"precision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"),E177&amp;" is "&amp;_xlpm.art&amp;_xlpm.t&amp;" from "&amp;C177&amp;" designed for application-specific laboratory, engineering or industrial use. It belongs to DIWAN's "&amp;B177&amp;" portfolio; final configuration must be selected against performance, integration and compliance requirements.")</f>
        <v>LANO-HSC20-25000G is a specialized high-speed cameras product from Lano-tech designed for application-specific laboratory, engineering or industrial use. It belongs to DIWAN's High-Speed Cameras portfolio; final configuration must be selected against performance, integration and compliance requirements.</v>
      </c>
      <c r="P177" s="82" t="str">
        <f t="shared" si="51"/>
        <v>Selection should confirm the model-specific operating range, capacity, accuracy, interfaces, utilities, accessories, standards, environmental limits and service requirements. Final capabilities depend on the approved LANO-HSC20-25000G configuration.</v>
      </c>
      <c r="Q177" s="82"/>
      <c r="R177" s="82" t="str">
        <f t="shared" si="52"/>
        <v>High-Speed Cameras applications; laboratory research, engineering development, quality control and industrial deployment where applicable. Suitability must be confirmed against the user's sample, process, environment and required standards.</v>
      </c>
      <c r="S177" s="82"/>
      <c r="T177" s="82" t="str">
        <f t="shared" si="53"/>
        <v>LANO-HSC20-25000G from Lano-tech</v>
      </c>
      <c r="U177" s="82"/>
      <c r="V177" s="82" t="s">
        <v>2673</v>
      </c>
      <c r="W177" s="82" t="str">
        <f t="shared" si="54"/>
        <v>See other High-Speed Cameras products</v>
      </c>
      <c r="X177" s="82" t="str">
        <f t="shared" si="55"/>
        <v>High-Speed Cameras enquiry → website group enquiry form → category owner assignment</v>
      </c>
      <c r="Y177" s="82" t="str">
        <f t="shared" si="56"/>
        <v>LANO-HSC20-25000G, High-Speed Cameras, Lano-tech, technical equipment, DIWAN</v>
      </c>
      <c r="Z177" s="82" t="s">
        <v>2263</v>
      </c>
      <c r="AA177" s="83">
        <v>46257</v>
      </c>
      <c r="AB177" s="82" t="s">
        <v>2465</v>
      </c>
      <c r="AC177" s="84" t="str">
        <f t="shared" si="57"/>
        <v>Content drafted - assets/specs pending</v>
      </c>
      <c r="AD177"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7" s="85"/>
      <c r="AF177" s="85"/>
      <c r="AG177" s="85" t="s">
        <v>2467</v>
      </c>
      <c r="AH177" s="85" t="s">
        <v>2468</v>
      </c>
      <c r="AI177" s="85" t="s">
        <v>2469</v>
      </c>
    </row>
    <row r="178" spans="1:35" ht="42" customHeight="1" x14ac:dyDescent="0.35">
      <c r="A178" s="69">
        <f t="shared" si="48"/>
        <v>44</v>
      </c>
      <c r="B178" s="70" t="s">
        <v>222</v>
      </c>
      <c r="C178" s="71" t="s">
        <v>11</v>
      </c>
      <c r="D178" s="72" t="s">
        <v>12</v>
      </c>
      <c r="E178" s="45" t="s">
        <v>224</v>
      </c>
      <c r="F178" s="49" t="s">
        <v>3006</v>
      </c>
      <c r="G178" s="45" t="s">
        <v>3045</v>
      </c>
      <c r="H178" s="47">
        <v>46257</v>
      </c>
      <c r="I178" s="48" t="s">
        <v>1688</v>
      </c>
      <c r="J178" s="48" t="s">
        <v>975</v>
      </c>
      <c r="K178" s="48" t="str">
        <f t="shared" si="49"/>
        <v>LANO-HSC131-1000000G is a high-speed cameras product from Lano-tech for application-specific laboratory, engineering or industrial use.</v>
      </c>
      <c r="L178" s="48" t="str">
        <f t="shared" si="50"/>
        <v>LANO-HSC131-1000000G from Lano-tech for high-speed cameras applications. Review configuration requirements and request technical information or a quotation from DIWAN.</v>
      </c>
      <c r="M178" s="48" t="s">
        <v>2020</v>
      </c>
      <c r="N178" s="61" t="s">
        <v>2672</v>
      </c>
      <c r="O178" s="54" t="str" cm="1">
        <f t="array" ref="O178">_xlfn.LET(_xlpm.n,LOWER(E178),_xlpm.c,LOWER(B178),_xlpm.t,_xlfn.IFS(OR(ISNUMBER(SEARCH("lens",_xlpm.n)),ISNUMBER(SEARCH("optic",_xlpm.n)),ISNUMBER(SEARCH("polarizer",_xlpm.n))),"precision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"),E178&amp;" is "&amp;_xlpm.art&amp;_xlpm.t&amp;" from "&amp;C178&amp;" designed for application-specific laboratory, engineering or industrial use. It belongs to DIWAN's "&amp;B178&amp;" portfolio; final configuration must be selected against performance, integration and compliance requirements.")</f>
        <v>LANO-HSC131-1000000G is a specialized high-speed cameras product from Lano-tech designed for application-specific laboratory, engineering or industrial use. It belongs to DIWAN's High-Speed Cameras portfolio; final configuration must be selected against performance, integration and compliance requirements.</v>
      </c>
      <c r="P178" s="54" t="str">
        <f t="shared" si="51"/>
        <v>Selection should confirm the model-specific operating range, capacity, accuracy, interfaces, utilities, accessories, standards, environmental limits and service requirements. Final capabilities depend on the approved LANO-HSC131-1000000G configuration.</v>
      </c>
      <c r="Q178" s="54"/>
      <c r="R178" s="54" t="str">
        <f t="shared" si="52"/>
        <v>High-Speed Cameras applications; laboratory research, engineering development, quality control and industrial deployment where applicable. Suitability must be confirmed against the user's sample, process, environment and required standards.</v>
      </c>
      <c r="S178" s="54"/>
      <c r="T178" s="54" t="str">
        <f t="shared" si="53"/>
        <v>LANO-HSC131-1000000G from Lano-tech</v>
      </c>
      <c r="U178" s="54"/>
      <c r="V178" s="54" t="s">
        <v>2673</v>
      </c>
      <c r="W178" s="54" t="str">
        <f t="shared" si="54"/>
        <v>See other High-Speed Cameras products</v>
      </c>
      <c r="X178" s="54" t="str">
        <f t="shared" si="55"/>
        <v>High-Speed Cameras enquiry → website group enquiry form → category owner assignment</v>
      </c>
      <c r="Y178" s="54" t="str">
        <f t="shared" si="56"/>
        <v>LANO-HSC131-1000000G, High-Speed Cameras, Lano-tech, technical equipment, DIWAN</v>
      </c>
      <c r="Z178" s="54" t="s">
        <v>2263</v>
      </c>
      <c r="AA178" s="55">
        <v>46257</v>
      </c>
      <c r="AB178" s="54" t="s">
        <v>2465</v>
      </c>
      <c r="AC178" s="63" t="str">
        <f t="shared" si="57"/>
        <v>Content drafted - assets/specs pending</v>
      </c>
      <c r="AD17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8" s="58"/>
      <c r="AF178" s="58"/>
      <c r="AG178" s="58" t="s">
        <v>2467</v>
      </c>
      <c r="AH178" s="58" t="s">
        <v>2468</v>
      </c>
      <c r="AI178" s="58" t="s">
        <v>2469</v>
      </c>
    </row>
    <row r="179" spans="1:35" ht="42" customHeight="1" x14ac:dyDescent="0.35">
      <c r="A179" s="69">
        <f t="shared" si="48"/>
        <v>44</v>
      </c>
      <c r="B179" s="70" t="s">
        <v>222</v>
      </c>
      <c r="C179" s="71" t="s">
        <v>11</v>
      </c>
      <c r="D179" s="72" t="s">
        <v>12</v>
      </c>
      <c r="E179" s="45" t="s">
        <v>225</v>
      </c>
      <c r="F179" s="49" t="s">
        <v>3006</v>
      </c>
      <c r="G179" s="45" t="s">
        <v>3045</v>
      </c>
      <c r="H179" s="47">
        <v>46257</v>
      </c>
      <c r="I179" s="48" t="s">
        <v>1689</v>
      </c>
      <c r="J179" s="48" t="s">
        <v>976</v>
      </c>
      <c r="K179" s="48" t="str">
        <f t="shared" si="49"/>
        <v>2MP High Resolution High Speed Video Camera is a high-speed cameras product from Lano-tech for application-specific laboratory, engineering or industrial use.</v>
      </c>
      <c r="L179" s="48" t="str">
        <f t="shared" si="50"/>
        <v>2MP High Resolution High Speed Video Camera from Lano-tech for high-speed cameras applications. Review configuration requirements and request technical information or a quotation from DIWAN.</v>
      </c>
      <c r="M179" s="48" t="s">
        <v>2020</v>
      </c>
      <c r="N179" s="61" t="s">
        <v>2672</v>
      </c>
      <c r="O179" s="54" t="str" cm="1">
        <f t="array" ref="O179">_xlfn.LET(_xlpm.n,LOWER(E179),_xlpm.c,LOWER(B179),_xlpm.t,_xlfn.IFS(OR(ISNUMBER(SEARCH("lens",_xlpm.n)),ISNUMBER(SEARCH("optic",_xlpm.n)),ISNUMBER(SEARCH("polarizer",_xlpm.n))),"precision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"),E179&amp;" is "&amp;_xlpm.art&amp;_xlpm.t&amp;" from "&amp;C179&amp;" designed for application-specific laboratory, engineering or industrial use. It belongs to DIWAN's "&amp;B179&amp;" portfolio; final configuration must be selected against performance, integration and compliance requirements.")</f>
        <v>2MP High Resolution High Speed Video Camera is a scientific or industrial imaging system from Lano-tech designed for application-specific laboratory, engineering or industrial use. It belongs to DIWAN's High-Speed Cameras portfolio; final configuration must be selected against performance, integration and compliance requirements.</v>
      </c>
      <c r="P179" s="54" t="str">
        <f t="shared" si="51"/>
        <v>Selection should confirm the model-specific operating range, capacity, accuracy, interfaces, utilities, accessories, standards, environmental limits and service requirements. Final capabilities depend on the approved 2MP High Resolution High Speed Video Camera configuration.</v>
      </c>
      <c r="Q179" s="54"/>
      <c r="R179" s="54" t="str">
        <f t="shared" si="52"/>
        <v>High-Speed Cameras applications; laboratory research, engineering development, quality control and industrial deployment where applicable. Suitability must be confirmed against the user's sample, process, environment and required standards.</v>
      </c>
      <c r="S179" s="54"/>
      <c r="T179" s="54" t="str">
        <f t="shared" si="53"/>
        <v>2MP High Resolution High Speed Video Camera from Lano-tech</v>
      </c>
      <c r="U179" s="54"/>
      <c r="V179" s="54" t="s">
        <v>2673</v>
      </c>
      <c r="W179" s="54" t="str">
        <f t="shared" si="54"/>
        <v>See other High-Speed Cameras products</v>
      </c>
      <c r="X179" s="54" t="str">
        <f t="shared" si="55"/>
        <v>High-Speed Cameras enquiry → website group enquiry form → category owner assignment</v>
      </c>
      <c r="Y179" s="54" t="str">
        <f t="shared" si="56"/>
        <v>2MP High Resolution High Speed Video Camera, High-Speed Cameras, Lano-tech, technical equipment, DIWAN</v>
      </c>
      <c r="Z179" s="54" t="s">
        <v>2263</v>
      </c>
      <c r="AA179" s="55">
        <v>46257</v>
      </c>
      <c r="AB179" s="54" t="s">
        <v>2465</v>
      </c>
      <c r="AC179" s="63" t="str">
        <f t="shared" si="57"/>
        <v>Content drafted - assets/specs pending</v>
      </c>
      <c r="AD17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79" s="58"/>
      <c r="AF179" s="58"/>
      <c r="AG179" s="58" t="s">
        <v>2467</v>
      </c>
      <c r="AH179" s="58" t="s">
        <v>2468</v>
      </c>
      <c r="AI179" s="58" t="s">
        <v>2469</v>
      </c>
    </row>
    <row r="180" spans="1:35" ht="42" customHeight="1" thickBot="1" x14ac:dyDescent="0.4">
      <c r="A180" s="69">
        <f t="shared" si="48"/>
        <v>44</v>
      </c>
      <c r="B180" s="70" t="s">
        <v>222</v>
      </c>
      <c r="C180" s="71" t="s">
        <v>11</v>
      </c>
      <c r="D180" s="72" t="s">
        <v>12</v>
      </c>
      <c r="E180" s="45" t="s">
        <v>226</v>
      </c>
      <c r="F180" s="49" t="s">
        <v>3006</v>
      </c>
      <c r="G180" s="45" t="s">
        <v>3045</v>
      </c>
      <c r="H180" s="47">
        <v>46257</v>
      </c>
      <c r="I180" s="48" t="s">
        <v>1690</v>
      </c>
      <c r="J180" s="48" t="s">
        <v>977</v>
      </c>
      <c r="K180" s="48" t="str">
        <f t="shared" si="49"/>
        <v>LANO-HSC Series Ultra Data Throughput High Speed Cameras is a high-speed cameras product from Lano-tech for application-specific laboratory, engineering or industrial use.</v>
      </c>
      <c r="L180" s="48" t="str">
        <f t="shared" si="50"/>
        <v>LANO-HSC Series Ultra Data Throughput High Speed Cameras from Lano-tech for high-speed cameras applications. Review configuration requirements and request technical information or a quotation from DIWAN.</v>
      </c>
      <c r="M180" s="48" t="s">
        <v>2020</v>
      </c>
      <c r="N180" s="61" t="s">
        <v>2672</v>
      </c>
      <c r="O180" s="54" t="str" cm="1">
        <f t="array" ref="O180">_xlfn.LET(_xlpm.n,LOWER(E180),_xlpm.c,LOWER(B180),_xlpm.t,_xlfn.IFS(OR(ISNUMBER(SEARCH("lens",_xlpm.n)),ISNUMBER(SEARCH("optic",_xlpm.n)),ISNUMBER(SEARCH("polarizer",_xlpm.n))),"precision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"),E180&amp;" is "&amp;_xlpm.art&amp;_xlpm.t&amp;" from "&amp;C180&amp;" designed for application-specific laboratory, engineering or industrial use. It belongs to DIWAN's "&amp;B180&amp;" portfolio; final configuration must be selected against performance, integration and compliance requirements.")</f>
        <v>LANO-HSC Series Ultra Data Throughput High Speed Cameras is a scientific or industrial imaging system from Lano-tech designed for application-specific laboratory, engineering or industrial use. It belongs to DIWAN's High-Speed Cameras portfolio; final configuration must be selected against performance, integration and compliance requirements.</v>
      </c>
      <c r="P180" s="54" t="str">
        <f t="shared" si="51"/>
        <v>Selection should confirm the model-specific operating range, capacity, accuracy, interfaces, utilities, accessories, standards, environmental limits and service requirements. Final capabilities depend on the approved LANO-HSC Series Ultra Data Throughput High Speed Cameras configuration.</v>
      </c>
      <c r="Q180" s="54"/>
      <c r="R180" s="54" t="str">
        <f t="shared" si="52"/>
        <v>High-Speed Cameras applications; laboratory research, engineering development, quality control and industrial deployment where applicable. Suitability must be confirmed against the user's sample, process, environment and required standards.</v>
      </c>
      <c r="S180" s="54"/>
      <c r="T180" s="54" t="str">
        <f t="shared" si="53"/>
        <v>LANO-HSC Series Ultra Data Throughput High Speed Cameras from Lano-tech</v>
      </c>
      <c r="U180" s="54"/>
      <c r="V180" s="54" t="s">
        <v>2673</v>
      </c>
      <c r="W180" s="54" t="str">
        <f t="shared" si="54"/>
        <v>See other High-Speed Cameras products</v>
      </c>
      <c r="X180" s="54" t="str">
        <f t="shared" si="55"/>
        <v>High-Speed Cameras enquiry → website group enquiry form → category owner assignment</v>
      </c>
      <c r="Y180" s="54" t="str">
        <f t="shared" si="56"/>
        <v>LANO-HSC Series Ultra Data Throughput High Speed Cameras, High-Speed Cameras, Lano-tech, technical equipment, DIWAN</v>
      </c>
      <c r="Z180" s="54" t="s">
        <v>2263</v>
      </c>
      <c r="AA180" s="55">
        <v>46257</v>
      </c>
      <c r="AB180" s="54" t="s">
        <v>2465</v>
      </c>
      <c r="AC180" s="63" t="str">
        <f t="shared" si="57"/>
        <v>Content drafted - assets/specs pending</v>
      </c>
      <c r="AD180"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0" s="58"/>
      <c r="AF180" s="58"/>
      <c r="AG180" s="58" t="s">
        <v>2467</v>
      </c>
      <c r="AH180" s="58" t="s">
        <v>2468</v>
      </c>
      <c r="AI180" s="58" t="s">
        <v>2469</v>
      </c>
    </row>
    <row r="181" spans="1:35" ht="42" customHeight="1" x14ac:dyDescent="0.35">
      <c r="A181" s="69">
        <f t="shared" si="48"/>
        <v>45</v>
      </c>
      <c r="B181" s="74" t="s">
        <v>227</v>
      </c>
      <c r="C181" s="75" t="s">
        <v>11</v>
      </c>
      <c r="D181" s="76" t="s">
        <v>12</v>
      </c>
      <c r="E181" s="77" t="s">
        <v>228</v>
      </c>
      <c r="F181" s="86" t="s">
        <v>3007</v>
      </c>
      <c r="G181" s="77" t="s">
        <v>3045</v>
      </c>
      <c r="H181" s="79">
        <v>46257</v>
      </c>
      <c r="I181" s="80" t="s">
        <v>1691</v>
      </c>
      <c r="J181" s="80" t="s">
        <v>978</v>
      </c>
      <c r="K181" s="80" t="str">
        <f t="shared" si="49"/>
        <v>Coaxial Lighting Source is a machine-vision lighting product from Lano-tech for application-specific laboratory, engineering or industrial use.</v>
      </c>
      <c r="L181" s="80" t="str">
        <f t="shared" si="50"/>
        <v>Coaxial Lighting Source from Lano-tech for machine-vision lighting applications. Review configuration requirements and request technical information or a quotation from DIWAN.</v>
      </c>
      <c r="M181" s="80" t="s">
        <v>2020</v>
      </c>
      <c r="N181" s="81" t="s">
        <v>2672</v>
      </c>
      <c r="O181" s="82" t="str" cm="1">
        <f t="array" ref="O181">_xlfn.LET(_xlpm.n,LOWER(E181),_xlpm.c,LOWER(B181),_xlpm.t,_xlfn.IFS(OR(ISNUMBER(SEARCH("lens",_xlpm.n)),ISNUMBER(SEARCH("optic",_xlpm.n)),ISNUMBER(SEARCH("polarizer",_xlpm.n))),"precision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"),E181&amp;" is "&amp;_xlpm.art&amp;_xlpm.t&amp;" from "&amp;C181&amp;" designed for application-specific laboratory, engineering or industrial use. It belongs to DIWAN's "&amp;B181&amp;" portfolio; final configuration must be selected against performance, integration and compliance requirements.")</f>
        <v>Coaxial Lighting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1" s="82" t="str">
        <f t="shared" si="51"/>
        <v>Selection should confirm the model-specific operating range, capacity, accuracy, interfaces, utilities, accessories, standards, environmental limits and service requirements. Final capabilities depend on the approved Coaxial Lighting Source configuration.</v>
      </c>
      <c r="Q181" s="82"/>
      <c r="R181" s="82" t="str">
        <f t="shared" si="52"/>
        <v>Machine-Vision Lighting applications; laboratory research, engineering development, quality control and industrial deployment where applicable. Suitability must be confirmed against the user's sample, process, environment and required standards.</v>
      </c>
      <c r="S181" s="82"/>
      <c r="T181" s="82" t="str">
        <f t="shared" si="53"/>
        <v>Coaxial Lighting Source from Lano-tech</v>
      </c>
      <c r="U181" s="82"/>
      <c r="V181" s="82" t="s">
        <v>2673</v>
      </c>
      <c r="W181" s="82" t="str">
        <f t="shared" si="54"/>
        <v>See other Machine-Vision Lighting products</v>
      </c>
      <c r="X181" s="82" t="str">
        <f t="shared" si="55"/>
        <v>Machine-Vision Lighting enquiry → website group enquiry form → category owner assignment</v>
      </c>
      <c r="Y181" s="82" t="str">
        <f t="shared" si="56"/>
        <v>Coaxial Lighting Source, Machine-Vision Lighting, Lano-tech, technical equipment, DIWAN</v>
      </c>
      <c r="Z181" s="82" t="s">
        <v>2264</v>
      </c>
      <c r="AA181" s="83">
        <v>46257</v>
      </c>
      <c r="AB181" s="82" t="s">
        <v>2465</v>
      </c>
      <c r="AC181" s="84" t="str">
        <f t="shared" si="57"/>
        <v>Content drafted - assets/specs pending</v>
      </c>
      <c r="AD181"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1" s="85"/>
      <c r="AF181" s="85"/>
      <c r="AG181" s="85" t="s">
        <v>2467</v>
      </c>
      <c r="AH181" s="85" t="s">
        <v>2468</v>
      </c>
      <c r="AI181" s="85" t="s">
        <v>2469</v>
      </c>
    </row>
    <row r="182" spans="1:35" ht="42" customHeight="1" x14ac:dyDescent="0.35">
      <c r="A182" s="69">
        <f t="shared" si="48"/>
        <v>45</v>
      </c>
      <c r="B182" s="70" t="s">
        <v>227</v>
      </c>
      <c r="C182" s="71" t="s">
        <v>11</v>
      </c>
      <c r="D182" s="72" t="s">
        <v>12</v>
      </c>
      <c r="E182" s="45" t="s">
        <v>229</v>
      </c>
      <c r="F182" s="49" t="s">
        <v>3007</v>
      </c>
      <c r="G182" s="45" t="s">
        <v>3045</v>
      </c>
      <c r="H182" s="47">
        <v>46257</v>
      </c>
      <c r="I182" s="48" t="s">
        <v>1692</v>
      </c>
      <c r="J182" s="48" t="s">
        <v>979</v>
      </c>
      <c r="K182" s="48" t="str">
        <f t="shared" si="49"/>
        <v>Angle Coaxial Light Source is a machine-vision lighting product from Lano-tech for application-specific laboratory, engineering or industrial use.</v>
      </c>
      <c r="L182" s="48" t="str">
        <f t="shared" si="50"/>
        <v>Angle Coaxial Light Source from Lano-tech for machine-vision lighting applications. Review configuration requirements and request technical information or a quotation from DIWAN.</v>
      </c>
      <c r="M182" s="48" t="s">
        <v>2020</v>
      </c>
      <c r="N182" s="61" t="s">
        <v>2672</v>
      </c>
      <c r="O182" s="54" t="str" cm="1">
        <f t="array" ref="O182">_xlfn.LET(_xlpm.n,LOWER(E182),_xlpm.c,LOWER(B182),_xlpm.t,_xlfn.IFS(OR(ISNUMBER(SEARCH("lens",_xlpm.n)),ISNUMBER(SEARCH("optic",_xlpm.n)),ISNUMBER(SEARCH("polarizer",_xlpm.n))),"precision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"),E182&amp;" is "&amp;_xlpm.art&amp;_xlpm.t&amp;" from "&amp;C182&amp;" designed for application-specific laboratory, engineering or industrial use. It belongs to DIWAN's "&amp;B182&amp;" portfolio; final configuration must be selected against performance, integration and compliance requirements.")</f>
        <v>Angle Coaxial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2" s="54" t="str">
        <f t="shared" si="51"/>
        <v>Selection should confirm the model-specific operating range, capacity, accuracy, interfaces, utilities, accessories, standards, environmental limits and service requirements. Final capabilities depend on the approved Angle Coaxial Light Source configuration.</v>
      </c>
      <c r="Q182" s="54"/>
      <c r="R182" s="54" t="str">
        <f t="shared" si="52"/>
        <v>Machine-Vision Lighting applications; laboratory research, engineering development, quality control and industrial deployment where applicable. Suitability must be confirmed against the user's sample, process, environment and required standards.</v>
      </c>
      <c r="S182" s="54"/>
      <c r="T182" s="54" t="str">
        <f t="shared" si="53"/>
        <v>Angle Coaxial Light Source from Lano-tech</v>
      </c>
      <c r="U182" s="54"/>
      <c r="V182" s="54" t="s">
        <v>2673</v>
      </c>
      <c r="W182" s="54" t="str">
        <f t="shared" si="54"/>
        <v>See other Machine-Vision Lighting products</v>
      </c>
      <c r="X182" s="54" t="str">
        <f t="shared" si="55"/>
        <v>Machine-Vision Lighting enquiry → website group enquiry form → category owner assignment</v>
      </c>
      <c r="Y182" s="54" t="str">
        <f t="shared" si="56"/>
        <v>Angle Coaxial Light Source, Machine-Vision Lighting, Lano-tech, technical equipment, DIWAN</v>
      </c>
      <c r="Z182" s="54" t="s">
        <v>2264</v>
      </c>
      <c r="AA182" s="55">
        <v>46257</v>
      </c>
      <c r="AB182" s="54" t="s">
        <v>2465</v>
      </c>
      <c r="AC182" s="63" t="str">
        <f t="shared" si="57"/>
        <v>Content drafted - assets/specs pending</v>
      </c>
      <c r="AD18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2" s="58"/>
      <c r="AF182" s="58"/>
      <c r="AG182" s="58" t="s">
        <v>2467</v>
      </c>
      <c r="AH182" s="58" t="s">
        <v>2468</v>
      </c>
      <c r="AI182" s="58" t="s">
        <v>2469</v>
      </c>
    </row>
    <row r="183" spans="1:35" ht="42" customHeight="1" x14ac:dyDescent="0.35">
      <c r="A183" s="69">
        <f t="shared" si="48"/>
        <v>45</v>
      </c>
      <c r="B183" s="70" t="s">
        <v>227</v>
      </c>
      <c r="C183" s="71" t="s">
        <v>11</v>
      </c>
      <c r="D183" s="72" t="s">
        <v>12</v>
      </c>
      <c r="E183" s="45" t="s">
        <v>230</v>
      </c>
      <c r="F183" s="49" t="s">
        <v>3007</v>
      </c>
      <c r="G183" s="45" t="s">
        <v>3045</v>
      </c>
      <c r="H183" s="47">
        <v>46257</v>
      </c>
      <c r="I183" s="48" t="s">
        <v>1693</v>
      </c>
      <c r="J183" s="48" t="s">
        <v>980</v>
      </c>
      <c r="K183" s="48" t="str">
        <f t="shared" si="49"/>
        <v>High-Brightness High-Power Ring Light is a machine-vision lighting product from Lano-tech for application-specific laboratory, engineering or industrial use.</v>
      </c>
      <c r="L183" s="48" t="str">
        <f t="shared" si="50"/>
        <v>High-Brightness High-Power Ring Light from Lano-tech for machine-vision lighting applications. Review configuration requirements and request technical information or a quotation from DIWAN.</v>
      </c>
      <c r="M183" s="48" t="s">
        <v>2020</v>
      </c>
      <c r="N183" s="61" t="s">
        <v>2672</v>
      </c>
      <c r="O183" s="54" t="str" cm="1">
        <f t="array" ref="O183">_xlfn.LET(_xlpm.n,LOWER(E183),_xlpm.c,LOWER(B183),_xlpm.t,_xlfn.IFS(OR(ISNUMBER(SEARCH("lens",_xlpm.n)),ISNUMBER(SEARCH("optic",_xlpm.n)),ISNUMBER(SEARCH("polarizer",_xlpm.n))),"precision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"),E183&amp;" is "&amp;_xlpm.art&amp;_xlpm.t&amp;" from "&amp;C183&amp;" designed for application-specific laboratory, engineering or industrial use. It belongs to DIWAN's "&amp;B183&amp;" portfolio; final configuration must be selected against performance, integration and compliance requirements.")</f>
        <v>High-Brightness High-Power Ring Light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3" s="54" t="str">
        <f t="shared" si="51"/>
        <v>Selection should confirm the model-specific operating range, capacity, accuracy, interfaces, utilities, accessories, standards, environmental limits and service requirements. Final capabilities depend on the approved High-Brightness High-Power Ring Light configuration.</v>
      </c>
      <c r="Q183" s="54"/>
      <c r="R183" s="54" t="str">
        <f t="shared" si="52"/>
        <v>Machine-Vision Lighting applications; laboratory research, engineering development, quality control and industrial deployment where applicable. Suitability must be confirmed against the user's sample, process, environment and required standards.</v>
      </c>
      <c r="S183" s="54"/>
      <c r="T183" s="54" t="str">
        <f t="shared" si="53"/>
        <v>High-Brightness High-Power Ring Light from Lano-tech</v>
      </c>
      <c r="U183" s="54"/>
      <c r="V183" s="54" t="s">
        <v>2673</v>
      </c>
      <c r="W183" s="54" t="str">
        <f t="shared" si="54"/>
        <v>See other Machine-Vision Lighting products</v>
      </c>
      <c r="X183" s="54" t="str">
        <f t="shared" si="55"/>
        <v>Machine-Vision Lighting enquiry → website group enquiry form → category owner assignment</v>
      </c>
      <c r="Y183" s="54" t="str">
        <f t="shared" si="56"/>
        <v>High-Brightness High-Power Ring Light, Machine-Vision Lighting, Lano-tech, technical equipment, DIWAN</v>
      </c>
      <c r="Z183" s="54" t="s">
        <v>2264</v>
      </c>
      <c r="AA183" s="55">
        <v>46257</v>
      </c>
      <c r="AB183" s="54" t="s">
        <v>2465</v>
      </c>
      <c r="AC183" s="63" t="str">
        <f t="shared" si="57"/>
        <v>Content drafted - assets/specs pending</v>
      </c>
      <c r="AD18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3" s="58"/>
      <c r="AF183" s="58"/>
      <c r="AG183" s="58" t="s">
        <v>2467</v>
      </c>
      <c r="AH183" s="58" t="s">
        <v>2468</v>
      </c>
      <c r="AI183" s="58" t="s">
        <v>2469</v>
      </c>
    </row>
    <row r="184" spans="1:35" ht="42" customHeight="1" x14ac:dyDescent="0.35">
      <c r="A184" s="69">
        <f t="shared" si="48"/>
        <v>45</v>
      </c>
      <c r="B184" s="70" t="s">
        <v>227</v>
      </c>
      <c r="C184" s="71" t="s">
        <v>11</v>
      </c>
      <c r="D184" s="72" t="s">
        <v>12</v>
      </c>
      <c r="E184" s="45" t="s">
        <v>231</v>
      </c>
      <c r="F184" s="49" t="s">
        <v>3007</v>
      </c>
      <c r="G184" s="45" t="s">
        <v>3045</v>
      </c>
      <c r="H184" s="47">
        <v>46257</v>
      </c>
      <c r="I184" s="48" t="s">
        <v>1694</v>
      </c>
      <c r="J184" s="48" t="s">
        <v>981</v>
      </c>
      <c r="K184" s="48" t="str">
        <f t="shared" si="49"/>
        <v>Bi-Directional Shadowless High-Angle Ring Light is a machine-vision lighting product from Lano-tech for application-specific laboratory, engineering or industrial use.</v>
      </c>
      <c r="L184" s="48" t="str">
        <f t="shared" si="50"/>
        <v>Bi-Directional Shadowless High-Angle Ring Light from Lano-tech for machine-vision lighting applications. Review configuration requirements and request technical information or a quotation from DIWAN.</v>
      </c>
      <c r="M184" s="48" t="s">
        <v>2020</v>
      </c>
      <c r="N184" s="61" t="s">
        <v>2672</v>
      </c>
      <c r="O184" s="54" t="str" cm="1">
        <f t="array" ref="O184">_xlfn.LET(_xlpm.n,LOWER(E184),_xlpm.c,LOWER(B184),_xlpm.t,_xlfn.IFS(OR(ISNUMBER(SEARCH("lens",_xlpm.n)),ISNUMBER(SEARCH("optic",_xlpm.n)),ISNUMBER(SEARCH("polarizer",_xlpm.n))),"precision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"),E184&amp;" is "&amp;_xlpm.art&amp;_xlpm.t&amp;" from "&amp;C184&amp;" designed for application-specific laboratory, engineering or industrial use. It belongs to DIWAN's "&amp;B184&amp;" portfolio; final configuration must be selected against performance, integration and compliance requirements.")</f>
        <v>Bi-Directional Shadowless High-Angle Ring Light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4" s="54" t="str">
        <f t="shared" si="51"/>
        <v>Selection should confirm the model-specific operating range, capacity, accuracy, interfaces, utilities, accessories, standards, environmental limits and service requirements. Final capabilities depend on the approved Bi-Directional Shadowless High-Angle Ring Light configuration.</v>
      </c>
      <c r="Q184" s="54"/>
      <c r="R184" s="54" t="str">
        <f t="shared" si="52"/>
        <v>Machine-Vision Lighting applications; laboratory research, engineering development, quality control and industrial deployment where applicable. Suitability must be confirmed against the user's sample, process, environment and required standards.</v>
      </c>
      <c r="S184" s="54"/>
      <c r="T184" s="54" t="str">
        <f t="shared" si="53"/>
        <v>Bi-Directional Shadowless High-Angle Ring Light from Lano-tech</v>
      </c>
      <c r="U184" s="54"/>
      <c r="V184" s="54" t="s">
        <v>2673</v>
      </c>
      <c r="W184" s="54" t="str">
        <f t="shared" si="54"/>
        <v>See other Machine-Vision Lighting products</v>
      </c>
      <c r="X184" s="54" t="str">
        <f t="shared" si="55"/>
        <v>Machine-Vision Lighting enquiry → website group enquiry form → category owner assignment</v>
      </c>
      <c r="Y184" s="54" t="str">
        <f t="shared" si="56"/>
        <v>Bi-Directional Shadowless High-Angle Ring Light, Machine-Vision Lighting, Lano-tech, technical equipment, DIWAN</v>
      </c>
      <c r="Z184" s="54" t="s">
        <v>2264</v>
      </c>
      <c r="AA184" s="55">
        <v>46257</v>
      </c>
      <c r="AB184" s="54" t="s">
        <v>2465</v>
      </c>
      <c r="AC184" s="63" t="str">
        <f t="shared" si="57"/>
        <v>Content drafted - assets/specs pending</v>
      </c>
      <c r="AD184"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4" s="58"/>
      <c r="AF184" s="58"/>
      <c r="AG184" s="58" t="s">
        <v>2467</v>
      </c>
      <c r="AH184" s="58" t="s">
        <v>2468</v>
      </c>
      <c r="AI184" s="58" t="s">
        <v>2469</v>
      </c>
    </row>
    <row r="185" spans="1:35" ht="42" customHeight="1" x14ac:dyDescent="0.35">
      <c r="A185" s="69">
        <f t="shared" si="48"/>
        <v>45</v>
      </c>
      <c r="B185" s="70" t="s">
        <v>227</v>
      </c>
      <c r="C185" s="71" t="s">
        <v>11</v>
      </c>
      <c r="D185" s="72" t="s">
        <v>12</v>
      </c>
      <c r="E185" s="45" t="s">
        <v>232</v>
      </c>
      <c r="F185" s="49" t="s">
        <v>3007</v>
      </c>
      <c r="G185" s="45" t="s">
        <v>3045</v>
      </c>
      <c r="H185" s="47">
        <v>46257</v>
      </c>
      <c r="I185" s="48" t="s">
        <v>1695</v>
      </c>
      <c r="J185" s="48" t="s">
        <v>982</v>
      </c>
      <c r="K185" s="48" t="str">
        <f t="shared" si="49"/>
        <v>Shadowless Ring Low-Angle Light Source is a machine-vision lighting product from Lano-tech for application-specific laboratory, engineering or industrial use.</v>
      </c>
      <c r="L185" s="48" t="str">
        <f t="shared" si="50"/>
        <v>Shadowless Ring Low-Angle Light Source from Lano-tech for machine-vision lighting applications. Review configuration requirements and request technical information or a quotation from DIWAN.</v>
      </c>
      <c r="M185" s="48" t="s">
        <v>2020</v>
      </c>
      <c r="N185" s="61" t="s">
        <v>2672</v>
      </c>
      <c r="O185" s="54" t="str" cm="1">
        <f t="array" ref="O185">_xlfn.LET(_xlpm.n,LOWER(E185),_xlpm.c,LOWER(B185),_xlpm.t,_xlfn.IFS(OR(ISNUMBER(SEARCH("lens",_xlpm.n)),ISNUMBER(SEARCH("optic",_xlpm.n)),ISNUMBER(SEARCH("polarizer",_xlpm.n))),"precision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"),E185&amp;" is "&amp;_xlpm.art&amp;_xlpm.t&amp;" from "&amp;C185&amp;" designed for application-specific laboratory, engineering or industrial use. It belongs to DIWAN's "&amp;B185&amp;" portfolio; final configuration must be selected against performance, integration and compliance requirements.")</f>
        <v>Shadowless Ring Low-Angle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5" s="54" t="str">
        <f t="shared" si="51"/>
        <v>Selection should confirm the model-specific operating range, capacity, accuracy, interfaces, utilities, accessories, standards, environmental limits and service requirements. Final capabilities depend on the approved Shadowless Ring Low-Angle Light Source configuration.</v>
      </c>
      <c r="Q185" s="54"/>
      <c r="R185" s="54" t="str">
        <f t="shared" si="52"/>
        <v>Machine-Vision Lighting applications; laboratory research, engineering development, quality control and industrial deployment where applicable. Suitability must be confirmed against the user's sample, process, environment and required standards.</v>
      </c>
      <c r="S185" s="54"/>
      <c r="T185" s="54" t="str">
        <f t="shared" si="53"/>
        <v>Shadowless Ring Low-Angle Light Source from Lano-tech</v>
      </c>
      <c r="U185" s="54"/>
      <c r="V185" s="54" t="s">
        <v>2673</v>
      </c>
      <c r="W185" s="54" t="str">
        <f t="shared" si="54"/>
        <v>See other Machine-Vision Lighting products</v>
      </c>
      <c r="X185" s="54" t="str">
        <f t="shared" si="55"/>
        <v>Machine-Vision Lighting enquiry → website group enquiry form → category owner assignment</v>
      </c>
      <c r="Y185" s="54" t="str">
        <f t="shared" si="56"/>
        <v>Shadowless Ring Low-Angle Light Source, Machine-Vision Lighting, Lano-tech, technical equipment, DIWAN</v>
      </c>
      <c r="Z185" s="54" t="s">
        <v>2264</v>
      </c>
      <c r="AA185" s="55">
        <v>46257</v>
      </c>
      <c r="AB185" s="54" t="s">
        <v>2465</v>
      </c>
      <c r="AC185" s="63" t="str">
        <f t="shared" si="57"/>
        <v>Content drafted - assets/specs pending</v>
      </c>
      <c r="AD18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5" s="58"/>
      <c r="AF185" s="58"/>
      <c r="AG185" s="58" t="s">
        <v>2467</v>
      </c>
      <c r="AH185" s="58" t="s">
        <v>2468</v>
      </c>
      <c r="AI185" s="58" t="s">
        <v>2469</v>
      </c>
    </row>
    <row r="186" spans="1:35" ht="42" customHeight="1" x14ac:dyDescent="0.35">
      <c r="A186" s="69">
        <f t="shared" si="48"/>
        <v>45</v>
      </c>
      <c r="B186" s="70" t="s">
        <v>227</v>
      </c>
      <c r="C186" s="71" t="s">
        <v>11</v>
      </c>
      <c r="D186" s="72" t="s">
        <v>12</v>
      </c>
      <c r="E186" s="45" t="s">
        <v>233</v>
      </c>
      <c r="F186" s="49" t="s">
        <v>3007</v>
      </c>
      <c r="G186" s="45" t="s">
        <v>3045</v>
      </c>
      <c r="H186" s="47">
        <v>46257</v>
      </c>
      <c r="I186" s="48" t="s">
        <v>1696</v>
      </c>
      <c r="J186" s="48" t="s">
        <v>983</v>
      </c>
      <c r="K186" s="48" t="str">
        <f t="shared" si="49"/>
        <v>Multidirectional Shadowless Ring Light Source is a machine-vision lighting product from Lano-tech for application-specific laboratory, engineering or industrial use.</v>
      </c>
      <c r="L186" s="48" t="str">
        <f t="shared" si="50"/>
        <v>Multidirectional Shadowless Ring Light Source from Lano-tech for machine-vision lighting applications. Review configuration requirements and request technical information or a quotation from DIWAN.</v>
      </c>
      <c r="M186" s="48" t="s">
        <v>2020</v>
      </c>
      <c r="N186" s="61" t="s">
        <v>2672</v>
      </c>
      <c r="O186" s="54" t="str" cm="1">
        <f t="array" ref="O186">_xlfn.LET(_xlpm.n,LOWER(E186),_xlpm.c,LOWER(B186),_xlpm.t,_xlfn.IFS(OR(ISNUMBER(SEARCH("lens",_xlpm.n)),ISNUMBER(SEARCH("optic",_xlpm.n)),ISNUMBER(SEARCH("polarizer",_xlpm.n))),"precision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"),E186&amp;" is "&amp;_xlpm.art&amp;_xlpm.t&amp;" from "&amp;C186&amp;" designed for application-specific laboratory, engineering or industrial use. It belongs to DIWAN's "&amp;B186&amp;" portfolio; final configuration must be selected against performance, integration and compliance requirements.")</f>
        <v>Multidirectional Shadowless Ring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6" s="54" t="str">
        <f t="shared" si="51"/>
        <v>Selection should confirm the model-specific operating range, capacity, accuracy, interfaces, utilities, accessories, standards, environmental limits and service requirements. Final capabilities depend on the approved Multidirectional Shadowless Ring Light Source configuration.</v>
      </c>
      <c r="Q186" s="54"/>
      <c r="R186" s="54" t="str">
        <f t="shared" si="52"/>
        <v>Machine-Vision Lighting applications; laboratory research, engineering development, quality control and industrial deployment where applicable. Suitability must be confirmed against the user's sample, process, environment and required standards.</v>
      </c>
      <c r="S186" s="54"/>
      <c r="T186" s="54" t="str">
        <f t="shared" si="53"/>
        <v>Multidirectional Shadowless Ring Light Source from Lano-tech</v>
      </c>
      <c r="U186" s="54"/>
      <c r="V186" s="54" t="s">
        <v>2673</v>
      </c>
      <c r="W186" s="54" t="str">
        <f t="shared" si="54"/>
        <v>See other Machine-Vision Lighting products</v>
      </c>
      <c r="X186" s="54" t="str">
        <f t="shared" si="55"/>
        <v>Machine-Vision Lighting enquiry → website group enquiry form → category owner assignment</v>
      </c>
      <c r="Y186" s="54" t="str">
        <f t="shared" si="56"/>
        <v>Multidirectional Shadowless Ring Light Source, Machine-Vision Lighting, Lano-tech, technical equipment, DIWAN</v>
      </c>
      <c r="Z186" s="54" t="s">
        <v>2264</v>
      </c>
      <c r="AA186" s="55">
        <v>46257</v>
      </c>
      <c r="AB186" s="54" t="s">
        <v>2465</v>
      </c>
      <c r="AC186" s="63" t="str">
        <f t="shared" si="57"/>
        <v>Content drafted - assets/specs pending</v>
      </c>
      <c r="AD18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6" s="58"/>
      <c r="AF186" s="58"/>
      <c r="AG186" s="58" t="s">
        <v>2467</v>
      </c>
      <c r="AH186" s="58" t="s">
        <v>2468</v>
      </c>
      <c r="AI186" s="58" t="s">
        <v>2469</v>
      </c>
    </row>
    <row r="187" spans="1:35" ht="42" customHeight="1" x14ac:dyDescent="0.35">
      <c r="A187" s="69">
        <f t="shared" si="48"/>
        <v>45</v>
      </c>
      <c r="B187" s="70" t="s">
        <v>227</v>
      </c>
      <c r="C187" s="71" t="s">
        <v>11</v>
      </c>
      <c r="D187" s="72" t="s">
        <v>12</v>
      </c>
      <c r="E187" s="45" t="s">
        <v>234</v>
      </c>
      <c r="F187" s="49" t="s">
        <v>3007</v>
      </c>
      <c r="G187" s="45" t="s">
        <v>3045</v>
      </c>
      <c r="H187" s="47">
        <v>46257</v>
      </c>
      <c r="I187" s="48" t="s">
        <v>1697</v>
      </c>
      <c r="J187" s="48" t="s">
        <v>984</v>
      </c>
      <c r="K187" s="48" t="str">
        <f t="shared" si="49"/>
        <v>Highlight Shadowless Ring Light is a machine-vision lighting product from Lano-tech for application-specific laboratory, engineering or industrial use.</v>
      </c>
      <c r="L187" s="48" t="str">
        <f t="shared" si="50"/>
        <v>Highlight Shadowless Ring Light from Lano-tech for machine-vision lighting applications. Review configuration requirements and request technical information or a quotation from DIWAN.</v>
      </c>
      <c r="M187" s="48" t="s">
        <v>2020</v>
      </c>
      <c r="N187" s="61" t="s">
        <v>2672</v>
      </c>
      <c r="O187" s="54" t="str" cm="1">
        <f t="array" ref="O187">_xlfn.LET(_xlpm.n,LOWER(E187),_xlpm.c,LOWER(B187),_xlpm.t,_xlfn.IFS(OR(ISNUMBER(SEARCH("lens",_xlpm.n)),ISNUMBER(SEARCH("optic",_xlpm.n)),ISNUMBER(SEARCH("polarizer",_xlpm.n))),"precision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"),E187&amp;" is "&amp;_xlpm.art&amp;_xlpm.t&amp;" from "&amp;C187&amp;" designed for application-specific laboratory, engineering or industrial use. It belongs to DIWAN's "&amp;B187&amp;" portfolio; final configuration must be selected against performance, integration and compliance requirements.")</f>
        <v>Highlight Shadowless Ring Light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7" s="54" t="str">
        <f t="shared" si="51"/>
        <v>Selection should confirm the model-specific operating range, capacity, accuracy, interfaces, utilities, accessories, standards, environmental limits and service requirements. Final capabilities depend on the approved Highlight Shadowless Ring Light configuration.</v>
      </c>
      <c r="Q187" s="54"/>
      <c r="R187" s="54" t="str">
        <f t="shared" si="52"/>
        <v>Machine-Vision Lighting applications; laboratory research, engineering development, quality control and industrial deployment where applicable. Suitability must be confirmed against the user's sample, process, environment and required standards.</v>
      </c>
      <c r="S187" s="54"/>
      <c r="T187" s="54" t="str">
        <f t="shared" si="53"/>
        <v>Highlight Shadowless Ring Light from Lano-tech</v>
      </c>
      <c r="U187" s="54"/>
      <c r="V187" s="54" t="s">
        <v>2673</v>
      </c>
      <c r="W187" s="54" t="str">
        <f t="shared" si="54"/>
        <v>See other Machine-Vision Lighting products</v>
      </c>
      <c r="X187" s="54" t="str">
        <f t="shared" si="55"/>
        <v>Machine-Vision Lighting enquiry → website group enquiry form → category owner assignment</v>
      </c>
      <c r="Y187" s="54" t="str">
        <f t="shared" si="56"/>
        <v>Highlight Shadowless Ring Light, Machine-Vision Lighting, Lano-tech, technical equipment, DIWAN</v>
      </c>
      <c r="Z187" s="54" t="s">
        <v>2264</v>
      </c>
      <c r="AA187" s="55">
        <v>46257</v>
      </c>
      <c r="AB187" s="54" t="s">
        <v>2465</v>
      </c>
      <c r="AC187" s="63" t="str">
        <f t="shared" si="57"/>
        <v>Content drafted - assets/specs pending</v>
      </c>
      <c r="AD187"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7" s="58"/>
      <c r="AF187" s="58"/>
      <c r="AG187" s="58" t="s">
        <v>2467</v>
      </c>
      <c r="AH187" s="58" t="s">
        <v>2468</v>
      </c>
      <c r="AI187" s="58" t="s">
        <v>2469</v>
      </c>
    </row>
    <row r="188" spans="1:35" ht="42" customHeight="1" x14ac:dyDescent="0.35">
      <c r="A188" s="69">
        <f t="shared" si="48"/>
        <v>45</v>
      </c>
      <c r="B188" s="70" t="s">
        <v>227</v>
      </c>
      <c r="C188" s="71" t="s">
        <v>11</v>
      </c>
      <c r="D188" s="72" t="s">
        <v>12</v>
      </c>
      <c r="E188" s="45" t="s">
        <v>235</v>
      </c>
      <c r="F188" s="49" t="s">
        <v>3007</v>
      </c>
      <c r="G188" s="45" t="s">
        <v>3045</v>
      </c>
      <c r="H188" s="47">
        <v>46257</v>
      </c>
      <c r="I188" s="48" t="s">
        <v>1698</v>
      </c>
      <c r="J188" s="48" t="s">
        <v>985</v>
      </c>
      <c r="K188" s="48" t="str">
        <f t="shared" si="49"/>
        <v>Tricolor Ring Light Source is a machine-vision lighting product from Lano-tech for application-specific laboratory, engineering or industrial use.</v>
      </c>
      <c r="L188" s="48" t="str">
        <f t="shared" si="50"/>
        <v>Tricolor Ring Light Source from Lano-tech for machine-vision lighting applications. Review configuration requirements and request technical information or a quotation from DIWAN.</v>
      </c>
      <c r="M188" s="48" t="s">
        <v>2020</v>
      </c>
      <c r="N188" s="61" t="s">
        <v>2672</v>
      </c>
      <c r="O188" s="54" t="str" cm="1">
        <f t="array" ref="O188">_xlfn.LET(_xlpm.n,LOWER(E188),_xlpm.c,LOWER(B188),_xlpm.t,_xlfn.IFS(OR(ISNUMBER(SEARCH("lens",_xlpm.n)),ISNUMBER(SEARCH("optic",_xlpm.n)),ISNUMBER(SEARCH("polarizer",_xlpm.n))),"precision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"),E188&amp;" is "&amp;_xlpm.art&amp;_xlpm.t&amp;" from "&amp;C188&amp;" designed for application-specific laboratory, engineering or industrial use. It belongs to DIWAN's "&amp;B188&amp;" portfolio; final configuration must be selected against performance, integration and compliance requirements.")</f>
        <v>Tricolor Ring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8" s="54" t="str">
        <f t="shared" si="51"/>
        <v>Selection should confirm the model-specific operating range, capacity, accuracy, interfaces, utilities, accessories, standards, environmental limits and service requirements. Final capabilities depend on the approved Tricolor Ring Light Source configuration.</v>
      </c>
      <c r="Q188" s="54"/>
      <c r="R188" s="54" t="str">
        <f t="shared" si="52"/>
        <v>Machine-Vision Lighting applications; laboratory research, engineering development, quality control and industrial deployment where applicable. Suitability must be confirmed against the user's sample, process, environment and required standards.</v>
      </c>
      <c r="S188" s="54"/>
      <c r="T188" s="54" t="str">
        <f t="shared" si="53"/>
        <v>Tricolor Ring Light Source from Lano-tech</v>
      </c>
      <c r="U188" s="54"/>
      <c r="V188" s="54" t="s">
        <v>2673</v>
      </c>
      <c r="W188" s="54" t="str">
        <f t="shared" si="54"/>
        <v>See other Machine-Vision Lighting products</v>
      </c>
      <c r="X188" s="54" t="str">
        <f t="shared" si="55"/>
        <v>Machine-Vision Lighting enquiry → website group enquiry form → category owner assignment</v>
      </c>
      <c r="Y188" s="54" t="str">
        <f t="shared" si="56"/>
        <v>Tricolor Ring Light Source, Machine-Vision Lighting, Lano-tech, technical equipment, DIWAN</v>
      </c>
      <c r="Z188" s="54" t="s">
        <v>2264</v>
      </c>
      <c r="AA188" s="55">
        <v>46257</v>
      </c>
      <c r="AB188" s="54" t="s">
        <v>2465</v>
      </c>
      <c r="AC188" s="63" t="str">
        <f t="shared" si="57"/>
        <v>Content drafted - assets/specs pending</v>
      </c>
      <c r="AD18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8" s="58"/>
      <c r="AF188" s="58"/>
      <c r="AG188" s="58" t="s">
        <v>2467</v>
      </c>
      <c r="AH188" s="58" t="s">
        <v>2468</v>
      </c>
      <c r="AI188" s="58" t="s">
        <v>2469</v>
      </c>
    </row>
    <row r="189" spans="1:35" ht="42" customHeight="1" x14ac:dyDescent="0.35">
      <c r="A189" s="69">
        <f t="shared" si="48"/>
        <v>45</v>
      </c>
      <c r="B189" s="70" t="s">
        <v>227</v>
      </c>
      <c r="C189" s="71" t="s">
        <v>11</v>
      </c>
      <c r="D189" s="72" t="s">
        <v>12</v>
      </c>
      <c r="E189" s="45" t="s">
        <v>236</v>
      </c>
      <c r="F189" s="49" t="s">
        <v>3007</v>
      </c>
      <c r="G189" s="45" t="s">
        <v>3045</v>
      </c>
      <c r="H189" s="47">
        <v>46257</v>
      </c>
      <c r="I189" s="48" t="s">
        <v>1699</v>
      </c>
      <c r="J189" s="48" t="s">
        <v>986</v>
      </c>
      <c r="K189" s="48" t="str">
        <f t="shared" si="49"/>
        <v>Square Shadowless Light is a machine-vision lighting product from Lano-tech for application-specific laboratory, engineering or industrial use.</v>
      </c>
      <c r="L189" s="48" t="str">
        <f t="shared" si="50"/>
        <v>Square Shadowless Light from Lano-tech for machine-vision lighting applications. Review configuration requirements and request technical information or a quotation from DIWAN.</v>
      </c>
      <c r="M189" s="48" t="s">
        <v>2020</v>
      </c>
      <c r="N189" s="61" t="s">
        <v>2672</v>
      </c>
      <c r="O189" s="54" t="str" cm="1">
        <f t="array" ref="O189">_xlfn.LET(_xlpm.n,LOWER(E189),_xlpm.c,LOWER(B189),_xlpm.t,_xlfn.IFS(OR(ISNUMBER(SEARCH("lens",_xlpm.n)),ISNUMBER(SEARCH("optic",_xlpm.n)),ISNUMBER(SEARCH("polarizer",_xlpm.n))),"precision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"),E189&amp;" is "&amp;_xlpm.art&amp;_xlpm.t&amp;" from "&amp;C189&amp;" designed for application-specific laboratory, engineering or industrial use. It belongs to DIWAN's "&amp;B189&amp;" portfolio; final configuration must be selected against performance, integration and compliance requirements.")</f>
        <v>Square Shadowless Light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89" s="54" t="str">
        <f t="shared" si="51"/>
        <v>Selection should confirm the model-specific operating range, capacity, accuracy, interfaces, utilities, accessories, standards, environmental limits and service requirements. Final capabilities depend on the approved Square Shadowless Light configuration.</v>
      </c>
      <c r="Q189" s="54"/>
      <c r="R189" s="54" t="str">
        <f t="shared" si="52"/>
        <v>Machine-Vision Lighting applications; laboratory research, engineering development, quality control and industrial deployment where applicable. Suitability must be confirmed against the user's sample, process, environment and required standards.</v>
      </c>
      <c r="S189" s="54"/>
      <c r="T189" s="54" t="str">
        <f t="shared" si="53"/>
        <v>Square Shadowless Light from Lano-tech</v>
      </c>
      <c r="U189" s="54"/>
      <c r="V189" s="54" t="s">
        <v>2673</v>
      </c>
      <c r="W189" s="54" t="str">
        <f t="shared" si="54"/>
        <v>See other Machine-Vision Lighting products</v>
      </c>
      <c r="X189" s="54" t="str">
        <f t="shared" si="55"/>
        <v>Machine-Vision Lighting enquiry → website group enquiry form → category owner assignment</v>
      </c>
      <c r="Y189" s="54" t="str">
        <f t="shared" si="56"/>
        <v>Square Shadowless Light, Machine-Vision Lighting, Lano-tech, technical equipment, DIWAN</v>
      </c>
      <c r="Z189" s="54" t="s">
        <v>2264</v>
      </c>
      <c r="AA189" s="55">
        <v>46257</v>
      </c>
      <c r="AB189" s="54" t="s">
        <v>2465</v>
      </c>
      <c r="AC189" s="63" t="str">
        <f t="shared" si="57"/>
        <v>Content drafted - assets/specs pending</v>
      </c>
      <c r="AD18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89" s="58"/>
      <c r="AF189" s="58"/>
      <c r="AG189" s="58" t="s">
        <v>2467</v>
      </c>
      <c r="AH189" s="58" t="s">
        <v>2468</v>
      </c>
      <c r="AI189" s="58" t="s">
        <v>2469</v>
      </c>
    </row>
    <row r="190" spans="1:35" ht="42" customHeight="1" x14ac:dyDescent="0.35">
      <c r="A190" s="69">
        <f t="shared" si="48"/>
        <v>45</v>
      </c>
      <c r="B190" s="70" t="s">
        <v>227</v>
      </c>
      <c r="C190" s="71" t="s">
        <v>11</v>
      </c>
      <c r="D190" s="72" t="s">
        <v>12</v>
      </c>
      <c r="E190" s="45" t="s">
        <v>237</v>
      </c>
      <c r="F190" s="49" t="s">
        <v>3007</v>
      </c>
      <c r="G190" s="45" t="s">
        <v>3045</v>
      </c>
      <c r="H190" s="47">
        <v>46257</v>
      </c>
      <c r="I190" s="48" t="s">
        <v>1700</v>
      </c>
      <c r="J190" s="48" t="s">
        <v>987</v>
      </c>
      <c r="K190" s="48" t="str">
        <f t="shared" si="49"/>
        <v>UV (IR) Light Source is a machine-vision lighting product from Lano-tech for application-specific laboratory, engineering or industrial use.</v>
      </c>
      <c r="L190" s="48" t="str">
        <f t="shared" si="50"/>
        <v>UV (IR) Light Source from Lano-tech for machine-vision lighting applications. Review configuration requirements and request technical information or a quotation from DIWAN.</v>
      </c>
      <c r="M190" s="48" t="s">
        <v>2020</v>
      </c>
      <c r="N190" s="61" t="s">
        <v>2672</v>
      </c>
      <c r="O190" s="54" t="str" cm="1">
        <f t="array" ref="O190">_xlfn.LET(_xlpm.n,LOWER(E190),_xlpm.c,LOWER(B190),_xlpm.t,_xlfn.IFS(OR(ISNUMBER(SEARCH("lens",_xlpm.n)),ISNUMBER(SEARCH("optic",_xlpm.n)),ISNUMBER(SEARCH("polarizer",_xlpm.n))),"precision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"),E190&amp;" is "&amp;_xlpm.art&amp;_xlpm.t&amp;" from "&amp;C190&amp;" designed for application-specific laboratory, engineering or industrial use. It belongs to DIWAN's "&amp;B190&amp;" portfolio; final configuration must be selected against performance, integration and compliance requirements.")</f>
        <v>UV (IR)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90" s="54" t="str">
        <f t="shared" si="51"/>
        <v>Selection should confirm the model-specific operating range, capacity, accuracy, interfaces, utilities, accessories, standards, environmental limits and service requirements. Final capabilities depend on the approved UV (IR) Light Source configuration.</v>
      </c>
      <c r="Q190" s="54"/>
      <c r="R190" s="54" t="str">
        <f t="shared" si="52"/>
        <v>Machine-Vision Lighting applications; laboratory research, engineering development, quality control and industrial deployment where applicable. Suitability must be confirmed against the user's sample, process, environment and required standards.</v>
      </c>
      <c r="S190" s="54"/>
      <c r="T190" s="54" t="str">
        <f t="shared" si="53"/>
        <v>UV (IR) Light Source from Lano-tech</v>
      </c>
      <c r="U190" s="54"/>
      <c r="V190" s="54" t="s">
        <v>2673</v>
      </c>
      <c r="W190" s="54" t="str">
        <f t="shared" si="54"/>
        <v>See other Machine-Vision Lighting products</v>
      </c>
      <c r="X190" s="54" t="str">
        <f t="shared" si="55"/>
        <v>Machine-Vision Lighting enquiry → website group enquiry form → category owner assignment</v>
      </c>
      <c r="Y190" s="54" t="str">
        <f t="shared" si="56"/>
        <v>UV (IR) Light Source, Machine-Vision Lighting, Lano-tech, technical equipment, DIWAN</v>
      </c>
      <c r="Z190" s="54" t="s">
        <v>2264</v>
      </c>
      <c r="AA190" s="55">
        <v>46257</v>
      </c>
      <c r="AB190" s="54" t="s">
        <v>2465</v>
      </c>
      <c r="AC190" s="63" t="str">
        <f t="shared" si="57"/>
        <v>Content drafted - assets/specs pending</v>
      </c>
      <c r="AD190"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0" s="58"/>
      <c r="AF190" s="58"/>
      <c r="AG190" s="58" t="s">
        <v>2467</v>
      </c>
      <c r="AH190" s="58" t="s">
        <v>2468</v>
      </c>
      <c r="AI190" s="58" t="s">
        <v>2469</v>
      </c>
    </row>
    <row r="191" spans="1:35" ht="42" customHeight="1" x14ac:dyDescent="0.35">
      <c r="A191" s="69">
        <f t="shared" si="48"/>
        <v>45</v>
      </c>
      <c r="B191" s="70" t="s">
        <v>227</v>
      </c>
      <c r="C191" s="71" t="s">
        <v>11</v>
      </c>
      <c r="D191" s="72" t="s">
        <v>12</v>
      </c>
      <c r="E191" s="45" t="s">
        <v>238</v>
      </c>
      <c r="F191" s="49" t="s">
        <v>3007</v>
      </c>
      <c r="G191" s="45" t="s">
        <v>3045</v>
      </c>
      <c r="H191" s="47">
        <v>46257</v>
      </c>
      <c r="I191" s="48" t="s">
        <v>1701</v>
      </c>
      <c r="J191" s="48" t="s">
        <v>988</v>
      </c>
      <c r="K191" s="48" t="str">
        <f t="shared" si="49"/>
        <v>AOI Light Source is a machine-vision lighting product from Lano-tech for application-specific laboratory, engineering or industrial use.</v>
      </c>
      <c r="L191" s="48" t="str">
        <f t="shared" si="50"/>
        <v>AOI Light Source from Lano-tech for machine-vision lighting applications. Review configuration requirements and request technical information or a quotation from DIWAN.</v>
      </c>
      <c r="M191" s="48" t="s">
        <v>2020</v>
      </c>
      <c r="N191" s="61" t="s">
        <v>2672</v>
      </c>
      <c r="O191" s="54" t="str" cm="1">
        <f t="array" ref="O191">_xlfn.LET(_xlpm.n,LOWER(E191),_xlpm.c,LOWER(B191),_xlpm.t,_xlfn.IFS(OR(ISNUMBER(SEARCH("lens",_xlpm.n)),ISNUMBER(SEARCH("optic",_xlpm.n)),ISNUMBER(SEARCH("polarizer",_xlpm.n))),"precision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"),E191&amp;" is "&amp;_xlpm.art&amp;_xlpm.t&amp;" from "&amp;C191&amp;" designed for application-specific laboratory, engineering or industrial use. It belongs to DIWAN's "&amp;B191&amp;" portfolio; final configuration must be selected against performance, integration and compliance requirements.")</f>
        <v>AOI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91" s="54" t="str">
        <f t="shared" si="51"/>
        <v>Selection should confirm the model-specific operating range, capacity, accuracy, interfaces, utilities, accessories, standards, environmental limits and service requirements. Final capabilities depend on the approved AOI Light Source configuration.</v>
      </c>
      <c r="Q191" s="54"/>
      <c r="R191" s="54" t="str">
        <f t="shared" si="52"/>
        <v>Machine-Vision Lighting applications; laboratory research, engineering development, quality control and industrial deployment where applicable. Suitability must be confirmed against the user's sample, process, environment and required standards.</v>
      </c>
      <c r="S191" s="54"/>
      <c r="T191" s="54" t="str">
        <f t="shared" si="53"/>
        <v>AOI Light Source from Lano-tech</v>
      </c>
      <c r="U191" s="54"/>
      <c r="V191" s="54" t="s">
        <v>2673</v>
      </c>
      <c r="W191" s="54" t="str">
        <f t="shared" si="54"/>
        <v>See other Machine-Vision Lighting products</v>
      </c>
      <c r="X191" s="54" t="str">
        <f t="shared" si="55"/>
        <v>Machine-Vision Lighting enquiry → website group enquiry form → category owner assignment</v>
      </c>
      <c r="Y191" s="54" t="str">
        <f t="shared" si="56"/>
        <v>AOI Light Source, Machine-Vision Lighting, Lano-tech, technical equipment, DIWAN</v>
      </c>
      <c r="Z191" s="54" t="s">
        <v>2264</v>
      </c>
      <c r="AA191" s="55">
        <v>46257</v>
      </c>
      <c r="AB191" s="54" t="s">
        <v>2465</v>
      </c>
      <c r="AC191" s="63" t="str">
        <f t="shared" si="57"/>
        <v>Content drafted - assets/specs pending</v>
      </c>
      <c r="AD191"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1" s="58"/>
      <c r="AF191" s="58"/>
      <c r="AG191" s="58" t="s">
        <v>2467</v>
      </c>
      <c r="AH191" s="58" t="s">
        <v>2468</v>
      </c>
      <c r="AI191" s="58" t="s">
        <v>2469</v>
      </c>
    </row>
    <row r="192" spans="1:35" ht="42" customHeight="1" thickBot="1" x14ac:dyDescent="0.4">
      <c r="A192" s="69">
        <f t="shared" si="48"/>
        <v>45</v>
      </c>
      <c r="B192" s="70" t="s">
        <v>227</v>
      </c>
      <c r="C192" s="71" t="s">
        <v>11</v>
      </c>
      <c r="D192" s="72" t="s">
        <v>12</v>
      </c>
      <c r="E192" s="45" t="s">
        <v>239</v>
      </c>
      <c r="F192" s="49" t="s">
        <v>3007</v>
      </c>
      <c r="G192" s="45" t="s">
        <v>3045</v>
      </c>
      <c r="H192" s="47">
        <v>46257</v>
      </c>
      <c r="I192" s="48" t="s">
        <v>1702</v>
      </c>
      <c r="J192" s="48" t="s">
        <v>989</v>
      </c>
      <c r="K192" s="48" t="str">
        <f t="shared" si="49"/>
        <v>Spherical Light Source is a machine-vision lighting product from Lano-tech for application-specific laboratory, engineering or industrial use.</v>
      </c>
      <c r="L192" s="48" t="str">
        <f t="shared" si="50"/>
        <v>Spherical Light Source from Lano-tech for machine-vision lighting applications. Review configuration requirements and request technical information or a quotation from DIWAN.</v>
      </c>
      <c r="M192" s="48" t="s">
        <v>2020</v>
      </c>
      <c r="N192" s="61" t="s">
        <v>2672</v>
      </c>
      <c r="O192" s="54" t="str" cm="1">
        <f t="array" ref="O192">_xlfn.LET(_xlpm.n,LOWER(E192),_xlpm.c,LOWER(B192),_xlpm.t,_xlfn.IFS(OR(ISNUMBER(SEARCH("lens",_xlpm.n)),ISNUMBER(SEARCH("optic",_xlpm.n)),ISNUMBER(SEARCH("polarizer",_xlpm.n))),"precision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"),E192&amp;" is "&amp;_xlpm.art&amp;_xlpm.t&amp;" from "&amp;C192&amp;" designed for application-specific laboratory, engineering or industrial use. It belongs to DIWAN's "&amp;B192&amp;" portfolio; final configuration must be selected against performance, integration and compliance requirements.")</f>
        <v>Spherical Light Source is a specialized machine-vision lighting product from Lano-tech designed for application-specific laboratory, engineering or industrial use. It belongs to DIWAN's Machine-Vision Lighting portfolio; final configuration must be selected against performance, integration and compliance requirements.</v>
      </c>
      <c r="P192" s="54" t="str">
        <f t="shared" si="51"/>
        <v>Selection should confirm the model-specific operating range, capacity, accuracy, interfaces, utilities, accessories, standards, environmental limits and service requirements. Final capabilities depend on the approved Spherical Light Source configuration.</v>
      </c>
      <c r="Q192" s="54"/>
      <c r="R192" s="54" t="str">
        <f t="shared" si="52"/>
        <v>Machine-Vision Lighting applications; laboratory research, engineering development, quality control and industrial deployment where applicable. Suitability must be confirmed against the user's sample, process, environment and required standards.</v>
      </c>
      <c r="S192" s="54"/>
      <c r="T192" s="54" t="str">
        <f t="shared" si="53"/>
        <v>Spherical Light Source from Lano-tech</v>
      </c>
      <c r="U192" s="54"/>
      <c r="V192" s="54" t="s">
        <v>2673</v>
      </c>
      <c r="W192" s="54" t="str">
        <f t="shared" si="54"/>
        <v>See other Machine-Vision Lighting products</v>
      </c>
      <c r="X192" s="54" t="str">
        <f t="shared" si="55"/>
        <v>Machine-Vision Lighting enquiry → website group enquiry form → category owner assignment</v>
      </c>
      <c r="Y192" s="54" t="str">
        <f t="shared" si="56"/>
        <v>Spherical Light Source, Machine-Vision Lighting, Lano-tech, technical equipment, DIWAN</v>
      </c>
      <c r="Z192" s="54" t="s">
        <v>2264</v>
      </c>
      <c r="AA192" s="55">
        <v>46257</v>
      </c>
      <c r="AB192" s="54" t="s">
        <v>2465</v>
      </c>
      <c r="AC192" s="63" t="str">
        <f t="shared" si="57"/>
        <v>Content drafted - assets/specs pending</v>
      </c>
      <c r="AD19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2" s="58"/>
      <c r="AF192" s="58"/>
      <c r="AG192" s="58" t="s">
        <v>2467</v>
      </c>
      <c r="AH192" s="58" t="s">
        <v>2468</v>
      </c>
      <c r="AI192" s="58" t="s">
        <v>2469</v>
      </c>
    </row>
    <row r="193" spans="1:35" ht="42" customHeight="1" x14ac:dyDescent="0.35">
      <c r="A193" s="69">
        <f t="shared" si="48"/>
        <v>46</v>
      </c>
      <c r="B193" s="74" t="s">
        <v>240</v>
      </c>
      <c r="C193" s="75" t="s">
        <v>13</v>
      </c>
      <c r="D193" s="76" t="s">
        <v>12</v>
      </c>
      <c r="E193" s="77" t="s">
        <v>241</v>
      </c>
      <c r="F193" s="86" t="s">
        <v>3008</v>
      </c>
      <c r="G193" s="77" t="s">
        <v>3045</v>
      </c>
      <c r="H193" s="79">
        <v>46257</v>
      </c>
      <c r="I193" s="80" t="s">
        <v>1703</v>
      </c>
      <c r="J193" s="80" t="s">
        <v>990</v>
      </c>
      <c r="K193" s="80" t="str">
        <f t="shared" si="49"/>
        <v>Multispectral Camera is a remote sensing cameras product from All-Rays Satellite Technology for application-specific laboratory, engineering or industrial use.</v>
      </c>
      <c r="L193" s="80" t="str">
        <f t="shared" si="50"/>
        <v>Multispectral Camera from All-Rays Satellite Technology for remote sensing cameras applications. Review configuration requirements and request technical information or a quotation from DIWAN.</v>
      </c>
      <c r="M193" s="80" t="s">
        <v>2020</v>
      </c>
      <c r="N193" s="81" t="s">
        <v>2672</v>
      </c>
      <c r="O193" s="82" t="str" cm="1">
        <f t="array" ref="O193">_xlfn.LET(_xlpm.n,LOWER(E193),_xlpm.c,LOWER(B193),_xlpm.t,_xlfn.IFS(OR(ISNUMBER(SEARCH("lens",_xlpm.n)),ISNUMBER(SEARCH("optic",_xlpm.n)),ISNUMBER(SEARCH("polarizer",_xlpm.n))),"precision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"),E193&amp;" is "&amp;_xlpm.art&amp;_xlpm.t&amp;" from "&amp;C193&amp;" designed for application-specific laboratory, engineering or industrial use. It belongs to DIWAN's "&amp;B193&amp;" portfolio; final configuration must be selected against performance, integration and compliance requirements.")</f>
        <v>Multispectral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3" s="82" t="str">
        <f t="shared" si="51"/>
        <v>Selection should confirm the model-specific operating range, capacity, accuracy, interfaces, utilities, accessories, standards, environmental limits and service requirements. Final capabilities depend on the approved Multispectral Camera configuration.</v>
      </c>
      <c r="Q193" s="82"/>
      <c r="R193" s="82" t="str">
        <f t="shared" si="52"/>
        <v>Remote Sensing Cameras applications; laboratory research, engineering development, quality control and industrial deployment where applicable. Suitability must be confirmed against the user's sample, process, environment and required standards.</v>
      </c>
      <c r="S193" s="82"/>
      <c r="T193" s="82" t="str">
        <f t="shared" si="53"/>
        <v>Multispectral Camera from All-Rays Satellite Technology</v>
      </c>
      <c r="U193" s="82"/>
      <c r="V193" s="82" t="s">
        <v>2673</v>
      </c>
      <c r="W193" s="82" t="str">
        <f t="shared" si="54"/>
        <v>See other Remote Sensing Cameras products</v>
      </c>
      <c r="X193" s="82" t="str">
        <f t="shared" si="55"/>
        <v>Remote Sensing Cameras enquiry → website group enquiry form → category owner assignment</v>
      </c>
      <c r="Y193" s="82" t="str">
        <f t="shared" si="56"/>
        <v>Multispectral Camera, Remote Sensing Cameras, All-Rays Satellite Technology, technical equipment, DIWAN</v>
      </c>
      <c r="Z193" s="82" t="s">
        <v>2265</v>
      </c>
      <c r="AA193" s="83">
        <v>46257</v>
      </c>
      <c r="AB193" s="82" t="s">
        <v>2465</v>
      </c>
      <c r="AC193" s="84" t="str">
        <f t="shared" si="57"/>
        <v>Content drafted - assets/specs pending</v>
      </c>
      <c r="AD193"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3" s="85"/>
      <c r="AF193" s="85"/>
      <c r="AG193" s="85" t="s">
        <v>2467</v>
      </c>
      <c r="AH193" s="85" t="s">
        <v>2468</v>
      </c>
      <c r="AI193" s="85" t="s">
        <v>2469</v>
      </c>
    </row>
    <row r="194" spans="1:35" ht="42" customHeight="1" x14ac:dyDescent="0.35">
      <c r="A194" s="69">
        <f t="shared" si="48"/>
        <v>46</v>
      </c>
      <c r="B194" s="70" t="s">
        <v>240</v>
      </c>
      <c r="C194" s="71" t="s">
        <v>13</v>
      </c>
      <c r="D194" s="72" t="s">
        <v>12</v>
      </c>
      <c r="E194" s="45" t="s">
        <v>242</v>
      </c>
      <c r="F194" s="49" t="s">
        <v>3008</v>
      </c>
      <c r="G194" s="45" t="s">
        <v>3045</v>
      </c>
      <c r="H194" s="47">
        <v>46257</v>
      </c>
      <c r="I194" s="48" t="s">
        <v>1704</v>
      </c>
      <c r="J194" s="48" t="s">
        <v>991</v>
      </c>
      <c r="K194" s="48" t="str">
        <f t="shared" si="49"/>
        <v>0.5m Resolution Visible Light Camera is a remote sensing cameras product from All-Rays Satellite Technology for application-specific laboratory, engineering or industrial use.</v>
      </c>
      <c r="L194" s="48" t="str">
        <f t="shared" si="50"/>
        <v>0.5m Resolution Visible Light Camera from All-Rays Satellite Technology for remote sensing cameras applications. Review configuration requirements and request technical information or a quotation from DIWAN.</v>
      </c>
      <c r="M194" s="48" t="s">
        <v>2020</v>
      </c>
      <c r="N194" s="61" t="s">
        <v>2672</v>
      </c>
      <c r="O194" s="54" t="str" cm="1">
        <f t="array" ref="O194">_xlfn.LET(_xlpm.n,LOWER(E194),_xlpm.c,LOWER(B194),_xlpm.t,_xlfn.IFS(OR(ISNUMBER(SEARCH("lens",_xlpm.n)),ISNUMBER(SEARCH("optic",_xlpm.n)),ISNUMBER(SEARCH("polarizer",_xlpm.n))),"precision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"),E194&amp;" is "&amp;_xlpm.art&amp;_xlpm.t&amp;" from "&amp;C194&amp;" designed for application-specific laboratory, engineering or industrial use. It belongs to DIWAN's "&amp;B194&amp;" portfolio; final configuration must be selected against performance, integration and compliance requirements.")</f>
        <v>0.5m Resolution Visible Light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4" s="54" t="str">
        <f t="shared" si="51"/>
        <v>Selection should confirm the model-specific operating range, capacity, accuracy, interfaces, utilities, accessories, standards, environmental limits and service requirements. Final capabilities depend on the approved 0.5m Resolution Visible Light Camera configuration.</v>
      </c>
      <c r="Q194" s="54"/>
      <c r="R194" s="54" t="str">
        <f t="shared" si="52"/>
        <v>Remote Sensing Cameras applications; laboratory research, engineering development, quality control and industrial deployment where applicable. Suitability must be confirmed against the user's sample, process, environment and required standards.</v>
      </c>
      <c r="S194" s="54"/>
      <c r="T194" s="54" t="str">
        <f t="shared" si="53"/>
        <v>0.5m Resolution Visible Light Camera from All-Rays Satellite Technology</v>
      </c>
      <c r="U194" s="54"/>
      <c r="V194" s="54" t="s">
        <v>2673</v>
      </c>
      <c r="W194" s="54" t="str">
        <f t="shared" si="54"/>
        <v>See other Remote Sensing Cameras products</v>
      </c>
      <c r="X194" s="54" t="str">
        <f t="shared" si="55"/>
        <v>Remote Sensing Cameras enquiry → website group enquiry form → category owner assignment</v>
      </c>
      <c r="Y194" s="54" t="str">
        <f t="shared" si="56"/>
        <v>0.5m Resolution Visible Light Camera, Remote Sensing Cameras, All-Rays Satellite Technology, technical equipment, DIWAN</v>
      </c>
      <c r="Z194" s="54" t="s">
        <v>2265</v>
      </c>
      <c r="AA194" s="55">
        <v>46257</v>
      </c>
      <c r="AB194" s="54" t="s">
        <v>2465</v>
      </c>
      <c r="AC194" s="63" t="str">
        <f t="shared" si="57"/>
        <v>Content drafted - assets/specs pending</v>
      </c>
      <c r="AD194"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4" s="58"/>
      <c r="AF194" s="58"/>
      <c r="AG194" s="58" t="s">
        <v>2467</v>
      </c>
      <c r="AH194" s="58" t="s">
        <v>2468</v>
      </c>
      <c r="AI194" s="58" t="s">
        <v>2469</v>
      </c>
    </row>
    <row r="195" spans="1:35" ht="42" customHeight="1" x14ac:dyDescent="0.35">
      <c r="A195" s="69">
        <f t="shared" si="48"/>
        <v>46</v>
      </c>
      <c r="B195" s="70" t="s">
        <v>240</v>
      </c>
      <c r="C195" s="71" t="s">
        <v>13</v>
      </c>
      <c r="D195" s="72" t="s">
        <v>12</v>
      </c>
      <c r="E195" s="45" t="s">
        <v>243</v>
      </c>
      <c r="F195" s="49" t="s">
        <v>3008</v>
      </c>
      <c r="G195" s="45" t="s">
        <v>3045</v>
      </c>
      <c r="H195" s="47">
        <v>46257</v>
      </c>
      <c r="I195" s="48" t="s">
        <v>1705</v>
      </c>
      <c r="J195" s="48" t="s">
        <v>992</v>
      </c>
      <c r="K195" s="48" t="str">
        <f t="shared" si="49"/>
        <v>0.9m Resolution Visible Light Camera is a remote sensing cameras product from All-Rays Satellite Technology for application-specific laboratory, engineering or industrial use.</v>
      </c>
      <c r="L195" s="48" t="str">
        <f t="shared" si="50"/>
        <v>0.9m Resolution Visible Light Camera from All-Rays Satellite Technology for remote sensing cameras applications. Review configuration requirements and request technical information or a quotation from DIWAN.</v>
      </c>
      <c r="M195" s="48" t="s">
        <v>2020</v>
      </c>
      <c r="N195" s="61" t="s">
        <v>2672</v>
      </c>
      <c r="O195" s="54" t="str" cm="1">
        <f t="array" ref="O195">_xlfn.LET(_xlpm.n,LOWER(E195),_xlpm.c,LOWER(B195),_xlpm.t,_xlfn.IFS(OR(ISNUMBER(SEARCH("lens",_xlpm.n)),ISNUMBER(SEARCH("optic",_xlpm.n)),ISNUMBER(SEARCH("polarizer",_xlpm.n))),"precision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"),E195&amp;" is "&amp;_xlpm.art&amp;_xlpm.t&amp;" from "&amp;C195&amp;" designed for application-specific laboratory, engineering or industrial use. It belongs to DIWAN's "&amp;B195&amp;" portfolio; final configuration must be selected against performance, integration and compliance requirements.")</f>
        <v>0.9m Resolution Visible Light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5" s="54" t="str">
        <f t="shared" si="51"/>
        <v>Selection should confirm the model-specific operating range, capacity, accuracy, interfaces, utilities, accessories, standards, environmental limits and service requirements. Final capabilities depend on the approved 0.9m Resolution Visible Light Camera configuration.</v>
      </c>
      <c r="Q195" s="54"/>
      <c r="R195" s="54" t="str">
        <f t="shared" si="52"/>
        <v>Remote Sensing Cameras applications; laboratory research, engineering development, quality control and industrial deployment where applicable. Suitability must be confirmed against the user's sample, process, environment and required standards.</v>
      </c>
      <c r="S195" s="54"/>
      <c r="T195" s="54" t="str">
        <f t="shared" si="53"/>
        <v>0.9m Resolution Visible Light Camera from All-Rays Satellite Technology</v>
      </c>
      <c r="U195" s="54"/>
      <c r="V195" s="54" t="s">
        <v>2673</v>
      </c>
      <c r="W195" s="54" t="str">
        <f t="shared" si="54"/>
        <v>See other Remote Sensing Cameras products</v>
      </c>
      <c r="X195" s="54" t="str">
        <f t="shared" si="55"/>
        <v>Remote Sensing Cameras enquiry → website group enquiry form → category owner assignment</v>
      </c>
      <c r="Y195" s="54" t="str">
        <f t="shared" si="56"/>
        <v>0.9m Resolution Visible Light Camera, Remote Sensing Cameras, All-Rays Satellite Technology, technical equipment, DIWAN</v>
      </c>
      <c r="Z195" s="54" t="s">
        <v>2265</v>
      </c>
      <c r="AA195" s="55">
        <v>46257</v>
      </c>
      <c r="AB195" s="54" t="s">
        <v>2465</v>
      </c>
      <c r="AC195" s="63" t="str">
        <f t="shared" si="57"/>
        <v>Content drafted - assets/specs pending</v>
      </c>
      <c r="AD19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5" s="58"/>
      <c r="AF195" s="58"/>
      <c r="AG195" s="58" t="s">
        <v>2467</v>
      </c>
      <c r="AH195" s="58" t="s">
        <v>2468</v>
      </c>
      <c r="AI195" s="58" t="s">
        <v>2469</v>
      </c>
    </row>
    <row r="196" spans="1:35" ht="42" customHeight="1" x14ac:dyDescent="0.35">
      <c r="A196" s="69">
        <f t="shared" ref="A196:A259" si="59">IF(B196=B195,A195,A195+1)</f>
        <v>46</v>
      </c>
      <c r="B196" s="70" t="s">
        <v>240</v>
      </c>
      <c r="C196" s="71" t="s">
        <v>13</v>
      </c>
      <c r="D196" s="72" t="s">
        <v>12</v>
      </c>
      <c r="E196" s="45" t="s">
        <v>244</v>
      </c>
      <c r="F196" s="49" t="s">
        <v>3008</v>
      </c>
      <c r="G196" s="45" t="s">
        <v>3045</v>
      </c>
      <c r="H196" s="47">
        <v>46257</v>
      </c>
      <c r="I196" s="48" t="s">
        <v>1706</v>
      </c>
      <c r="J196" s="48" t="s">
        <v>993</v>
      </c>
      <c r="K196" s="48" t="str">
        <f t="shared" si="49"/>
        <v>0.3m Resolution Visible Light / 4m Long-Wave Infrared Camera is a remote sensing cameras product from All-Rays Satellite Technology for application-specific laboratory, engineering or industrial use.</v>
      </c>
      <c r="L196" s="48" t="str">
        <f t="shared" si="50"/>
        <v>0.3m Resolution Visible Light / 4m Long-Wave Infrared Camera from All-Rays Satellite Technology for remote sensing cameras applications. Review configuration requirements and request technical information or a quotation from DIWAN.</v>
      </c>
      <c r="M196" s="48" t="s">
        <v>2020</v>
      </c>
      <c r="N196" s="61" t="s">
        <v>2672</v>
      </c>
      <c r="O196" s="54" t="str" cm="1">
        <f t="array" ref="O196">_xlfn.LET(_xlpm.n,LOWER(E196),_xlpm.c,LOWER(B196),_xlpm.t,_xlfn.IFS(OR(ISNUMBER(SEARCH("lens",_xlpm.n)),ISNUMBER(SEARCH("optic",_xlpm.n)),ISNUMBER(SEARCH("polarizer",_xlpm.n))),"precision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"),E196&amp;" is "&amp;_xlpm.art&amp;_xlpm.t&amp;" from "&amp;C196&amp;" designed for application-specific laboratory, engineering or industrial use. It belongs to DIWAN's "&amp;B196&amp;" portfolio; final configuration must be selected against performance, integration and compliance requirements.")</f>
        <v>0.3m Resolution Visible Light / 4m Long-Wave Infrared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6" s="54" t="str">
        <f t="shared" si="51"/>
        <v>Selection should confirm the model-specific operating range, capacity, accuracy, interfaces, utilities, accessories, standards, environmental limits and service requirements. Final capabilities depend on the approved 0.3m Resolution Visible Light / 4m Long-Wave Infrared Camera configuration.</v>
      </c>
      <c r="Q196" s="54"/>
      <c r="R196" s="54" t="str">
        <f t="shared" si="52"/>
        <v>Remote Sensing Cameras applications; laboratory research, engineering development, quality control and industrial deployment where applicable. Suitability must be confirmed against the user's sample, process, environment and required standards.</v>
      </c>
      <c r="S196" s="54"/>
      <c r="T196" s="54" t="str">
        <f t="shared" si="53"/>
        <v>0.3m Resolution Visible Light / 4m Long-Wave Infrared Camera from All-Rays Satellite Technology</v>
      </c>
      <c r="U196" s="54"/>
      <c r="V196" s="54" t="s">
        <v>2673</v>
      </c>
      <c r="W196" s="54" t="str">
        <f t="shared" si="54"/>
        <v>See other Remote Sensing Cameras products</v>
      </c>
      <c r="X196" s="54" t="str">
        <f t="shared" si="55"/>
        <v>Remote Sensing Cameras enquiry → website group enquiry form → category owner assignment</v>
      </c>
      <c r="Y196" s="54" t="str">
        <f t="shared" si="56"/>
        <v>0.3m Resolution Visible Light / 4m Long-Wave Infrared Camera, Remote Sensing Cameras, All-Rays Satellite Technology, technical equipment, DIWAN</v>
      </c>
      <c r="Z196" s="54" t="s">
        <v>2265</v>
      </c>
      <c r="AA196" s="55">
        <v>46257</v>
      </c>
      <c r="AB196" s="54" t="s">
        <v>2465</v>
      </c>
      <c r="AC196" s="63" t="str">
        <f t="shared" si="57"/>
        <v>Content drafted - assets/specs pending</v>
      </c>
      <c r="AD19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6" s="58"/>
      <c r="AF196" s="58"/>
      <c r="AG196" s="58" t="s">
        <v>2467</v>
      </c>
      <c r="AH196" s="58" t="s">
        <v>2468</v>
      </c>
      <c r="AI196" s="58" t="s">
        <v>2469</v>
      </c>
    </row>
    <row r="197" spans="1:35" ht="42" customHeight="1" x14ac:dyDescent="0.35">
      <c r="A197" s="69">
        <f t="shared" si="59"/>
        <v>46</v>
      </c>
      <c r="B197" s="70" t="s">
        <v>240</v>
      </c>
      <c r="C197" s="71" t="s">
        <v>13</v>
      </c>
      <c r="D197" s="72" t="s">
        <v>12</v>
      </c>
      <c r="E197" s="45" t="s">
        <v>245</v>
      </c>
      <c r="F197" s="49" t="s">
        <v>3008</v>
      </c>
      <c r="G197" s="45" t="s">
        <v>3045</v>
      </c>
      <c r="H197" s="47">
        <v>46257</v>
      </c>
      <c r="I197" s="48" t="s">
        <v>1707</v>
      </c>
      <c r="J197" s="48" t="s">
        <v>994</v>
      </c>
      <c r="K197" s="48" t="str">
        <f t="shared" si="49"/>
        <v>2.5m Resolution Wide-Frame Camera is a remote sensing cameras product from All-Rays Satellite Technology for application-specific laboratory, engineering or industrial use.</v>
      </c>
      <c r="L197" s="48" t="str">
        <f t="shared" si="50"/>
        <v>2.5m Resolution Wide-Frame Camera from All-Rays Satellite Technology for remote sensing cameras applications. Review configuration requirements and request technical information or a quotation from DIWAN.</v>
      </c>
      <c r="M197" s="48" t="s">
        <v>2020</v>
      </c>
      <c r="N197" s="61" t="s">
        <v>2672</v>
      </c>
      <c r="O197" s="54" t="str" cm="1">
        <f t="array" ref="O197">_xlfn.LET(_xlpm.n,LOWER(E197),_xlpm.c,LOWER(B197),_xlpm.t,_xlfn.IFS(OR(ISNUMBER(SEARCH("lens",_xlpm.n)),ISNUMBER(SEARCH("optic",_xlpm.n)),ISNUMBER(SEARCH("polarizer",_xlpm.n))),"precision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"),E197&amp;" is "&amp;_xlpm.art&amp;_xlpm.t&amp;" from "&amp;C197&amp;" designed for application-specific laboratory, engineering or industrial use. It belongs to DIWAN's "&amp;B197&amp;" portfolio; final configuration must be selected against performance, integration and compliance requirements.")</f>
        <v>2.5m Resolution Wide-Frame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7" s="54" t="str">
        <f t="shared" si="51"/>
        <v>Selection should confirm the model-specific operating range, capacity, accuracy, interfaces, utilities, accessories, standards, environmental limits and service requirements. Final capabilities depend on the approved 2.5m Resolution Wide-Frame Camera configuration.</v>
      </c>
      <c r="Q197" s="54"/>
      <c r="R197" s="54" t="str">
        <f t="shared" si="52"/>
        <v>Remote Sensing Cameras applications; laboratory research, engineering development, quality control and industrial deployment where applicable. Suitability must be confirmed against the user's sample, process, environment and required standards.</v>
      </c>
      <c r="S197" s="54"/>
      <c r="T197" s="54" t="str">
        <f t="shared" si="53"/>
        <v>2.5m Resolution Wide-Frame Camera from All-Rays Satellite Technology</v>
      </c>
      <c r="U197" s="54"/>
      <c r="V197" s="54" t="s">
        <v>2673</v>
      </c>
      <c r="W197" s="54" t="str">
        <f t="shared" si="54"/>
        <v>See other Remote Sensing Cameras products</v>
      </c>
      <c r="X197" s="54" t="str">
        <f t="shared" si="55"/>
        <v>Remote Sensing Cameras enquiry → website group enquiry form → category owner assignment</v>
      </c>
      <c r="Y197" s="54" t="str">
        <f t="shared" si="56"/>
        <v>2.5m Resolution Wide-Frame Camera, Remote Sensing Cameras, All-Rays Satellite Technology, technical equipment, DIWAN</v>
      </c>
      <c r="Z197" s="54" t="s">
        <v>2265</v>
      </c>
      <c r="AA197" s="55">
        <v>46257</v>
      </c>
      <c r="AB197" s="54" t="s">
        <v>2465</v>
      </c>
      <c r="AC197" s="63" t="str">
        <f t="shared" si="57"/>
        <v>Content drafted - assets/specs pending</v>
      </c>
      <c r="AD197"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7" s="58"/>
      <c r="AF197" s="58"/>
      <c r="AG197" s="58" t="s">
        <v>2467</v>
      </c>
      <c r="AH197" s="58" t="s">
        <v>2468</v>
      </c>
      <c r="AI197" s="58" t="s">
        <v>2469</v>
      </c>
    </row>
    <row r="198" spans="1:35" ht="42" customHeight="1" x14ac:dyDescent="0.35">
      <c r="A198" s="69">
        <f t="shared" si="59"/>
        <v>46</v>
      </c>
      <c r="B198" s="70" t="s">
        <v>240</v>
      </c>
      <c r="C198" s="71" t="s">
        <v>13</v>
      </c>
      <c r="D198" s="72" t="s">
        <v>12</v>
      </c>
      <c r="E198" s="45" t="s">
        <v>246</v>
      </c>
      <c r="F198" s="49" t="s">
        <v>3008</v>
      </c>
      <c r="G198" s="45" t="s">
        <v>3045</v>
      </c>
      <c r="H198" s="47">
        <v>46257</v>
      </c>
      <c r="I198" s="48" t="s">
        <v>1708</v>
      </c>
      <c r="J198" s="48" t="s">
        <v>995</v>
      </c>
      <c r="K198" s="48" t="str">
        <f t="shared" si="49"/>
        <v>2m Resolution Visible-Light Multispectral Wide-Field Camera is a remote sensing cameras product from All-Rays Satellite Technology for application-specific laboratory, engineering or industrial use.</v>
      </c>
      <c r="L198" s="48" t="str">
        <f t="shared" si="50"/>
        <v>2m Resolution Visible-Light Multispectral Wide-Field Camera from All-Rays Satellite Technology for remote sensing cameras applications. Review configuration requirements and request technical information or a quotation from DIWAN.</v>
      </c>
      <c r="M198" s="48" t="s">
        <v>2020</v>
      </c>
      <c r="N198" s="61" t="s">
        <v>2672</v>
      </c>
      <c r="O198" s="54" t="str" cm="1">
        <f t="array" ref="O198">_xlfn.LET(_xlpm.n,LOWER(E198),_xlpm.c,LOWER(B198),_xlpm.t,_xlfn.IFS(OR(ISNUMBER(SEARCH("lens",_xlpm.n)),ISNUMBER(SEARCH("optic",_xlpm.n)),ISNUMBER(SEARCH("polarizer",_xlpm.n))),"precision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"),E198&amp;" is "&amp;_xlpm.art&amp;_xlpm.t&amp;" from "&amp;C198&amp;" designed for application-specific laboratory, engineering or industrial use. It belongs to DIWAN's "&amp;B198&amp;" portfolio; final configuration must be selected against performance, integration and compliance requirements.")</f>
        <v>2m Resolution Visible-Light Multispectral Wide-Field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8" s="54" t="str">
        <f t="shared" si="51"/>
        <v>Selection should confirm the model-specific operating range, capacity, accuracy, interfaces, utilities, accessories, standards, environmental limits and service requirements. Final capabilities depend on the approved 2m Resolution Visible-Light Multispectral Wide-Field Camera configuration.</v>
      </c>
      <c r="Q198" s="54"/>
      <c r="R198" s="54" t="str">
        <f t="shared" si="52"/>
        <v>Remote Sensing Cameras applications; laboratory research, engineering development, quality control and industrial deployment where applicable. Suitability must be confirmed against the user's sample, process, environment and required standards.</v>
      </c>
      <c r="S198" s="54"/>
      <c r="T198" s="54" t="str">
        <f t="shared" si="53"/>
        <v>2m Resolution Visible-Light Multispectral Wide-Field Camera from All-Rays Satellite Technology</v>
      </c>
      <c r="U198" s="54"/>
      <c r="V198" s="54" t="s">
        <v>2673</v>
      </c>
      <c r="W198" s="54" t="str">
        <f t="shared" si="54"/>
        <v>See other Remote Sensing Cameras products</v>
      </c>
      <c r="X198" s="54" t="str">
        <f t="shared" si="55"/>
        <v>Remote Sensing Cameras enquiry → website group enquiry form → category owner assignment</v>
      </c>
      <c r="Y198" s="54" t="str">
        <f t="shared" si="56"/>
        <v>2m Resolution Visible-Light Multispectral Wide-Field Camera, Remote Sensing Cameras, All-Rays Satellite Technology, technical equipment, DIWAN</v>
      </c>
      <c r="Z198" s="54" t="s">
        <v>2265</v>
      </c>
      <c r="AA198" s="55">
        <v>46257</v>
      </c>
      <c r="AB198" s="54" t="s">
        <v>2465</v>
      </c>
      <c r="AC198" s="63" t="str">
        <f t="shared" si="57"/>
        <v>Content drafted - assets/specs pending</v>
      </c>
      <c r="AD19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8" s="58"/>
      <c r="AF198" s="58"/>
      <c r="AG198" s="58" t="s">
        <v>2467</v>
      </c>
      <c r="AH198" s="58" t="s">
        <v>2468</v>
      </c>
      <c r="AI198" s="58" t="s">
        <v>2469</v>
      </c>
    </row>
    <row r="199" spans="1:35" ht="42" customHeight="1" x14ac:dyDescent="0.35">
      <c r="A199" s="69">
        <f t="shared" si="59"/>
        <v>46</v>
      </c>
      <c r="B199" s="70" t="s">
        <v>240</v>
      </c>
      <c r="C199" s="71" t="s">
        <v>13</v>
      </c>
      <c r="D199" s="72" t="s">
        <v>12</v>
      </c>
      <c r="E199" s="45" t="s">
        <v>247</v>
      </c>
      <c r="F199" s="49" t="s">
        <v>3008</v>
      </c>
      <c r="G199" s="45" t="s">
        <v>3045</v>
      </c>
      <c r="H199" s="47">
        <v>46257</v>
      </c>
      <c r="I199" s="48" t="s">
        <v>1709</v>
      </c>
      <c r="J199" s="48" t="s">
        <v>996</v>
      </c>
      <c r="K199" s="48" t="str">
        <f t="shared" si="49"/>
        <v>Space Target Detection Camera is a remote sensing cameras product from All-Rays Satellite Technology for application-specific laboratory, engineering or industrial use.</v>
      </c>
      <c r="L199" s="48" t="str">
        <f t="shared" si="50"/>
        <v>Space Target Detection Camera from All-Rays Satellite Technology for remote sensing cameras applications. Review configuration requirements and request technical information or a quotation from DIWAN.</v>
      </c>
      <c r="M199" s="48" t="s">
        <v>2020</v>
      </c>
      <c r="N199" s="61" t="s">
        <v>2672</v>
      </c>
      <c r="O199" s="54" t="str" cm="1">
        <f t="array" ref="O199">_xlfn.LET(_xlpm.n,LOWER(E199),_xlpm.c,LOWER(B199),_xlpm.t,_xlfn.IFS(OR(ISNUMBER(SEARCH("lens",_xlpm.n)),ISNUMBER(SEARCH("optic",_xlpm.n)),ISNUMBER(SEARCH("polarizer",_xlpm.n))),"precision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"),E199&amp;" is "&amp;_xlpm.art&amp;_xlpm.t&amp;" from "&amp;C199&amp;" designed for application-specific laboratory, engineering or industrial use. It belongs to DIWAN's "&amp;B199&amp;" portfolio; final configuration must be selected against performance, integration and compliance requirements.")</f>
        <v>Space Target Detection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199" s="54" t="str">
        <f t="shared" si="51"/>
        <v>Selection should confirm the model-specific operating range, capacity, accuracy, interfaces, utilities, accessories, standards, environmental limits and service requirements. Final capabilities depend on the approved Space Target Detection Camera configuration.</v>
      </c>
      <c r="Q199" s="54"/>
      <c r="R199" s="54" t="str">
        <f t="shared" si="52"/>
        <v>Remote Sensing Cameras applications; laboratory research, engineering development, quality control and industrial deployment where applicable. Suitability must be confirmed against the user's sample, process, environment and required standards.</v>
      </c>
      <c r="S199" s="54"/>
      <c r="T199" s="54" t="str">
        <f t="shared" si="53"/>
        <v>Space Target Detection Camera from All-Rays Satellite Technology</v>
      </c>
      <c r="U199" s="54"/>
      <c r="V199" s="54" t="s">
        <v>2673</v>
      </c>
      <c r="W199" s="54" t="str">
        <f t="shared" si="54"/>
        <v>See other Remote Sensing Cameras products</v>
      </c>
      <c r="X199" s="54" t="str">
        <f t="shared" si="55"/>
        <v>Remote Sensing Cameras enquiry → website group enquiry form → category owner assignment</v>
      </c>
      <c r="Y199" s="54" t="str">
        <f t="shared" si="56"/>
        <v>Space Target Detection Camera, Remote Sensing Cameras, All-Rays Satellite Technology, technical equipment, DIWAN</v>
      </c>
      <c r="Z199" s="54" t="s">
        <v>2265</v>
      </c>
      <c r="AA199" s="55">
        <v>46257</v>
      </c>
      <c r="AB199" s="54" t="s">
        <v>2465</v>
      </c>
      <c r="AC199" s="63" t="str">
        <f t="shared" si="57"/>
        <v>Content drafted - assets/specs pending</v>
      </c>
      <c r="AD19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199" s="58"/>
      <c r="AF199" s="58"/>
      <c r="AG199" s="58" t="s">
        <v>2467</v>
      </c>
      <c r="AH199" s="58" t="s">
        <v>2468</v>
      </c>
      <c r="AI199" s="58" t="s">
        <v>2469</v>
      </c>
    </row>
    <row r="200" spans="1:35" ht="42" customHeight="1" x14ac:dyDescent="0.35">
      <c r="A200" s="69">
        <f t="shared" si="59"/>
        <v>46</v>
      </c>
      <c r="B200" s="70" t="s">
        <v>240</v>
      </c>
      <c r="C200" s="71" t="s">
        <v>13</v>
      </c>
      <c r="D200" s="72" t="s">
        <v>12</v>
      </c>
      <c r="E200" s="45" t="s">
        <v>248</v>
      </c>
      <c r="F200" s="49" t="s">
        <v>3008</v>
      </c>
      <c r="G200" s="45" t="s">
        <v>3045</v>
      </c>
      <c r="H200" s="47">
        <v>46257</v>
      </c>
      <c r="I200" s="48" t="s">
        <v>1710</v>
      </c>
      <c r="J200" s="48" t="s">
        <v>997</v>
      </c>
      <c r="K200" s="48" t="str">
        <f t="shared" si="49"/>
        <v>Spaceborne Selfie Camera is a remote sensing cameras product from All-Rays Satellite Technology for application-specific laboratory, engineering or industrial use.</v>
      </c>
      <c r="L200" s="48" t="str">
        <f t="shared" si="50"/>
        <v>Spaceborne Selfie Camera from All-Rays Satellite Technology for remote sensing cameras applications. Review configuration requirements and request technical information or a quotation from DIWAN.</v>
      </c>
      <c r="M200" s="48" t="s">
        <v>2020</v>
      </c>
      <c r="N200" s="61" t="s">
        <v>2672</v>
      </c>
      <c r="O200" s="54" t="str" cm="1">
        <f t="array" ref="O200">_xlfn.LET(_xlpm.n,LOWER(E200),_xlpm.c,LOWER(B200),_xlpm.t,_xlfn.IFS(OR(ISNUMBER(SEARCH("lens",_xlpm.n)),ISNUMBER(SEARCH("optic",_xlpm.n)),ISNUMBER(SEARCH("polarizer",_xlpm.n))),"precision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"),E200&amp;" is "&amp;_xlpm.art&amp;_xlpm.t&amp;" from "&amp;C200&amp;" designed for application-specific laboratory, engineering or industrial use. It belongs to DIWAN's "&amp;B200&amp;" portfolio; final configuration must be selected against performance, integration and compliance requirements.")</f>
        <v>Spaceborne Selfie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200" s="54" t="str">
        <f t="shared" si="51"/>
        <v>Selection should confirm the model-specific operating range, capacity, accuracy, interfaces, utilities, accessories, standards, environmental limits and service requirements. Final capabilities depend on the approved Spaceborne Selfie Camera configuration.</v>
      </c>
      <c r="Q200" s="54"/>
      <c r="R200" s="54" t="str">
        <f t="shared" si="52"/>
        <v>Remote Sensing Cameras applications; laboratory research, engineering development, quality control and industrial deployment where applicable. Suitability must be confirmed against the user's sample, process, environment and required standards.</v>
      </c>
      <c r="S200" s="54"/>
      <c r="T200" s="54" t="str">
        <f t="shared" si="53"/>
        <v>Spaceborne Selfie Camera from All-Rays Satellite Technology</v>
      </c>
      <c r="U200" s="54"/>
      <c r="V200" s="54" t="s">
        <v>2673</v>
      </c>
      <c r="W200" s="54" t="str">
        <f t="shared" si="54"/>
        <v>See other Remote Sensing Cameras products</v>
      </c>
      <c r="X200" s="54" t="str">
        <f t="shared" si="55"/>
        <v>Remote Sensing Cameras enquiry → website group enquiry form → category owner assignment</v>
      </c>
      <c r="Y200" s="54" t="str">
        <f t="shared" si="56"/>
        <v>Spaceborne Selfie Camera, Remote Sensing Cameras, All-Rays Satellite Technology, technical equipment, DIWAN</v>
      </c>
      <c r="Z200" s="54" t="s">
        <v>2265</v>
      </c>
      <c r="AA200" s="55">
        <v>46257</v>
      </c>
      <c r="AB200" s="54" t="s">
        <v>2465</v>
      </c>
      <c r="AC200" s="63" t="str">
        <f t="shared" si="57"/>
        <v>Content drafted - assets/specs pending</v>
      </c>
      <c r="AD200"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0" s="58"/>
      <c r="AF200" s="58"/>
      <c r="AG200" s="58" t="s">
        <v>2467</v>
      </c>
      <c r="AH200" s="58" t="s">
        <v>2468</v>
      </c>
      <c r="AI200" s="58" t="s">
        <v>2469</v>
      </c>
    </row>
    <row r="201" spans="1:35" ht="42" customHeight="1" thickBot="1" x14ac:dyDescent="0.4">
      <c r="A201" s="69">
        <f t="shared" si="59"/>
        <v>46</v>
      </c>
      <c r="B201" s="70" t="s">
        <v>240</v>
      </c>
      <c r="C201" s="71" t="s">
        <v>13</v>
      </c>
      <c r="D201" s="72" t="s">
        <v>12</v>
      </c>
      <c r="E201" s="45" t="s">
        <v>249</v>
      </c>
      <c r="F201" s="49" t="s">
        <v>3008</v>
      </c>
      <c r="G201" s="45" t="s">
        <v>3045</v>
      </c>
      <c r="H201" s="47">
        <v>46257</v>
      </c>
      <c r="I201" s="48" t="s">
        <v>1711</v>
      </c>
      <c r="J201" s="48" t="s">
        <v>998</v>
      </c>
      <c r="K201" s="48" t="str">
        <f t="shared" si="49"/>
        <v>4m Resolution Visible Multispectral Camera is a remote sensing cameras product from All-Rays Satellite Technology for application-specific laboratory, engineering or industrial use.</v>
      </c>
      <c r="L201" s="48" t="str">
        <f t="shared" si="50"/>
        <v>4m Resolution Visible Multispectral Camera from All-Rays Satellite Technology for remote sensing cameras applications. Review configuration requirements and request technical information or a quotation from DIWAN.</v>
      </c>
      <c r="M201" s="48" t="s">
        <v>2020</v>
      </c>
      <c r="N201" s="61" t="s">
        <v>2672</v>
      </c>
      <c r="O201" s="54" t="str" cm="1">
        <f t="array" ref="O201">_xlfn.LET(_xlpm.n,LOWER(E201),_xlpm.c,LOWER(B201),_xlpm.t,_xlfn.IFS(OR(ISNUMBER(SEARCH("lens",_xlpm.n)),ISNUMBER(SEARCH("optic",_xlpm.n)),ISNUMBER(SEARCH("polarizer",_xlpm.n))),"precision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"),E201&amp;" is "&amp;_xlpm.art&amp;_xlpm.t&amp;" from "&amp;C201&amp;" designed for application-specific laboratory, engineering or industrial use. It belongs to DIWAN's "&amp;B201&amp;" portfolio; final configuration must be selected against performance, integration and compliance requirements.")</f>
        <v>4m Resolution Visible Multispectral Camera is a scientific or industrial imaging system from All-Rays Satellite Technology designed for application-specific laboratory, engineering or industrial use. It belongs to DIWAN's Remote Sensing Cameras portfolio; final configuration must be selected against performance, integration and compliance requirements.</v>
      </c>
      <c r="P201" s="54" t="str">
        <f t="shared" si="51"/>
        <v>Selection should confirm the model-specific operating range, capacity, accuracy, interfaces, utilities, accessories, standards, environmental limits and service requirements. Final capabilities depend on the approved 4m Resolution Visible Multispectral Camera configuration.</v>
      </c>
      <c r="Q201" s="54"/>
      <c r="R201" s="54" t="str">
        <f t="shared" si="52"/>
        <v>Remote Sensing Cameras applications; laboratory research, engineering development, quality control and industrial deployment where applicable. Suitability must be confirmed against the user's sample, process, environment and required standards.</v>
      </c>
      <c r="S201" s="54"/>
      <c r="T201" s="54" t="str">
        <f t="shared" si="53"/>
        <v>4m Resolution Visible Multispectral Camera from All-Rays Satellite Technology</v>
      </c>
      <c r="U201" s="54"/>
      <c r="V201" s="54" t="s">
        <v>2673</v>
      </c>
      <c r="W201" s="54" t="str">
        <f t="shared" si="54"/>
        <v>See other Remote Sensing Cameras products</v>
      </c>
      <c r="X201" s="54" t="str">
        <f t="shared" si="55"/>
        <v>Remote Sensing Cameras enquiry → website group enquiry form → category owner assignment</v>
      </c>
      <c r="Y201" s="54" t="str">
        <f t="shared" si="56"/>
        <v>4m Resolution Visible Multispectral Camera, Remote Sensing Cameras, All-Rays Satellite Technology, technical equipment, DIWAN</v>
      </c>
      <c r="Z201" s="54" t="s">
        <v>2265</v>
      </c>
      <c r="AA201" s="55">
        <v>46257</v>
      </c>
      <c r="AB201" s="54" t="s">
        <v>2465</v>
      </c>
      <c r="AC201" s="63" t="str">
        <f t="shared" si="57"/>
        <v>Content drafted - assets/specs pending</v>
      </c>
      <c r="AD201"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1" s="58"/>
      <c r="AF201" s="58"/>
      <c r="AG201" s="58" t="s">
        <v>2467</v>
      </c>
      <c r="AH201" s="58" t="s">
        <v>2468</v>
      </c>
      <c r="AI201" s="58" t="s">
        <v>2469</v>
      </c>
    </row>
    <row r="202" spans="1:35" ht="42" customHeight="1" x14ac:dyDescent="0.35">
      <c r="A202" s="69">
        <f t="shared" si="59"/>
        <v>47</v>
      </c>
      <c r="B202" s="74" t="s">
        <v>250</v>
      </c>
      <c r="C202" s="75" t="s">
        <v>13</v>
      </c>
      <c r="D202" s="76" t="s">
        <v>12</v>
      </c>
      <c r="E202" s="77" t="s">
        <v>251</v>
      </c>
      <c r="F202" s="86" t="s">
        <v>3009</v>
      </c>
      <c r="G202" s="77" t="s">
        <v>3045</v>
      </c>
      <c r="H202" s="79">
        <v>46257</v>
      </c>
      <c r="I202" s="80" t="s">
        <v>1712</v>
      </c>
      <c r="J202" s="80" t="s">
        <v>999</v>
      </c>
      <c r="K202" s="80" t="str">
        <f t="shared" si="49"/>
        <v>Ultra-High Accuracy (RD01) Star Sensor is a star sensors product from All-Rays Satellite Technology for application-specific laboratory, engineering or industrial use.</v>
      </c>
      <c r="L202" s="80" t="str">
        <f t="shared" si="50"/>
        <v>Ultra-High Accuracy (RD01) Star Sensor from All-Rays Satellite Technology for star sensors applications. Review configuration requirements and request technical information or a quotation from DIWAN.</v>
      </c>
      <c r="M202" s="80" t="s">
        <v>2020</v>
      </c>
      <c r="N202" s="81" t="s">
        <v>2672</v>
      </c>
      <c r="O202" s="82" t="str" cm="1">
        <f t="array" ref="O202">_xlfn.LET(_xlpm.n,LOWER(E202),_xlpm.c,LOWER(B202),_xlpm.t,_xlfn.IFS(OR(ISNUMBER(SEARCH("lens",_xlpm.n)),ISNUMBER(SEARCH("optic",_xlpm.n)),ISNUMBER(SEARCH("polarizer",_xlpm.n))),"precision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"),E202&amp;" is "&amp;_xlpm.art&amp;_xlpm.t&amp;" from "&amp;C202&amp;" designed for application-specific laboratory, engineering or industrial use. It belongs to DIWAN's "&amp;B202&amp;" portfolio; final configuration must be selected against performance, integration and compliance requirements.")</f>
        <v>Ultra-High Accuracy (RD01) Star Sensor is a space or sensing subsystem from All-Rays Satellite Technology designed for application-specific laboratory, engineering or industrial use. It belongs to DIWAN's Star Sensors portfolio; final configuration must be selected against performance, integration and compliance requirements.</v>
      </c>
      <c r="P202" s="82" t="str">
        <f t="shared" si="51"/>
        <v>Selection should confirm the model-specific operating range, capacity, accuracy, interfaces, utilities, accessories, standards, environmental limits and service requirements. Final capabilities depend on the approved Ultra-High Accuracy (RD01) Star Sensor configuration.</v>
      </c>
      <c r="Q202" s="82"/>
      <c r="R202" s="82" t="str">
        <f t="shared" si="52"/>
        <v>Star Sensors applications; laboratory research, engineering development, quality control and industrial deployment where applicable. Suitability must be confirmed against the user's sample, process, environment and required standards.</v>
      </c>
      <c r="S202" s="82"/>
      <c r="T202" s="82" t="str">
        <f t="shared" si="53"/>
        <v>Ultra-High Accuracy (RD01) Star Sensor from All-Rays Satellite Technology</v>
      </c>
      <c r="U202" s="82"/>
      <c r="V202" s="82" t="s">
        <v>2673</v>
      </c>
      <c r="W202" s="82" t="str">
        <f t="shared" si="54"/>
        <v>See other Star Sensors products</v>
      </c>
      <c r="X202" s="82" t="str">
        <f t="shared" si="55"/>
        <v>Star Sensors enquiry → website group enquiry form → category owner assignment</v>
      </c>
      <c r="Y202" s="82" t="str">
        <f t="shared" si="56"/>
        <v>Ultra-High Accuracy (RD01) Star Sensor, Star Sensors, All-Rays Satellite Technology, technical equipment, DIWAN</v>
      </c>
      <c r="Z202" s="82" t="s">
        <v>2266</v>
      </c>
      <c r="AA202" s="83">
        <v>46257</v>
      </c>
      <c r="AB202" s="82" t="s">
        <v>2465</v>
      </c>
      <c r="AC202" s="84" t="str">
        <f t="shared" si="57"/>
        <v>Content drafted - assets/specs pending</v>
      </c>
      <c r="AD202"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2" s="85"/>
      <c r="AF202" s="85"/>
      <c r="AG202" s="85" t="s">
        <v>2467</v>
      </c>
      <c r="AH202" s="85" t="s">
        <v>2468</v>
      </c>
      <c r="AI202" s="85" t="s">
        <v>2469</v>
      </c>
    </row>
    <row r="203" spans="1:35" ht="42" customHeight="1" x14ac:dyDescent="0.35">
      <c r="A203" s="69">
        <f t="shared" si="59"/>
        <v>47</v>
      </c>
      <c r="B203" s="70" t="s">
        <v>250</v>
      </c>
      <c r="C203" s="71" t="s">
        <v>13</v>
      </c>
      <c r="D203" s="72" t="s">
        <v>12</v>
      </c>
      <c r="E203" s="45" t="s">
        <v>252</v>
      </c>
      <c r="F203" s="49" t="s">
        <v>3009</v>
      </c>
      <c r="G203" s="45" t="s">
        <v>3045</v>
      </c>
      <c r="H203" s="47">
        <v>46257</v>
      </c>
      <c r="I203" s="48" t="s">
        <v>1713</v>
      </c>
      <c r="J203" s="48" t="s">
        <v>1000</v>
      </c>
      <c r="K203" s="48" t="str">
        <f t="shared" si="49"/>
        <v>Ultra-High Accuracy (RD12) Star Sensor is a star sensors product from All-Rays Satellite Technology for application-specific laboratory, engineering or industrial use.</v>
      </c>
      <c r="L203" s="48" t="str">
        <f t="shared" si="50"/>
        <v>Ultra-High Accuracy (RD12) Star Sensor from All-Rays Satellite Technology for star sensors applications. Review configuration requirements and request technical information or a quotation from DIWAN.</v>
      </c>
      <c r="M203" s="48" t="s">
        <v>2020</v>
      </c>
      <c r="N203" s="61" t="s">
        <v>2672</v>
      </c>
      <c r="O203" s="54" t="str" cm="1">
        <f t="array" ref="O203">_xlfn.LET(_xlpm.n,LOWER(E203),_xlpm.c,LOWER(B203),_xlpm.t,_xlfn.IFS(OR(ISNUMBER(SEARCH("lens",_xlpm.n)),ISNUMBER(SEARCH("optic",_xlpm.n)),ISNUMBER(SEARCH("polarizer",_xlpm.n))),"precision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"),E203&amp;" is "&amp;_xlpm.art&amp;_xlpm.t&amp;" from "&amp;C203&amp;" designed for application-specific laboratory, engineering or industrial use. It belongs to DIWAN's "&amp;B203&amp;" portfolio; final configuration must be selected against performance, integration and compliance requirements.")</f>
        <v>Ultra-High Accuracy (RD12) Star Sensor is a space or sensing subsystem from All-Rays Satellite Technology designed for application-specific laboratory, engineering or industrial use. It belongs to DIWAN's Star Sensors portfolio; final configuration must be selected against performance, integration and compliance requirements.</v>
      </c>
      <c r="P203" s="54" t="str">
        <f t="shared" si="51"/>
        <v>Selection should confirm the model-specific operating range, capacity, accuracy, interfaces, utilities, accessories, standards, environmental limits and service requirements. Final capabilities depend on the approved Ultra-High Accuracy (RD12) Star Sensor configuration.</v>
      </c>
      <c r="Q203" s="54"/>
      <c r="R203" s="54" t="str">
        <f t="shared" si="52"/>
        <v>Star Sensors applications; laboratory research, engineering development, quality control and industrial deployment where applicable. Suitability must be confirmed against the user's sample, process, environment and required standards.</v>
      </c>
      <c r="S203" s="54"/>
      <c r="T203" s="54" t="str">
        <f t="shared" si="53"/>
        <v>Ultra-High Accuracy (RD12) Star Sensor from All-Rays Satellite Technology</v>
      </c>
      <c r="U203" s="54"/>
      <c r="V203" s="54" t="s">
        <v>2673</v>
      </c>
      <c r="W203" s="54" t="str">
        <f t="shared" si="54"/>
        <v>See other Star Sensors products</v>
      </c>
      <c r="X203" s="54" t="str">
        <f t="shared" si="55"/>
        <v>Star Sensors enquiry → website group enquiry form → category owner assignment</v>
      </c>
      <c r="Y203" s="54" t="str">
        <f t="shared" si="56"/>
        <v>Ultra-High Accuracy (RD12) Star Sensor, Star Sensors, All-Rays Satellite Technology, technical equipment, DIWAN</v>
      </c>
      <c r="Z203" s="54" t="s">
        <v>2266</v>
      </c>
      <c r="AA203" s="55">
        <v>46257</v>
      </c>
      <c r="AB203" s="54" t="s">
        <v>2465</v>
      </c>
      <c r="AC203" s="63" t="str">
        <f t="shared" si="57"/>
        <v>Content drafted - assets/specs pending</v>
      </c>
      <c r="AD20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3" s="58"/>
      <c r="AF203" s="58"/>
      <c r="AG203" s="58" t="s">
        <v>2467</v>
      </c>
      <c r="AH203" s="58" t="s">
        <v>2468</v>
      </c>
      <c r="AI203" s="58" t="s">
        <v>2469</v>
      </c>
    </row>
    <row r="204" spans="1:35" ht="42" customHeight="1" x14ac:dyDescent="0.35">
      <c r="A204" s="69">
        <f t="shared" si="59"/>
        <v>47</v>
      </c>
      <c r="B204" s="70" t="s">
        <v>250</v>
      </c>
      <c r="C204" s="71" t="s">
        <v>13</v>
      </c>
      <c r="D204" s="72" t="s">
        <v>12</v>
      </c>
      <c r="E204" s="45" t="s">
        <v>253</v>
      </c>
      <c r="F204" s="49" t="s">
        <v>3009</v>
      </c>
      <c r="G204" s="45" t="s">
        <v>3045</v>
      </c>
      <c r="H204" s="47">
        <v>46257</v>
      </c>
      <c r="I204" s="48" t="s">
        <v>1714</v>
      </c>
      <c r="J204" s="48" t="s">
        <v>1001</v>
      </c>
      <c r="K204" s="48" t="str">
        <f t="shared" si="49"/>
        <v>Ultra Lightweight (RD003) Sun Sensor is a star sensors product from All-Rays Satellite Technology for application-specific laboratory, engineering or industrial use.</v>
      </c>
      <c r="L204" s="48" t="str">
        <f t="shared" si="50"/>
        <v>Ultra Lightweight (RD003) Sun Sensor from All-Rays Satellite Technology for star sensors applications. Review configuration requirements and request technical information or a quotation from DIWAN.</v>
      </c>
      <c r="M204" s="48" t="s">
        <v>2020</v>
      </c>
      <c r="N204" s="61" t="s">
        <v>2672</v>
      </c>
      <c r="O204" s="54" t="str" cm="1">
        <f t="array" ref="O204">_xlfn.LET(_xlpm.n,LOWER(E204),_xlpm.c,LOWER(B204),_xlpm.t,_xlfn.IFS(OR(ISNUMBER(SEARCH("lens",_xlpm.n)),ISNUMBER(SEARCH("optic",_xlpm.n)),ISNUMBER(SEARCH("polarizer",_xlpm.n))),"precision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"),E204&amp;" is "&amp;_xlpm.art&amp;_xlpm.t&amp;" from "&amp;C204&amp;" designed for application-specific laboratory, engineering or industrial use. It belongs to DIWAN's "&amp;B204&amp;" portfolio; final configuration must be selected against performance, integration and compliance requirements.")</f>
        <v>Ultra Lightweight (RD003) Sun Sensor is a space or sensing subsystem from All-Rays Satellite Technology designed for application-specific laboratory, engineering or industrial use. It belongs to DIWAN's Star Sensors portfolio; final configuration must be selected against performance, integration and compliance requirements.</v>
      </c>
      <c r="P204" s="54" t="str">
        <f t="shared" si="51"/>
        <v>Selection should confirm the model-specific operating range, capacity, accuracy, interfaces, utilities, accessories, standards, environmental limits and service requirements. Final capabilities depend on the approved Ultra Lightweight (RD003) Sun Sensor configuration.</v>
      </c>
      <c r="Q204" s="54"/>
      <c r="R204" s="54" t="str">
        <f t="shared" si="52"/>
        <v>Star Sensors applications; laboratory research, engineering development, quality control and industrial deployment where applicable. Suitability must be confirmed against the user's sample, process, environment and required standards.</v>
      </c>
      <c r="S204" s="54"/>
      <c r="T204" s="54" t="str">
        <f t="shared" si="53"/>
        <v>Ultra Lightweight (RD003) Sun Sensor from All-Rays Satellite Technology</v>
      </c>
      <c r="U204" s="54"/>
      <c r="V204" s="54" t="s">
        <v>2673</v>
      </c>
      <c r="W204" s="54" t="str">
        <f t="shared" si="54"/>
        <v>See other Star Sensors products</v>
      </c>
      <c r="X204" s="54" t="str">
        <f t="shared" si="55"/>
        <v>Star Sensors enquiry → website group enquiry form → category owner assignment</v>
      </c>
      <c r="Y204" s="54" t="str">
        <f t="shared" si="56"/>
        <v>Ultra Lightweight (RD003) Sun Sensor, Star Sensors, All-Rays Satellite Technology, technical equipment, DIWAN</v>
      </c>
      <c r="Z204" s="54" t="s">
        <v>2266</v>
      </c>
      <c r="AA204" s="55">
        <v>46257</v>
      </c>
      <c r="AB204" s="54" t="s">
        <v>2465</v>
      </c>
      <c r="AC204" s="63" t="str">
        <f t="shared" si="57"/>
        <v>Content drafted - assets/specs pending</v>
      </c>
      <c r="AD204"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4" s="58"/>
      <c r="AF204" s="58"/>
      <c r="AG204" s="58" t="s">
        <v>2467</v>
      </c>
      <c r="AH204" s="58" t="s">
        <v>2468</v>
      </c>
      <c r="AI204" s="58" t="s">
        <v>2469</v>
      </c>
    </row>
    <row r="205" spans="1:35" ht="42" customHeight="1" x14ac:dyDescent="0.35">
      <c r="A205" s="69">
        <f t="shared" si="59"/>
        <v>47</v>
      </c>
      <c r="B205" s="70" t="s">
        <v>250</v>
      </c>
      <c r="C205" s="71" t="s">
        <v>13</v>
      </c>
      <c r="D205" s="72" t="s">
        <v>12</v>
      </c>
      <c r="E205" s="45" t="s">
        <v>254</v>
      </c>
      <c r="F205" s="49" t="s">
        <v>3009</v>
      </c>
      <c r="G205" s="45" t="s">
        <v>3045</v>
      </c>
      <c r="H205" s="47">
        <v>46257</v>
      </c>
      <c r="I205" s="48" t="s">
        <v>1715</v>
      </c>
      <c r="J205" s="48" t="s">
        <v>1002</v>
      </c>
      <c r="K205" s="48" t="str">
        <f t="shared" si="49"/>
        <v>Ultra Lightweight &amp; High Dynamic (RD02-3) Star Sensor is a star sensors product from All-Rays Satellite Technology for application-specific laboratory, engineering or industrial use.</v>
      </c>
      <c r="L205" s="48" t="str">
        <f t="shared" si="50"/>
        <v>Ultra Lightweight &amp; High Dynamic (RD02-3) Star Sensor from All-Rays Satellite Technology for star sensors applications. Review configuration requirements and request technical information or a quotation from DIWAN.</v>
      </c>
      <c r="M205" s="48" t="s">
        <v>2020</v>
      </c>
      <c r="N205" s="61" t="s">
        <v>2672</v>
      </c>
      <c r="O205" s="54" t="str" cm="1">
        <f t="array" ref="O205">_xlfn.LET(_xlpm.n,LOWER(E205),_xlpm.c,LOWER(B205),_xlpm.t,_xlfn.IFS(OR(ISNUMBER(SEARCH("lens",_xlpm.n)),ISNUMBER(SEARCH("optic",_xlpm.n)),ISNUMBER(SEARCH("polarizer",_xlpm.n))),"precision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"),E205&amp;" is "&amp;_xlpm.art&amp;_xlpm.t&amp;" from "&amp;C205&amp;" designed for application-specific laboratory, engineering or industrial use. It belongs to DIWAN's "&amp;B205&amp;" portfolio; final configuration must be selected against performance, integration and compliance requirements.")</f>
        <v>Ultra Lightweight &amp; High Dynamic (RD02-3) Star Sensor is a space or sensing subsystem from All-Rays Satellite Technology designed for application-specific laboratory, engineering or industrial use. It belongs to DIWAN's Star Sensors portfolio; final configuration must be selected against performance, integration and compliance requirements.</v>
      </c>
      <c r="P205" s="54" t="str">
        <f t="shared" si="51"/>
        <v>Selection should confirm the model-specific operating range, capacity, accuracy, interfaces, utilities, accessories, standards, environmental limits and service requirements. Final capabilities depend on the approved Ultra Lightweight &amp; High Dynamic (RD02-3) Star Sensor configuration.</v>
      </c>
      <c r="Q205" s="54"/>
      <c r="R205" s="54" t="str">
        <f t="shared" si="52"/>
        <v>Star Sensors applications; laboratory research, engineering development, quality control and industrial deployment where applicable. Suitability must be confirmed against the user's sample, process, environment and required standards.</v>
      </c>
      <c r="S205" s="54"/>
      <c r="T205" s="54" t="str">
        <f t="shared" si="53"/>
        <v>Ultra Lightweight &amp; High Dynamic (RD02-3) Star Sensor from All-Rays Satellite Technology</v>
      </c>
      <c r="U205" s="54"/>
      <c r="V205" s="54" t="s">
        <v>2673</v>
      </c>
      <c r="W205" s="54" t="str">
        <f t="shared" si="54"/>
        <v>See other Star Sensors products</v>
      </c>
      <c r="X205" s="54" t="str">
        <f t="shared" si="55"/>
        <v>Star Sensors enquiry → website group enquiry form → category owner assignment</v>
      </c>
      <c r="Y205" s="54" t="str">
        <f t="shared" si="56"/>
        <v>Ultra Lightweight &amp; High Dynamic (RD02-3) Star Sensor, Star Sensors, All-Rays Satellite Technology, technical equipment, DIWAN</v>
      </c>
      <c r="Z205" s="54" t="s">
        <v>2266</v>
      </c>
      <c r="AA205" s="55">
        <v>46257</v>
      </c>
      <c r="AB205" s="54" t="s">
        <v>2465</v>
      </c>
      <c r="AC205" s="63" t="str">
        <f t="shared" si="57"/>
        <v>Content drafted - assets/specs pending</v>
      </c>
      <c r="AD20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5" s="58"/>
      <c r="AF205" s="58"/>
      <c r="AG205" s="58" t="s">
        <v>2467</v>
      </c>
      <c r="AH205" s="58" t="s">
        <v>2468</v>
      </c>
      <c r="AI205" s="58" t="s">
        <v>2469</v>
      </c>
    </row>
    <row r="206" spans="1:35" ht="42" customHeight="1" thickBot="1" x14ac:dyDescent="0.4">
      <c r="A206" s="69">
        <f t="shared" si="59"/>
        <v>47</v>
      </c>
      <c r="B206" s="70" t="s">
        <v>250</v>
      </c>
      <c r="C206" s="71" t="s">
        <v>13</v>
      </c>
      <c r="D206" s="72" t="s">
        <v>12</v>
      </c>
      <c r="E206" s="45" t="s">
        <v>255</v>
      </c>
      <c r="F206" s="49" t="s">
        <v>3009</v>
      </c>
      <c r="G206" s="45" t="s">
        <v>3045</v>
      </c>
      <c r="H206" s="47">
        <v>46257</v>
      </c>
      <c r="I206" s="48" t="s">
        <v>1716</v>
      </c>
      <c r="J206" s="48" t="s">
        <v>1003</v>
      </c>
      <c r="K206" s="48" t="str">
        <f t="shared" si="49"/>
        <v>Nano-Type (RD04) Star Sensor is a star sensors product from All-Rays Satellite Technology for application-specific laboratory, engineering or industrial use.</v>
      </c>
      <c r="L206" s="48" t="str">
        <f t="shared" si="50"/>
        <v>Nano-Type (RD04) Star Sensor from All-Rays Satellite Technology for star sensors applications. Review configuration requirements and request technical information or a quotation from DIWAN.</v>
      </c>
      <c r="M206" s="48" t="s">
        <v>2020</v>
      </c>
      <c r="N206" s="61" t="s">
        <v>2672</v>
      </c>
      <c r="O206" s="54" t="str" cm="1">
        <f t="array" ref="O206">_xlfn.LET(_xlpm.n,LOWER(E206),_xlpm.c,LOWER(B206),_xlpm.t,_xlfn.IFS(OR(ISNUMBER(SEARCH("lens",_xlpm.n)),ISNUMBER(SEARCH("optic",_xlpm.n)),ISNUMBER(SEARCH("polarizer",_xlpm.n))),"precision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"),E206&amp;" is "&amp;_xlpm.art&amp;_xlpm.t&amp;" from "&amp;C206&amp;" designed for application-specific laboratory, engineering or industrial use. It belongs to DIWAN's "&amp;B206&amp;" portfolio; final configuration must be selected against performance, integration and compliance requirements.")</f>
        <v>Nano-Type (RD04) Star Sensor is a space or sensing subsystem from All-Rays Satellite Technology designed for application-specific laboratory, engineering or industrial use. It belongs to DIWAN's Star Sensors portfolio; final configuration must be selected against performance, integration and compliance requirements.</v>
      </c>
      <c r="P206" s="54" t="str">
        <f t="shared" si="51"/>
        <v>Selection should confirm the model-specific operating range, capacity, accuracy, interfaces, utilities, accessories, standards, environmental limits and service requirements. Final capabilities depend on the approved Nano-Type (RD04) Star Sensor configuration.</v>
      </c>
      <c r="Q206" s="54"/>
      <c r="R206" s="54" t="str">
        <f t="shared" si="52"/>
        <v>Star Sensors applications; laboratory research, engineering development, quality control and industrial deployment where applicable. Suitability must be confirmed against the user's sample, process, environment and required standards.</v>
      </c>
      <c r="S206" s="54"/>
      <c r="T206" s="54" t="str">
        <f t="shared" si="53"/>
        <v>Nano-Type (RD04) Star Sensor from All-Rays Satellite Technology</v>
      </c>
      <c r="U206" s="54"/>
      <c r="V206" s="54" t="s">
        <v>2673</v>
      </c>
      <c r="W206" s="54" t="str">
        <f t="shared" si="54"/>
        <v>See other Star Sensors products</v>
      </c>
      <c r="X206" s="54" t="str">
        <f t="shared" si="55"/>
        <v>Star Sensors enquiry → website group enquiry form → category owner assignment</v>
      </c>
      <c r="Y206" s="54" t="str">
        <f t="shared" si="56"/>
        <v>Nano-Type (RD04) Star Sensor, Star Sensors, All-Rays Satellite Technology, technical equipment, DIWAN</v>
      </c>
      <c r="Z206" s="54" t="s">
        <v>2266</v>
      </c>
      <c r="AA206" s="55">
        <v>46257</v>
      </c>
      <c r="AB206" s="54" t="s">
        <v>2465</v>
      </c>
      <c r="AC206" s="63" t="str">
        <f t="shared" si="57"/>
        <v>Content drafted - assets/specs pending</v>
      </c>
      <c r="AD20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6" s="58"/>
      <c r="AF206" s="58"/>
      <c r="AG206" s="58" t="s">
        <v>2467</v>
      </c>
      <c r="AH206" s="58" t="s">
        <v>2468</v>
      </c>
      <c r="AI206" s="58" t="s">
        <v>2469</v>
      </c>
    </row>
    <row r="207" spans="1:35" ht="42" customHeight="1" x14ac:dyDescent="0.35">
      <c r="A207" s="69">
        <f t="shared" si="59"/>
        <v>48</v>
      </c>
      <c r="B207" s="74" t="s">
        <v>256</v>
      </c>
      <c r="C207" s="75" t="s">
        <v>13</v>
      </c>
      <c r="D207" s="76" t="s">
        <v>12</v>
      </c>
      <c r="E207" s="77" t="s">
        <v>257</v>
      </c>
      <c r="F207" s="86" t="s">
        <v>3010</v>
      </c>
      <c r="G207" s="77" t="s">
        <v>3045</v>
      </c>
      <c r="H207" s="79">
        <v>46257</v>
      </c>
      <c r="I207" s="80" t="s">
        <v>1717</v>
      </c>
      <c r="J207" s="80" t="s">
        <v>1004</v>
      </c>
      <c r="K207" s="80" t="str">
        <f t="shared" si="49"/>
        <v>Dual Light Source 4-Axis Integrated Fiber Optic Gyroscope Combination is a spaceborne inertial sensors product from All-Rays Satellite Technology for application-specific laboratory, engineering or industrial use.</v>
      </c>
      <c r="L207" s="80" t="str">
        <f t="shared" si="50"/>
        <v>Dual Light Source 4-Axis Integrated Fiber Optic Gyroscope Combination from All-Rays Satellite Technology for spaceborne inertial sensors applications. Review configuration requirements and request technical information or a quotation from DIWAN.</v>
      </c>
      <c r="M207" s="80" t="s">
        <v>2020</v>
      </c>
      <c r="N207" s="81" t="s">
        <v>2672</v>
      </c>
      <c r="O207" s="82" t="str" cm="1">
        <f t="array" ref="O207">_xlfn.LET(_xlpm.n,LOWER(E207),_xlpm.c,LOWER(B207),_xlpm.t,_xlfn.IFS(OR(ISNUMBER(SEARCH("lens",_xlpm.n)),ISNUMBER(SEARCH("optic",_xlpm.n)),ISNUMBER(SEARCH("polarizer",_xlpm.n))),"precision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"),E207&amp;" is "&amp;_xlpm.art&amp;_xlpm.t&amp;" from "&amp;C207&amp;" designed for application-specific laboratory, engineering or industrial use. It belongs to DIWAN's "&amp;B207&amp;" portfolio; final configuration must be selected against performance, integration and compliance requirements.")</f>
        <v>Dual Light Source 4-Axis Integrated Fiber Optic Gyroscope Combination is a precision optical component from All-Rays Satellite Technology designed for application-specific laboratory, engineering or industrial use. It belongs to DIWAN's Spaceborne Inertial Sensors portfolio; final configuration must be selected against performance, integration and compliance requirements.</v>
      </c>
      <c r="P207" s="82" t="str">
        <f t="shared" si="51"/>
        <v>Selection should confirm the model-specific operating range, capacity, accuracy, interfaces, utilities, accessories, standards, environmental limits and service requirements. Final capabilities depend on the approved Dual Light Source 4-Axis Integrated Fiber Optic Gyroscope Combination configuration.</v>
      </c>
      <c r="Q207" s="82"/>
      <c r="R207" s="82" t="str">
        <f t="shared" si="52"/>
        <v>Spaceborne Inertial Sensors applications; laboratory research, engineering development, quality control and industrial deployment where applicable. Suitability must be confirmed against the user's sample, process, environment and required standards.</v>
      </c>
      <c r="S207" s="82"/>
      <c r="T207" s="82" t="str">
        <f t="shared" si="53"/>
        <v>Dual Light Source 4-Axis Integrated Fiber Optic Gyroscope Combination from All-Rays Satellite Technology</v>
      </c>
      <c r="U207" s="82"/>
      <c r="V207" s="82" t="s">
        <v>2673</v>
      </c>
      <c r="W207" s="82" t="str">
        <f t="shared" si="54"/>
        <v>See other Spaceborne Inertial Sensors products</v>
      </c>
      <c r="X207" s="82" t="str">
        <f t="shared" si="55"/>
        <v>Spaceborne Inertial Sensors enquiry → website group enquiry form → category owner assignment</v>
      </c>
      <c r="Y207" s="82" t="str">
        <f t="shared" si="56"/>
        <v>Dual Light Source 4-Axis Integrated Fiber Optic Gyroscope Combination, Spaceborne Inertial Sensors, All-Rays Satellite Technology, technical equipment, DIWAN</v>
      </c>
      <c r="Z207" s="82" t="s">
        <v>2267</v>
      </c>
      <c r="AA207" s="83">
        <v>46257</v>
      </c>
      <c r="AB207" s="82" t="s">
        <v>2465</v>
      </c>
      <c r="AC207" s="84" t="str">
        <f t="shared" si="57"/>
        <v>Content drafted - assets/specs pending</v>
      </c>
      <c r="AD207" s="82"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7" s="85"/>
      <c r="AF207" s="85"/>
      <c r="AG207" s="85" t="s">
        <v>2467</v>
      </c>
      <c r="AH207" s="85" t="s">
        <v>2468</v>
      </c>
      <c r="AI207" s="85" t="s">
        <v>2469</v>
      </c>
    </row>
    <row r="208" spans="1:35" ht="42" customHeight="1" x14ac:dyDescent="0.35">
      <c r="A208" s="69">
        <f t="shared" si="59"/>
        <v>48</v>
      </c>
      <c r="B208" s="70" t="s">
        <v>256</v>
      </c>
      <c r="C208" s="71" t="s">
        <v>13</v>
      </c>
      <c r="D208" s="72" t="s">
        <v>12</v>
      </c>
      <c r="E208" s="45" t="s">
        <v>258</v>
      </c>
      <c r="F208" s="49" t="s">
        <v>3010</v>
      </c>
      <c r="G208" s="45" t="s">
        <v>3045</v>
      </c>
      <c r="H208" s="47">
        <v>46257</v>
      </c>
      <c r="I208" s="48" t="s">
        <v>1718</v>
      </c>
      <c r="J208" s="48" t="s">
        <v>1005</v>
      </c>
      <c r="K208" s="48" t="str">
        <f t="shared" si="49"/>
        <v>3 Orthogonal High-Precision Fiber Optic Gyroscope Combination is a spaceborne inertial sensors product from All-Rays Satellite Technology for application-specific laboratory, engineering or industrial use.</v>
      </c>
      <c r="L208" s="48" t="str">
        <f t="shared" si="50"/>
        <v>3 Orthogonal High-Precision Fiber Optic Gyroscope Combination from All-Rays Satellite Technology for spaceborne inertial sensors applications. Review configuration requirements and request technical information or a quotation from DIWAN.</v>
      </c>
      <c r="M208" s="48" t="s">
        <v>2020</v>
      </c>
      <c r="N208" s="61" t="s">
        <v>2672</v>
      </c>
      <c r="O208" s="54" t="str" cm="1">
        <f t="array" ref="O208">_xlfn.LET(_xlpm.n,LOWER(E208),_xlpm.c,LOWER(B208),_xlpm.t,_xlfn.IFS(OR(ISNUMBER(SEARCH("lens",_xlpm.n)),ISNUMBER(SEARCH("optic",_xlpm.n)),ISNUMBER(SEARCH("polarizer",_xlpm.n))),"precision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"),E208&amp;" is "&amp;_xlpm.art&amp;_xlpm.t&amp;" from "&amp;C208&amp;" designed for application-specific laboratory, engineering or industrial use. It belongs to DIWAN's "&amp;B208&amp;" portfolio; final configuration must be selected against performance, integration and compliance requirements.")</f>
        <v>3 Orthogonal High-Precision Fiber Optic Gyroscope Combination is a precision optical component from All-Rays Satellite Technology designed for application-specific laboratory, engineering or industrial use. It belongs to DIWAN's Spaceborne Inertial Sensors portfolio; final configuration must be selected against performance, integration and compliance requirements.</v>
      </c>
      <c r="P208" s="54" t="str">
        <f t="shared" si="51"/>
        <v>Selection should confirm the model-specific operating range, capacity, accuracy, interfaces, utilities, accessories, standards, environmental limits and service requirements. Final capabilities depend on the approved 3 Orthogonal High-Precision Fiber Optic Gyroscope Combination configuration.</v>
      </c>
      <c r="Q208" s="54"/>
      <c r="R208" s="54" t="str">
        <f t="shared" si="52"/>
        <v>Spaceborne Inertial Sensors applications; laboratory research, engineering development, quality control and industrial deployment where applicable. Suitability must be confirmed against the user's sample, process, environment and required standards.</v>
      </c>
      <c r="S208" s="54"/>
      <c r="T208" s="54" t="str">
        <f t="shared" si="53"/>
        <v>3 Orthogonal High-Precision Fiber Optic Gyroscope Combination from All-Rays Satellite Technology</v>
      </c>
      <c r="U208" s="54"/>
      <c r="V208" s="54" t="s">
        <v>2673</v>
      </c>
      <c r="W208" s="54" t="str">
        <f t="shared" si="54"/>
        <v>See other Spaceborne Inertial Sensors products</v>
      </c>
      <c r="X208" s="54" t="str">
        <f t="shared" si="55"/>
        <v>Spaceborne Inertial Sensors enquiry → website group enquiry form → category owner assignment</v>
      </c>
      <c r="Y208" s="54" t="str">
        <f t="shared" si="56"/>
        <v>3 Orthogonal High-Precision Fiber Optic Gyroscope Combination, Spaceborne Inertial Sensors, All-Rays Satellite Technology, technical equipment, DIWAN</v>
      </c>
      <c r="Z208" s="54" t="s">
        <v>2267</v>
      </c>
      <c r="AA208" s="55">
        <v>46257</v>
      </c>
      <c r="AB208" s="54" t="s">
        <v>2465</v>
      </c>
      <c r="AC208" s="63" t="str">
        <f t="shared" si="57"/>
        <v>Content drafted - assets/specs pending</v>
      </c>
      <c r="AD20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8" s="58"/>
      <c r="AF208" s="58"/>
      <c r="AG208" s="58" t="s">
        <v>2467</v>
      </c>
      <c r="AH208" s="58" t="s">
        <v>2468</v>
      </c>
      <c r="AI208" s="58" t="s">
        <v>2469</v>
      </c>
    </row>
    <row r="209" spans="1:35" ht="42" customHeight="1" x14ac:dyDescent="0.35">
      <c r="A209" s="69">
        <f t="shared" si="59"/>
        <v>48</v>
      </c>
      <c r="B209" s="70" t="s">
        <v>256</v>
      </c>
      <c r="C209" s="71" t="s">
        <v>13</v>
      </c>
      <c r="D209" s="72" t="s">
        <v>12</v>
      </c>
      <c r="E209" s="45" t="s">
        <v>259</v>
      </c>
      <c r="F209" s="49" t="s">
        <v>3010</v>
      </c>
      <c r="G209" s="45" t="s">
        <v>3045</v>
      </c>
      <c r="H209" s="47">
        <v>46257</v>
      </c>
      <c r="I209" s="48" t="s">
        <v>1719</v>
      </c>
      <c r="J209" s="48" t="s">
        <v>1006</v>
      </c>
      <c r="K209" s="48" t="str">
        <f t="shared" si="49"/>
        <v>3 Orthogonal 1 Oblique Mounted High-Precision Fiber Optic Gyroscope Combination is a spaceborne inertial sensors product from All-Rays Satellite Technology for application-specific laboratory, engineering or industrial use.</v>
      </c>
      <c r="L209" s="48" t="str">
        <f t="shared" si="50"/>
        <v>3 Orthogonal 1 Oblique Mounted High-Precision Fiber Optic Gyroscope Combination from All-Rays Satellite Technology for spaceborne inertial sensors applications. Review configuration requirements and request technical information or a quotation from DIWAN.</v>
      </c>
      <c r="M209" s="48" t="s">
        <v>2020</v>
      </c>
      <c r="N209" s="61" t="s">
        <v>2672</v>
      </c>
      <c r="O209" s="54" t="str" cm="1">
        <f t="array" ref="O209">_xlfn.LET(_xlpm.n,LOWER(E209),_xlpm.c,LOWER(B209),_xlpm.t,_xlfn.IFS(OR(ISNUMBER(SEARCH("lens",_xlpm.n)),ISNUMBER(SEARCH("optic",_xlpm.n)),ISNUMBER(SEARCH("polarizer",_xlpm.n))),"precision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"),E209&amp;" is "&amp;_xlpm.art&amp;_xlpm.t&amp;" from "&amp;C209&amp;" designed for application-specific laboratory, engineering or industrial use. It belongs to DIWAN's "&amp;B209&amp;" portfolio; final configuration must be selected against performance, integration and compliance requirements.")</f>
        <v>3 Orthogonal 1 Oblique Mounted High-Precision Fiber Optic Gyroscope Combination is a precision optical component from All-Rays Satellite Technology designed for application-specific laboratory, engineering or industrial use. It belongs to DIWAN's Spaceborne Inertial Sensors portfolio; final configuration must be selected against performance, integration and compliance requirements.</v>
      </c>
      <c r="P209" s="54" t="str">
        <f t="shared" si="51"/>
        <v>Selection should confirm the model-specific operating range, capacity, accuracy, interfaces, utilities, accessories, standards, environmental limits and service requirements. Final capabilities depend on the approved 3 Orthogonal 1 Oblique Mounted High-Precision Fiber Optic Gyroscope Combination configuration.</v>
      </c>
      <c r="Q209" s="54"/>
      <c r="R209" s="54" t="str">
        <f t="shared" si="52"/>
        <v>Spaceborne Inertial Sensors applications; laboratory research, engineering development, quality control and industrial deployment where applicable. Suitability must be confirmed against the user's sample, process, environment and required standards.</v>
      </c>
      <c r="S209" s="54"/>
      <c r="T209" s="54" t="str">
        <f t="shared" si="53"/>
        <v>3 Orthogonal 1 Oblique Mounted High-Precision Fiber Optic Gyroscope Combination from All-Rays Satellite Technology</v>
      </c>
      <c r="U209" s="54"/>
      <c r="V209" s="54" t="s">
        <v>2673</v>
      </c>
      <c r="W209" s="54" t="str">
        <f t="shared" si="54"/>
        <v>See other Spaceborne Inertial Sensors products</v>
      </c>
      <c r="X209" s="54" t="str">
        <f t="shared" si="55"/>
        <v>Spaceborne Inertial Sensors enquiry → website group enquiry form → category owner assignment</v>
      </c>
      <c r="Y209" s="54" t="str">
        <f t="shared" si="56"/>
        <v>3 Orthogonal 1 Oblique Mounted High-Precision Fiber Optic Gyroscope Combination, Spaceborne Inertial Sensors, All-Rays Satellite Technology, technical equipment, DIWAN</v>
      </c>
      <c r="Z209" s="54" t="s">
        <v>2267</v>
      </c>
      <c r="AA209" s="55">
        <v>46257</v>
      </c>
      <c r="AB209" s="54" t="s">
        <v>2465</v>
      </c>
      <c r="AC209" s="63" t="str">
        <f t="shared" si="57"/>
        <v>Content drafted - assets/specs pending</v>
      </c>
      <c r="AD20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09" s="58"/>
      <c r="AF209" s="58"/>
      <c r="AG209" s="58" t="s">
        <v>2467</v>
      </c>
      <c r="AH209" s="58" t="s">
        <v>2468</v>
      </c>
      <c r="AI209" s="58" t="s">
        <v>2469</v>
      </c>
    </row>
    <row r="210" spans="1:35" ht="42" customHeight="1" x14ac:dyDescent="0.35">
      <c r="A210" s="69">
        <f t="shared" si="59"/>
        <v>48</v>
      </c>
      <c r="B210" s="70" t="s">
        <v>256</v>
      </c>
      <c r="C210" s="71" t="s">
        <v>13</v>
      </c>
      <c r="D210" s="72" t="s">
        <v>12</v>
      </c>
      <c r="E210" s="45" t="s">
        <v>260</v>
      </c>
      <c r="F210" s="49" t="s">
        <v>3010</v>
      </c>
      <c r="G210" s="45" t="s">
        <v>3045</v>
      </c>
      <c r="H210" s="47">
        <v>46257</v>
      </c>
      <c r="I210" s="48" t="s">
        <v>1720</v>
      </c>
      <c r="J210" s="48" t="s">
        <v>1007</v>
      </c>
      <c r="K210" s="48" t="str">
        <f t="shared" si="49"/>
        <v>Micro Fiber Gyroscope Combination (Star W Standard) is a spaceborne inertial sensors product from All-Rays Satellite Technology for application-specific laboratory, engineering or industrial use.</v>
      </c>
      <c r="L210" s="48" t="str">
        <f t="shared" si="50"/>
        <v>Micro Fiber Gyroscope Combination (Star W Standard) from All-Rays Satellite Technology for spaceborne inertial sensors applications. Review configuration requirements and request technical information or a quotation from DIWAN.</v>
      </c>
      <c r="M210" s="48" t="s">
        <v>2020</v>
      </c>
      <c r="N210" s="61" t="s">
        <v>2672</v>
      </c>
      <c r="O210" s="54" t="str" cm="1">
        <f t="array" ref="O210">_xlfn.LET(_xlpm.n,LOWER(E210),_xlpm.c,LOWER(B210),_xlpm.t,_xlfn.IFS(OR(ISNUMBER(SEARCH("lens",_xlpm.n)),ISNUMBER(SEARCH("optic",_xlpm.n)),ISNUMBER(SEARCH("polarizer",_xlpm.n))),"precision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"),E210&amp;" is "&amp;_xlpm.art&amp;_xlpm.t&amp;" from "&amp;C210&amp;" designed for application-specific laboratory, engineering or industrial use. It belongs to DIWAN's "&amp;B210&amp;" portfolio; final configuration must be selected against performance, integration and compliance requirements.")</f>
        <v>Micro Fiber Gyroscope Combination (Star W Standard)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0" s="54" t="str">
        <f t="shared" si="51"/>
        <v>Selection should confirm the model-specific operating range, capacity, accuracy, interfaces, utilities, accessories, standards, environmental limits and service requirements. Final capabilities depend on the approved Micro Fiber Gyroscope Combination (Star W Standard) configuration.</v>
      </c>
      <c r="Q210" s="54"/>
      <c r="R210" s="54" t="str">
        <f t="shared" si="52"/>
        <v>Spaceborne Inertial Sensors applications; laboratory research, engineering development, quality control and industrial deployment where applicable. Suitability must be confirmed against the user's sample, process, environment and required standards.</v>
      </c>
      <c r="S210" s="54"/>
      <c r="T210" s="54" t="str">
        <f t="shared" si="53"/>
        <v>Micro Fiber Gyroscope Combination (Star W Standard) from All-Rays Satellite Technology</v>
      </c>
      <c r="U210" s="54"/>
      <c r="V210" s="54" t="s">
        <v>2673</v>
      </c>
      <c r="W210" s="54" t="str">
        <f t="shared" si="54"/>
        <v>See other Spaceborne Inertial Sensors products</v>
      </c>
      <c r="X210" s="54" t="str">
        <f t="shared" si="55"/>
        <v>Spaceborne Inertial Sensors enquiry → website group enquiry form → category owner assignment</v>
      </c>
      <c r="Y210" s="54" t="str">
        <f t="shared" si="56"/>
        <v>Micro Fiber Gyroscope Combination (Star W Standard), Spaceborne Inertial Sensors, All-Rays Satellite Technology, technical equipment, DIWAN</v>
      </c>
      <c r="Z210" s="54" t="s">
        <v>2267</v>
      </c>
      <c r="AA210" s="55">
        <v>46257</v>
      </c>
      <c r="AB210" s="54" t="s">
        <v>2465</v>
      </c>
      <c r="AC210" s="63" t="str">
        <f t="shared" si="57"/>
        <v>Content drafted - assets/specs pending</v>
      </c>
      <c r="AD210"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0" s="58"/>
      <c r="AF210" s="58"/>
      <c r="AG210" s="58" t="s">
        <v>2467</v>
      </c>
      <c r="AH210" s="58" t="s">
        <v>2468</v>
      </c>
      <c r="AI210" s="58" t="s">
        <v>2469</v>
      </c>
    </row>
    <row r="211" spans="1:35" ht="42" customHeight="1" x14ac:dyDescent="0.35">
      <c r="A211" s="69">
        <f t="shared" si="59"/>
        <v>48</v>
      </c>
      <c r="B211" s="70" t="s">
        <v>256</v>
      </c>
      <c r="C211" s="71" t="s">
        <v>13</v>
      </c>
      <c r="D211" s="72" t="s">
        <v>12</v>
      </c>
      <c r="E211" s="45" t="s">
        <v>261</v>
      </c>
      <c r="F211" s="49" t="s">
        <v>3010</v>
      </c>
      <c r="G211" s="45" t="s">
        <v>3045</v>
      </c>
      <c r="H211" s="47">
        <v>46257</v>
      </c>
      <c r="I211" s="48" t="s">
        <v>1721</v>
      </c>
      <c r="J211" s="48" t="s">
        <v>1008</v>
      </c>
      <c r="K211" s="48" t="str">
        <f t="shared" si="49"/>
        <v>Micro Fiber Gyroscope Combination is a spaceborne inertial sensors product from All-Rays Satellite Technology for application-specific laboratory, engineering or industrial use.</v>
      </c>
      <c r="L211" s="48" t="str">
        <f t="shared" si="50"/>
        <v>Micro Fiber Gyroscope Combination from All-Rays Satellite Technology for spaceborne inertial sensors applications. Review configuration requirements and request technical information or a quotation from DIWAN.</v>
      </c>
      <c r="M211" s="48" t="s">
        <v>2020</v>
      </c>
      <c r="N211" s="61" t="s">
        <v>2672</v>
      </c>
      <c r="O211" s="54" t="str" cm="1">
        <f t="array" ref="O211">_xlfn.LET(_xlpm.n,LOWER(E211),_xlpm.c,LOWER(B211),_xlpm.t,_xlfn.IFS(OR(ISNUMBER(SEARCH("lens",_xlpm.n)),ISNUMBER(SEARCH("optic",_xlpm.n)),ISNUMBER(SEARCH("polarizer",_xlpm.n))),"precision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"),E211&amp;" is "&amp;_xlpm.art&amp;_xlpm.t&amp;" from "&amp;C211&amp;" designed for application-specific laboratory, engineering or industrial use. It belongs to DIWAN's "&amp;B211&amp;" portfolio; final configuration must be selected against performance, integration and compliance requirements.")</f>
        <v>Micro Fiber Gyroscope Combination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1" s="54" t="str">
        <f t="shared" si="51"/>
        <v>Selection should confirm the model-specific operating range, capacity, accuracy, interfaces, utilities, accessories, standards, environmental limits and service requirements. Final capabilities depend on the approved Micro Fiber Gyroscope Combination configuration.</v>
      </c>
      <c r="Q211" s="54"/>
      <c r="R211" s="54" t="str">
        <f t="shared" si="52"/>
        <v>Spaceborne Inertial Sensors applications; laboratory research, engineering development, quality control and industrial deployment where applicable. Suitability must be confirmed against the user's sample, process, environment and required standards.</v>
      </c>
      <c r="S211" s="54"/>
      <c r="T211" s="54" t="str">
        <f t="shared" si="53"/>
        <v>Micro Fiber Gyroscope Combination from All-Rays Satellite Technology</v>
      </c>
      <c r="U211" s="54"/>
      <c r="V211" s="54" t="s">
        <v>2673</v>
      </c>
      <c r="W211" s="54" t="str">
        <f t="shared" si="54"/>
        <v>See other Spaceborne Inertial Sensors products</v>
      </c>
      <c r="X211" s="54" t="str">
        <f t="shared" si="55"/>
        <v>Spaceborne Inertial Sensors enquiry → website group enquiry form → category owner assignment</v>
      </c>
      <c r="Y211" s="54" t="str">
        <f t="shared" si="56"/>
        <v>Micro Fiber Gyroscope Combination, Spaceborne Inertial Sensors, All-Rays Satellite Technology, technical equipment, DIWAN</v>
      </c>
      <c r="Z211" s="54" t="s">
        <v>2267</v>
      </c>
      <c r="AA211" s="55">
        <v>46257</v>
      </c>
      <c r="AB211" s="54" t="s">
        <v>2465</v>
      </c>
      <c r="AC211" s="63" t="str">
        <f t="shared" si="57"/>
        <v>Content drafted - assets/specs pending</v>
      </c>
      <c r="AD211"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1" s="58"/>
      <c r="AF211" s="58"/>
      <c r="AG211" s="58" t="s">
        <v>2467</v>
      </c>
      <c r="AH211" s="58" t="s">
        <v>2468</v>
      </c>
      <c r="AI211" s="58" t="s">
        <v>2469</v>
      </c>
    </row>
    <row r="212" spans="1:35" ht="42" customHeight="1" x14ac:dyDescent="0.35">
      <c r="A212" s="69">
        <f t="shared" si="59"/>
        <v>48</v>
      </c>
      <c r="B212" s="70" t="s">
        <v>256</v>
      </c>
      <c r="C212" s="71" t="s">
        <v>13</v>
      </c>
      <c r="D212" s="72" t="s">
        <v>12</v>
      </c>
      <c r="E212" s="45" t="s">
        <v>262</v>
      </c>
      <c r="F212" s="49" t="s">
        <v>3010</v>
      </c>
      <c r="G212" s="45" t="s">
        <v>3045</v>
      </c>
      <c r="H212" s="47">
        <v>46257</v>
      </c>
      <c r="I212" s="48" t="s">
        <v>1722</v>
      </c>
      <c r="J212" s="48" t="s">
        <v>1009</v>
      </c>
      <c r="K212" s="48" t="str">
        <f t="shared" si="49"/>
        <v>Very High Precision Fiber Optic Gyroscope Combination is a spaceborne inertial sensors product from All-Rays Satellite Technology for application-specific laboratory, engineering or industrial use.</v>
      </c>
      <c r="L212" s="48" t="str">
        <f t="shared" si="50"/>
        <v>Very High Precision Fiber Optic Gyroscope Combination from All-Rays Satellite Technology for spaceborne inertial sensors applications. Review configuration requirements and request technical information or a quotation from DIWAN.</v>
      </c>
      <c r="M212" s="48" t="s">
        <v>2020</v>
      </c>
      <c r="N212" s="61" t="s">
        <v>2672</v>
      </c>
      <c r="O212" s="54" t="str" cm="1">
        <f t="array" ref="O212">_xlfn.LET(_xlpm.n,LOWER(E212),_xlpm.c,LOWER(B212),_xlpm.t,_xlfn.IFS(OR(ISNUMBER(SEARCH("lens",_xlpm.n)),ISNUMBER(SEARCH("optic",_xlpm.n)),ISNUMBER(SEARCH("polarizer",_xlpm.n))),"precision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"),E212&amp;" is "&amp;_xlpm.art&amp;_xlpm.t&amp;" from "&amp;C212&amp;" designed for application-specific laboratory, engineering or industrial use. It belongs to DIWAN's "&amp;B212&amp;" portfolio; final configuration must be selected against performance, integration and compliance requirements.")</f>
        <v>Very High Precision Fiber Optic Gyroscope Combination is a precision optical component from All-Rays Satellite Technology designed for application-specific laboratory, engineering or industrial use. It belongs to DIWAN's Spaceborne Inertial Sensors portfolio; final configuration must be selected against performance, integration and compliance requirements.</v>
      </c>
      <c r="P212" s="54" t="str">
        <f t="shared" si="51"/>
        <v>Selection should confirm the model-specific operating range, capacity, accuracy, interfaces, utilities, accessories, standards, environmental limits and service requirements. Final capabilities depend on the approved Very High Precision Fiber Optic Gyroscope Combination configuration.</v>
      </c>
      <c r="Q212" s="54"/>
      <c r="R212" s="54" t="str">
        <f t="shared" si="52"/>
        <v>Spaceborne Inertial Sensors applications; laboratory research, engineering development, quality control and industrial deployment where applicable. Suitability must be confirmed against the user's sample, process, environment and required standards.</v>
      </c>
      <c r="S212" s="54"/>
      <c r="T212" s="54" t="str">
        <f t="shared" si="53"/>
        <v>Very High Precision Fiber Optic Gyroscope Combination from All-Rays Satellite Technology</v>
      </c>
      <c r="U212" s="54"/>
      <c r="V212" s="54" t="s">
        <v>2673</v>
      </c>
      <c r="W212" s="54" t="str">
        <f t="shared" si="54"/>
        <v>See other Spaceborne Inertial Sensors products</v>
      </c>
      <c r="X212" s="54" t="str">
        <f t="shared" si="55"/>
        <v>Spaceborne Inertial Sensors enquiry → website group enquiry form → category owner assignment</v>
      </c>
      <c r="Y212" s="54" t="str">
        <f t="shared" si="56"/>
        <v>Very High Precision Fiber Optic Gyroscope Combination, Spaceborne Inertial Sensors, All-Rays Satellite Technology, technical equipment, DIWAN</v>
      </c>
      <c r="Z212" s="54" t="s">
        <v>2267</v>
      </c>
      <c r="AA212" s="55">
        <v>46257</v>
      </c>
      <c r="AB212" s="54" t="s">
        <v>2465</v>
      </c>
      <c r="AC212" s="63" t="str">
        <f t="shared" si="57"/>
        <v>Content drafted - assets/specs pending</v>
      </c>
      <c r="AD21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2" s="58"/>
      <c r="AF212" s="58"/>
      <c r="AG212" s="58" t="s">
        <v>2467</v>
      </c>
      <c r="AH212" s="58" t="s">
        <v>2468</v>
      </c>
      <c r="AI212" s="58" t="s">
        <v>2469</v>
      </c>
    </row>
    <row r="213" spans="1:35" ht="42" customHeight="1" x14ac:dyDescent="0.35">
      <c r="A213" s="69">
        <f t="shared" si="59"/>
        <v>48</v>
      </c>
      <c r="B213" s="70" t="s">
        <v>256</v>
      </c>
      <c r="C213" s="71" t="s">
        <v>13</v>
      </c>
      <c r="D213" s="72" t="s">
        <v>12</v>
      </c>
      <c r="E213" s="45" t="s">
        <v>263</v>
      </c>
      <c r="F213" s="49" t="s">
        <v>3010</v>
      </c>
      <c r="G213" s="45" t="s">
        <v>3045</v>
      </c>
      <c r="H213" s="47">
        <v>46257</v>
      </c>
      <c r="I213" s="48" t="s">
        <v>1723</v>
      </c>
      <c r="J213" s="48" t="s">
        <v>1010</v>
      </c>
      <c r="K213" s="48" t="str">
        <f t="shared" si="49"/>
        <v>3 Orthogonal 1 Oblique Mounted Hemispherical Gyroscope Attitude Sensor is a spaceborne inertial sensors product from All-Rays Satellite Technology for application-specific laboratory, engineering or industrial use.</v>
      </c>
      <c r="L213" s="48" t="str">
        <f t="shared" si="50"/>
        <v>3 Orthogonal 1 Oblique Mounted Hemispherical Gyroscope Attitude Sensor from All-Rays Satellite Technology for spaceborne inertial sensors applications. Review configuration requirements and request technical information or a quotation from DIWAN.</v>
      </c>
      <c r="M213" s="48" t="s">
        <v>2020</v>
      </c>
      <c r="N213" s="61" t="s">
        <v>2672</v>
      </c>
      <c r="O213" s="54" t="str" cm="1">
        <f t="array" ref="O213">_xlfn.LET(_xlpm.n,LOWER(E213),_xlpm.c,LOWER(B213),_xlpm.t,_xlfn.IFS(OR(ISNUMBER(SEARCH("lens",_xlpm.n)),ISNUMBER(SEARCH("optic",_xlpm.n)),ISNUMBER(SEARCH("polarizer",_xlpm.n))),"precision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"),E213&amp;" is "&amp;_xlpm.art&amp;_xlpm.t&amp;" from "&amp;C213&amp;" designed for application-specific laboratory, engineering or industrial use. It belongs to DIWAN's "&amp;B213&amp;" portfolio; final configuration must be selected against performance, integration and compliance requirements.")</f>
        <v>3 Orthogonal 1 Oblique Mounted Hemispherical Gyroscope Attitude Sensor is a space or sensing subsystem from All-Rays Satellite Technology designed for application-specific laboratory, engineering or industrial use. It belongs to DIWAN's Spaceborne Inertial Sensors portfolio; final configuration must be selected against performance, integration and compliance requirements.</v>
      </c>
      <c r="P213" s="54" t="str">
        <f t="shared" si="51"/>
        <v>Selection should confirm the model-specific operating range, capacity, accuracy, interfaces, utilities, accessories, standards, environmental limits and service requirements. Final capabilities depend on the approved 3 Orthogonal 1 Oblique Mounted Hemispherical Gyroscope Attitude Sensor configuration.</v>
      </c>
      <c r="Q213" s="54"/>
      <c r="R213" s="54" t="str">
        <f t="shared" si="52"/>
        <v>Spaceborne Inertial Sensors applications; laboratory research, engineering development, quality control and industrial deployment where applicable. Suitability must be confirmed against the user's sample, process, environment and required standards.</v>
      </c>
      <c r="S213" s="54"/>
      <c r="T213" s="54" t="str">
        <f t="shared" si="53"/>
        <v>3 Orthogonal 1 Oblique Mounted Hemispherical Gyroscope Attitude Sensor from All-Rays Satellite Technology</v>
      </c>
      <c r="U213" s="54"/>
      <c r="V213" s="54" t="s">
        <v>2673</v>
      </c>
      <c r="W213" s="54" t="str">
        <f t="shared" si="54"/>
        <v>See other Spaceborne Inertial Sensors products</v>
      </c>
      <c r="X213" s="54" t="str">
        <f t="shared" si="55"/>
        <v>Spaceborne Inertial Sensors enquiry → website group enquiry form → category owner assignment</v>
      </c>
      <c r="Y213" s="54" t="str">
        <f t="shared" si="56"/>
        <v>3 Orthogonal 1 Oblique Mounted Hemispherical Gyroscope Attitude Sensor, Spaceborne Inertial Sensors, All-Rays Satellite Technology, technical equipment, DIWAN</v>
      </c>
      <c r="Z213" s="54" t="s">
        <v>2267</v>
      </c>
      <c r="AA213" s="55">
        <v>46257</v>
      </c>
      <c r="AB213" s="54" t="s">
        <v>2465</v>
      </c>
      <c r="AC213" s="63" t="str">
        <f t="shared" si="57"/>
        <v>Content drafted - assets/specs pending</v>
      </c>
      <c r="AD21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3" s="58"/>
      <c r="AF213" s="58"/>
      <c r="AG213" s="58" t="s">
        <v>2467</v>
      </c>
      <c r="AH213" s="58" t="s">
        <v>2468</v>
      </c>
      <c r="AI213" s="58" t="s">
        <v>2469</v>
      </c>
    </row>
    <row r="214" spans="1:35" ht="42" customHeight="1" x14ac:dyDescent="0.35">
      <c r="A214" s="69">
        <f t="shared" si="59"/>
        <v>48</v>
      </c>
      <c r="B214" s="70" t="s">
        <v>256</v>
      </c>
      <c r="C214" s="71" t="s">
        <v>13</v>
      </c>
      <c r="D214" s="72" t="s">
        <v>12</v>
      </c>
      <c r="E214" s="45" t="s">
        <v>264</v>
      </c>
      <c r="F214" s="49" t="s">
        <v>3010</v>
      </c>
      <c r="G214" s="45" t="s">
        <v>3045</v>
      </c>
      <c r="H214" s="47">
        <v>46257</v>
      </c>
      <c r="I214" s="48" t="s">
        <v>1724</v>
      </c>
      <c r="J214" s="48" t="s">
        <v>1011</v>
      </c>
      <c r="K214" s="48" t="str">
        <f t="shared" si="49"/>
        <v>Micro Mechanical Inertial Unit is a spaceborne inertial sensors product from All-Rays Satellite Technology for application-specific laboratory, engineering or industrial use.</v>
      </c>
      <c r="L214" s="48" t="str">
        <f t="shared" si="50"/>
        <v>Micro Mechanical Inertial Unit from All-Rays Satellite Technology for spaceborne inertial sensors applications. Review configuration requirements and request technical information or a quotation from DIWAN.</v>
      </c>
      <c r="M214" s="48" t="s">
        <v>2020</v>
      </c>
      <c r="N214" s="61" t="s">
        <v>2672</v>
      </c>
      <c r="O214" s="54" t="str" cm="1">
        <f t="array" ref="O214">_xlfn.LET(_xlpm.n,LOWER(E214),_xlpm.c,LOWER(B214),_xlpm.t,_xlfn.IFS(OR(ISNUMBER(SEARCH("lens",_xlpm.n)),ISNUMBER(SEARCH("optic",_xlpm.n)),ISNUMBER(SEARCH("polarizer",_xlpm.n))),"precision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"),E214&amp;" is "&amp;_xlpm.art&amp;_xlpm.t&amp;" from "&amp;C214&amp;" designed for application-specific laboratory, engineering or industrial use. It belongs to DIWAN's "&amp;B214&amp;" portfolio; final configuration must be selected against performance, integration and compliance requirements.")</f>
        <v>Micro Mechanical Inertial Unit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4" s="54" t="str">
        <f t="shared" si="51"/>
        <v>Selection should confirm the model-specific operating range, capacity, accuracy, interfaces, utilities, accessories, standards, environmental limits and service requirements. Final capabilities depend on the approved Micro Mechanical Inertial Unit configuration.</v>
      </c>
      <c r="Q214" s="54"/>
      <c r="R214" s="54" t="str">
        <f t="shared" si="52"/>
        <v>Spaceborne Inertial Sensors applications; laboratory research, engineering development, quality control and industrial deployment where applicable. Suitability must be confirmed against the user's sample, process, environment and required standards.</v>
      </c>
      <c r="S214" s="54"/>
      <c r="T214" s="54" t="str">
        <f t="shared" si="53"/>
        <v>Micro Mechanical Inertial Unit from All-Rays Satellite Technology</v>
      </c>
      <c r="U214" s="54"/>
      <c r="V214" s="54" t="s">
        <v>2673</v>
      </c>
      <c r="W214" s="54" t="str">
        <f t="shared" si="54"/>
        <v>See other Spaceborne Inertial Sensors products</v>
      </c>
      <c r="X214" s="54" t="str">
        <f t="shared" si="55"/>
        <v>Spaceborne Inertial Sensors enquiry → website group enquiry form → category owner assignment</v>
      </c>
      <c r="Y214" s="54" t="str">
        <f t="shared" si="56"/>
        <v>Micro Mechanical Inertial Unit, Spaceborne Inertial Sensors, All-Rays Satellite Technology, technical equipment, DIWAN</v>
      </c>
      <c r="Z214" s="54" t="s">
        <v>2267</v>
      </c>
      <c r="AA214" s="55">
        <v>46257</v>
      </c>
      <c r="AB214" s="54" t="s">
        <v>2465</v>
      </c>
      <c r="AC214" s="63" t="str">
        <f t="shared" si="57"/>
        <v>Content drafted - assets/specs pending</v>
      </c>
      <c r="AD214"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4" s="58"/>
      <c r="AF214" s="58"/>
      <c r="AG214" s="58" t="s">
        <v>2467</v>
      </c>
      <c r="AH214" s="58" t="s">
        <v>2468</v>
      </c>
      <c r="AI214" s="58" t="s">
        <v>2469</v>
      </c>
    </row>
    <row r="215" spans="1:35" ht="42" customHeight="1" x14ac:dyDescent="0.35">
      <c r="A215" s="69">
        <f t="shared" si="59"/>
        <v>48</v>
      </c>
      <c r="B215" s="70" t="s">
        <v>256</v>
      </c>
      <c r="C215" s="71" t="s">
        <v>13</v>
      </c>
      <c r="D215" s="72" t="s">
        <v>12</v>
      </c>
      <c r="E215" s="45" t="s">
        <v>265</v>
      </c>
      <c r="F215" s="49" t="s">
        <v>3010</v>
      </c>
      <c r="G215" s="45" t="s">
        <v>3045</v>
      </c>
      <c r="H215" s="47">
        <v>46257</v>
      </c>
      <c r="I215" s="48" t="s">
        <v>1725</v>
      </c>
      <c r="J215" s="48" t="s">
        <v>1012</v>
      </c>
      <c r="K215" s="48" t="str">
        <f t="shared" si="49"/>
        <v>High-Precision Plus Table Combination is a spaceborne inertial sensors product from All-Rays Satellite Technology for application-specific laboratory, engineering or industrial use.</v>
      </c>
      <c r="L215" s="48" t="str">
        <f t="shared" si="50"/>
        <v>High-Precision Plus Table Combination from All-Rays Satellite Technology for spaceborne inertial sensors applications. Review configuration requirements and request technical information or a quotation from DIWAN.</v>
      </c>
      <c r="M215" s="48" t="s">
        <v>2020</v>
      </c>
      <c r="N215" s="61" t="s">
        <v>2672</v>
      </c>
      <c r="O215" s="54" t="str" cm="1">
        <f t="array" ref="O215">_xlfn.LET(_xlpm.n,LOWER(E215),_xlpm.c,LOWER(B215),_xlpm.t,_xlfn.IFS(OR(ISNUMBER(SEARCH("lens",_xlpm.n)),ISNUMBER(SEARCH("optic",_xlpm.n)),ISNUMBER(SEARCH("polarizer",_xlpm.n))),"precision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"),E215&amp;" is "&amp;_xlpm.art&amp;_xlpm.t&amp;" from "&amp;C215&amp;" designed for application-specific laboratory, engineering or industrial use. It belongs to DIWAN's "&amp;B215&amp;" portfolio; final configuration must be selected against performance, integration and compliance requirements.")</f>
        <v>High-Precision Plus Table Combination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5" s="54" t="str">
        <f t="shared" si="51"/>
        <v>Selection should confirm the model-specific operating range, capacity, accuracy, interfaces, utilities, accessories, standards, environmental limits and service requirements. Final capabilities depend on the approved High-Precision Plus Table Combination configuration.</v>
      </c>
      <c r="Q215" s="54"/>
      <c r="R215" s="54" t="str">
        <f t="shared" si="52"/>
        <v>Spaceborne Inertial Sensors applications; laboratory research, engineering development, quality control and industrial deployment where applicable. Suitability must be confirmed against the user's sample, process, environment and required standards.</v>
      </c>
      <c r="S215" s="54"/>
      <c r="T215" s="54" t="str">
        <f t="shared" si="53"/>
        <v>High-Precision Plus Table Combination from All-Rays Satellite Technology</v>
      </c>
      <c r="U215" s="54"/>
      <c r="V215" s="54" t="s">
        <v>2673</v>
      </c>
      <c r="W215" s="54" t="str">
        <f t="shared" si="54"/>
        <v>See other Spaceborne Inertial Sensors products</v>
      </c>
      <c r="X215" s="54" t="str">
        <f t="shared" si="55"/>
        <v>Spaceborne Inertial Sensors enquiry → website group enquiry form → category owner assignment</v>
      </c>
      <c r="Y215" s="54" t="str">
        <f t="shared" si="56"/>
        <v>High-Precision Plus Table Combination, Spaceborne Inertial Sensors, All-Rays Satellite Technology, technical equipment, DIWAN</v>
      </c>
      <c r="Z215" s="54" t="s">
        <v>2267</v>
      </c>
      <c r="AA215" s="55">
        <v>46257</v>
      </c>
      <c r="AB215" s="54" t="s">
        <v>2465</v>
      </c>
      <c r="AC215" s="63" t="str">
        <f t="shared" si="57"/>
        <v>Content drafted - assets/specs pending</v>
      </c>
      <c r="AD215"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5" s="58"/>
      <c r="AF215" s="58"/>
      <c r="AG215" s="58" t="s">
        <v>2467</v>
      </c>
      <c r="AH215" s="58" t="s">
        <v>2468</v>
      </c>
      <c r="AI215" s="58" t="s">
        <v>2469</v>
      </c>
    </row>
    <row r="216" spans="1:35" ht="42" customHeight="1" x14ac:dyDescent="0.35">
      <c r="A216" s="69">
        <f t="shared" si="59"/>
        <v>48</v>
      </c>
      <c r="B216" s="70" t="s">
        <v>256</v>
      </c>
      <c r="C216" s="71" t="s">
        <v>13</v>
      </c>
      <c r="D216" s="72" t="s">
        <v>12</v>
      </c>
      <c r="E216" s="45" t="s">
        <v>266</v>
      </c>
      <c r="F216" s="49" t="s">
        <v>3010</v>
      </c>
      <c r="G216" s="45" t="s">
        <v>3045</v>
      </c>
      <c r="H216" s="47">
        <v>46257</v>
      </c>
      <c r="I216" s="48" t="s">
        <v>1726</v>
      </c>
      <c r="J216" s="48" t="s">
        <v>1013</v>
      </c>
      <c r="K216" s="48" t="str">
        <f t="shared" si="49"/>
        <v>Ferrofluid Angular Velocity Sensor is a spaceborne inertial sensors product from All-Rays Satellite Technology for application-specific laboratory, engineering or industrial use.</v>
      </c>
      <c r="L216" s="48" t="str">
        <f t="shared" si="50"/>
        <v>Ferrofluid Angular Velocity Sensor from All-Rays Satellite Technology for spaceborne inertial sensors applications. Review configuration requirements and request technical information or a quotation from DIWAN.</v>
      </c>
      <c r="M216" s="48" t="s">
        <v>2020</v>
      </c>
      <c r="N216" s="61" t="s">
        <v>2672</v>
      </c>
      <c r="O216" s="54" t="str" cm="1">
        <f t="array" ref="O216">_xlfn.LET(_xlpm.n,LOWER(E216),_xlpm.c,LOWER(B216),_xlpm.t,_xlfn.IFS(OR(ISNUMBER(SEARCH("lens",_xlpm.n)),ISNUMBER(SEARCH("optic",_xlpm.n)),ISNUMBER(SEARCH("polarizer",_xlpm.n))),"precision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"),E216&amp;" is "&amp;_xlpm.art&amp;_xlpm.t&amp;" from "&amp;C216&amp;" designed for application-specific laboratory, engineering or industrial use. It belongs to DIWAN's "&amp;B216&amp;" portfolio; final configuration must be selected against performance, integration and compliance requirements.")</f>
        <v>Ferrofluid Angular Velocity Sensor is a space or sensing subsystem from All-Rays Satellite Technology designed for application-specific laboratory, engineering or industrial use. It belongs to DIWAN's Spaceborne Inertial Sensors portfolio; final configuration must be selected against performance, integration and compliance requirements.</v>
      </c>
      <c r="P216" s="54" t="str">
        <f t="shared" si="51"/>
        <v>Selection should confirm the model-specific operating range, capacity, accuracy, interfaces, utilities, accessories, standards, environmental limits and service requirements. Final capabilities depend on the approved Ferrofluid Angular Velocity Sensor configuration.</v>
      </c>
      <c r="Q216" s="54"/>
      <c r="R216" s="54" t="str">
        <f t="shared" si="52"/>
        <v>Spaceborne Inertial Sensors applications; laboratory research, engineering development, quality control and industrial deployment where applicable. Suitability must be confirmed against the user's sample, process, environment and required standards.</v>
      </c>
      <c r="S216" s="54"/>
      <c r="T216" s="54" t="str">
        <f t="shared" si="53"/>
        <v>Ferrofluid Angular Velocity Sensor from All-Rays Satellite Technology</v>
      </c>
      <c r="U216" s="54"/>
      <c r="V216" s="54" t="s">
        <v>2673</v>
      </c>
      <c r="W216" s="54" t="str">
        <f t="shared" si="54"/>
        <v>See other Spaceborne Inertial Sensors products</v>
      </c>
      <c r="X216" s="54" t="str">
        <f t="shared" si="55"/>
        <v>Spaceborne Inertial Sensors enquiry → website group enquiry form → category owner assignment</v>
      </c>
      <c r="Y216" s="54" t="str">
        <f t="shared" si="56"/>
        <v>Ferrofluid Angular Velocity Sensor, Spaceborne Inertial Sensors, All-Rays Satellite Technology, technical equipment, DIWAN</v>
      </c>
      <c r="Z216" s="54" t="s">
        <v>2267</v>
      </c>
      <c r="AA216" s="55">
        <v>46257</v>
      </c>
      <c r="AB216" s="54" t="s">
        <v>2465</v>
      </c>
      <c r="AC216" s="63" t="str">
        <f t="shared" si="57"/>
        <v>Content drafted - assets/specs pending</v>
      </c>
      <c r="AD216"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6" s="58"/>
      <c r="AF216" s="58"/>
      <c r="AG216" s="58" t="s">
        <v>2467</v>
      </c>
      <c r="AH216" s="58" t="s">
        <v>2468</v>
      </c>
      <c r="AI216" s="58" t="s">
        <v>2469</v>
      </c>
    </row>
    <row r="217" spans="1:35" ht="42" customHeight="1" x14ac:dyDescent="0.35">
      <c r="A217" s="69">
        <f t="shared" si="59"/>
        <v>48</v>
      </c>
      <c r="B217" s="70" t="s">
        <v>256</v>
      </c>
      <c r="C217" s="71" t="s">
        <v>13</v>
      </c>
      <c r="D217" s="72" t="s">
        <v>12</v>
      </c>
      <c r="E217" s="45" t="s">
        <v>266</v>
      </c>
      <c r="F217" s="49" t="s">
        <v>3010</v>
      </c>
      <c r="G217" s="45" t="s">
        <v>3045</v>
      </c>
      <c r="H217" s="47">
        <v>46257</v>
      </c>
      <c r="I217" s="48" t="s">
        <v>1726</v>
      </c>
      <c r="J217" s="48" t="s">
        <v>1014</v>
      </c>
      <c r="K217" s="48" t="str">
        <f t="shared" si="49"/>
        <v>Ferrofluid Angular Velocity Sensor is a spaceborne inertial sensors product from All-Rays Satellite Technology for application-specific laboratory, engineering or industrial use.</v>
      </c>
      <c r="L217" s="48" t="str">
        <f t="shared" si="50"/>
        <v>Ferrofluid Angular Velocity Sensor from All-Rays Satellite Technology for spaceborne inertial sensors applications. Review configuration requirements and request technical information or a quotation from DIWAN.</v>
      </c>
      <c r="M217" s="48" t="s">
        <v>2020</v>
      </c>
      <c r="N217" s="61" t="s">
        <v>2672</v>
      </c>
      <c r="O217" s="54" t="str" cm="1">
        <f t="array" ref="O217">_xlfn.LET(_xlpm.n,LOWER(E217),_xlpm.c,LOWER(B217),_xlpm.t,_xlfn.IFS(OR(ISNUMBER(SEARCH("lens",_xlpm.n)),ISNUMBER(SEARCH("optic",_xlpm.n)),ISNUMBER(SEARCH("polarizer",_xlpm.n))),"precision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"),E217&amp;" is "&amp;_xlpm.art&amp;_xlpm.t&amp;" from "&amp;C217&amp;" designed for application-specific laboratory, engineering or industrial use. It belongs to DIWAN's "&amp;B217&amp;" portfolio; final configuration must be selected against performance, integration and compliance requirements.")</f>
        <v>Ferrofluid Angular Velocity Sensor is a space or sensing subsystem from All-Rays Satellite Technology designed for application-specific laboratory, engineering or industrial use. It belongs to DIWAN's Spaceborne Inertial Sensors portfolio; final configuration must be selected against performance, integration and compliance requirements.</v>
      </c>
      <c r="P217" s="54" t="str">
        <f t="shared" si="51"/>
        <v>Selection should confirm the model-specific operating range, capacity, accuracy, interfaces, utilities, accessories, standards, environmental limits and service requirements. Final capabilities depend on the approved Ferrofluid Angular Velocity Sensor configuration.</v>
      </c>
      <c r="Q217" s="54"/>
      <c r="R217" s="54" t="str">
        <f t="shared" si="52"/>
        <v>Spaceborne Inertial Sensors applications; laboratory research, engineering development, quality control and industrial deployment where applicable. Suitability must be confirmed against the user's sample, process, environment and required standards.</v>
      </c>
      <c r="S217" s="54"/>
      <c r="T217" s="54" t="str">
        <f t="shared" si="53"/>
        <v>Ferrofluid Angular Velocity Sensor from All-Rays Satellite Technology</v>
      </c>
      <c r="U217" s="54"/>
      <c r="V217" s="54" t="s">
        <v>2673</v>
      </c>
      <c r="W217" s="54" t="str">
        <f t="shared" si="54"/>
        <v>See other Spaceborne Inertial Sensors products</v>
      </c>
      <c r="X217" s="54" t="str">
        <f t="shared" si="55"/>
        <v>Spaceborne Inertial Sensors enquiry → website group enquiry form → category owner assignment</v>
      </c>
      <c r="Y217" s="54" t="str">
        <f t="shared" si="56"/>
        <v>Ferrofluid Angular Velocity Sensor, Spaceborne Inertial Sensors, All-Rays Satellite Technology, technical equipment, DIWAN</v>
      </c>
      <c r="Z217" s="54" t="s">
        <v>2267</v>
      </c>
      <c r="AA217" s="55">
        <v>46257</v>
      </c>
      <c r="AB217" s="54" t="s">
        <v>2465</v>
      </c>
      <c r="AC217" s="63" t="str">
        <f t="shared" si="57"/>
        <v>Content drafted - assets/specs pending</v>
      </c>
      <c r="AD217"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7" s="58"/>
      <c r="AF217" s="58"/>
      <c r="AG217" s="58" t="s">
        <v>2467</v>
      </c>
      <c r="AH217" s="58" t="s">
        <v>2468</v>
      </c>
      <c r="AI217" s="58" t="s">
        <v>2469</v>
      </c>
    </row>
    <row r="218" spans="1:35" ht="42" customHeight="1" x14ac:dyDescent="0.35">
      <c r="A218" s="69">
        <f t="shared" si="59"/>
        <v>48</v>
      </c>
      <c r="B218" s="70" t="s">
        <v>256</v>
      </c>
      <c r="C218" s="71" t="s">
        <v>13</v>
      </c>
      <c r="D218" s="72" t="s">
        <v>12</v>
      </c>
      <c r="E218" s="45" t="s">
        <v>267</v>
      </c>
      <c r="F218" s="49" t="s">
        <v>3010</v>
      </c>
      <c r="G218" s="45" t="s">
        <v>3045</v>
      </c>
      <c r="H218" s="47">
        <v>46257</v>
      </c>
      <c r="I218" s="48" t="s">
        <v>1727</v>
      </c>
      <c r="J218" s="48" t="s">
        <v>1015</v>
      </c>
      <c r="K218" s="48" t="str">
        <f t="shared" si="49"/>
        <v>80mNms Three-Axis Integrated Micro Flywheel is a spaceborne inertial sensors product from All-Rays Satellite Technology for application-specific laboratory, engineering or industrial use.</v>
      </c>
      <c r="L218" s="48" t="str">
        <f t="shared" si="50"/>
        <v>80mNms Three-Axis Integrated Micro Flywheel from All-Rays Satellite Technology for spaceborne inertial sensors applications. Review configuration requirements and request technical information or a quotation from DIWAN.</v>
      </c>
      <c r="M218" s="48" t="s">
        <v>2020</v>
      </c>
      <c r="N218" s="61" t="s">
        <v>2672</v>
      </c>
      <c r="O218" s="54" t="str" cm="1">
        <f t="array" ref="O218">_xlfn.LET(_xlpm.n,LOWER(E218),_xlpm.c,LOWER(B218),_xlpm.t,_xlfn.IFS(OR(ISNUMBER(SEARCH("lens",_xlpm.n)),ISNUMBER(SEARCH("optic",_xlpm.n)),ISNUMBER(SEARCH("polarizer",_xlpm.n))),"precision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"),E218&amp;" is "&amp;_xlpm.art&amp;_xlpm.t&amp;" from "&amp;C218&amp;" designed for application-specific laboratory, engineering or industrial use. It belongs to DIWAN's "&amp;B218&amp;" portfolio; final configuration must be selected against performance, integration and compliance requirements.")</f>
        <v>80mNms Three-Axis Integrated Micro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8" s="54" t="str">
        <f t="shared" si="51"/>
        <v>Selection should confirm the model-specific operating range, capacity, accuracy, interfaces, utilities, accessories, standards, environmental limits and service requirements. Final capabilities depend on the approved 80mNms Three-Axis Integrated Micro Flywheel configuration.</v>
      </c>
      <c r="Q218" s="54"/>
      <c r="R218" s="54" t="str">
        <f t="shared" si="52"/>
        <v>Spaceborne Inertial Sensors applications; laboratory research, engineering development, quality control and industrial deployment where applicable. Suitability must be confirmed against the user's sample, process, environment and required standards.</v>
      </c>
      <c r="S218" s="54"/>
      <c r="T218" s="54" t="str">
        <f t="shared" si="53"/>
        <v>80mNms Three-Axis Integrated Micro Flywheel from All-Rays Satellite Technology</v>
      </c>
      <c r="U218" s="54"/>
      <c r="V218" s="54" t="s">
        <v>2673</v>
      </c>
      <c r="W218" s="54" t="str">
        <f t="shared" si="54"/>
        <v>See other Spaceborne Inertial Sensors products</v>
      </c>
      <c r="X218" s="54" t="str">
        <f t="shared" si="55"/>
        <v>Spaceborne Inertial Sensors enquiry → website group enquiry form → category owner assignment</v>
      </c>
      <c r="Y218" s="54" t="str">
        <f t="shared" si="56"/>
        <v>80mNms Three-Axis Integrated Micro Flywheel, Spaceborne Inertial Sensors, All-Rays Satellite Technology, technical equipment, DIWAN</v>
      </c>
      <c r="Z218" s="54" t="s">
        <v>2267</v>
      </c>
      <c r="AA218" s="55">
        <v>46257</v>
      </c>
      <c r="AB218" s="54" t="s">
        <v>2465</v>
      </c>
      <c r="AC218" s="63" t="str">
        <f t="shared" si="57"/>
        <v>Content drafted - assets/specs pending</v>
      </c>
      <c r="AD218"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8" s="58"/>
      <c r="AF218" s="58"/>
      <c r="AG218" s="58" t="s">
        <v>2467</v>
      </c>
      <c r="AH218" s="58" t="s">
        <v>2468</v>
      </c>
      <c r="AI218" s="58" t="s">
        <v>2469</v>
      </c>
    </row>
    <row r="219" spans="1:35" ht="42" customHeight="1" x14ac:dyDescent="0.35">
      <c r="A219" s="69">
        <f t="shared" si="59"/>
        <v>48</v>
      </c>
      <c r="B219" s="70" t="s">
        <v>256</v>
      </c>
      <c r="C219" s="71" t="s">
        <v>13</v>
      </c>
      <c r="D219" s="72" t="s">
        <v>12</v>
      </c>
      <c r="E219" s="45" t="s">
        <v>268</v>
      </c>
      <c r="F219" s="49" t="s">
        <v>3010</v>
      </c>
      <c r="G219" s="45" t="s">
        <v>3045</v>
      </c>
      <c r="H219" s="47">
        <v>46257</v>
      </c>
      <c r="I219" s="48" t="s">
        <v>1728</v>
      </c>
      <c r="J219" s="48" t="s">
        <v>1016</v>
      </c>
      <c r="K219" s="48" t="str">
        <f t="shared" si="49"/>
        <v>200mNms Three-Axis Integrated Micro Flywheel is a spaceborne inertial sensors product from All-Rays Satellite Technology for application-specific laboratory, engineering or industrial use.</v>
      </c>
      <c r="L219" s="48" t="str">
        <f t="shared" si="50"/>
        <v>200mNms Three-Axis Integrated Micro Flywheel from All-Rays Satellite Technology for spaceborne inertial sensors applications. Review configuration requirements and request technical information or a quotation from DIWAN.</v>
      </c>
      <c r="M219" s="48" t="s">
        <v>2020</v>
      </c>
      <c r="N219" s="61" t="s">
        <v>2672</v>
      </c>
      <c r="O219" s="54" t="str" cm="1">
        <f t="array" ref="O219">_xlfn.LET(_xlpm.n,LOWER(E219),_xlpm.c,LOWER(B219),_xlpm.t,_xlfn.IFS(OR(ISNUMBER(SEARCH("lens",_xlpm.n)),ISNUMBER(SEARCH("optic",_xlpm.n)),ISNUMBER(SEARCH("polarizer",_xlpm.n))),"precision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"),E219&amp;" is "&amp;_xlpm.art&amp;_xlpm.t&amp;" from "&amp;C219&amp;" designed for application-specific laboratory, engineering or industrial use. It belongs to DIWAN's "&amp;B219&amp;" portfolio; final configuration must be selected against performance, integration and compliance requirements.")</f>
        <v>200mNms Three-Axis Integrated Micro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19" s="54" t="str">
        <f t="shared" si="51"/>
        <v>Selection should confirm the model-specific operating range, capacity, accuracy, interfaces, utilities, accessories, standards, environmental limits and service requirements. Final capabilities depend on the approved 200mNms Three-Axis Integrated Micro Flywheel configuration.</v>
      </c>
      <c r="Q219" s="54"/>
      <c r="R219" s="54" t="str">
        <f t="shared" si="52"/>
        <v>Spaceborne Inertial Sensors applications; laboratory research, engineering development, quality control and industrial deployment where applicable. Suitability must be confirmed against the user's sample, process, environment and required standards.</v>
      </c>
      <c r="S219" s="54"/>
      <c r="T219" s="54" t="str">
        <f t="shared" si="53"/>
        <v>200mNms Three-Axis Integrated Micro Flywheel from All-Rays Satellite Technology</v>
      </c>
      <c r="U219" s="54"/>
      <c r="V219" s="54" t="s">
        <v>2673</v>
      </c>
      <c r="W219" s="54" t="str">
        <f t="shared" si="54"/>
        <v>See other Spaceborne Inertial Sensors products</v>
      </c>
      <c r="X219" s="54" t="str">
        <f t="shared" si="55"/>
        <v>Spaceborne Inertial Sensors enquiry → website group enquiry form → category owner assignment</v>
      </c>
      <c r="Y219" s="54" t="str">
        <f t="shared" si="56"/>
        <v>200mNms Three-Axis Integrated Micro Flywheel, Spaceborne Inertial Sensors, All-Rays Satellite Technology, technical equipment, DIWAN</v>
      </c>
      <c r="Z219" s="54" t="s">
        <v>2267</v>
      </c>
      <c r="AA219" s="55">
        <v>46257</v>
      </c>
      <c r="AB219" s="54" t="s">
        <v>2465</v>
      </c>
      <c r="AC219" s="63" t="str">
        <f t="shared" si="57"/>
        <v>Content drafted - assets/specs pending</v>
      </c>
      <c r="AD219"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19" s="58"/>
      <c r="AF219" s="58"/>
      <c r="AG219" s="58" t="s">
        <v>2467</v>
      </c>
      <c r="AH219" s="58" t="s">
        <v>2468</v>
      </c>
      <c r="AI219" s="58" t="s">
        <v>2469</v>
      </c>
    </row>
    <row r="220" spans="1:35" ht="42" customHeight="1" x14ac:dyDescent="0.35">
      <c r="A220" s="69">
        <f t="shared" si="59"/>
        <v>48</v>
      </c>
      <c r="B220" s="70" t="s">
        <v>256</v>
      </c>
      <c r="C220" s="71" t="s">
        <v>13</v>
      </c>
      <c r="D220" s="72" t="s">
        <v>12</v>
      </c>
      <c r="E220" s="45" t="s">
        <v>269</v>
      </c>
      <c r="F220" s="49" t="s">
        <v>3010</v>
      </c>
      <c r="G220" s="45" t="s">
        <v>3045</v>
      </c>
      <c r="H220" s="47">
        <v>46257</v>
      </c>
      <c r="I220" s="48" t="s">
        <v>1729</v>
      </c>
      <c r="J220" s="48" t="s">
        <v>1017</v>
      </c>
      <c r="K220" s="48" t="str">
        <f t="shared" si="49"/>
        <v>300mNms Single-Axis Micro Flywheel is a spaceborne inertial sensors product from All-Rays Satellite Technology for application-specific laboratory, engineering or industrial use.</v>
      </c>
      <c r="L220" s="48" t="str">
        <f t="shared" si="50"/>
        <v>300mNms Single-Axis Micro Flywheel from All-Rays Satellite Technology for spaceborne inertial sensors applications. Review configuration requirements and request technical information or a quotation from DIWAN.</v>
      </c>
      <c r="M220" s="48" t="s">
        <v>2020</v>
      </c>
      <c r="N220" s="61" t="s">
        <v>2672</v>
      </c>
      <c r="O220" s="54" t="str" cm="1">
        <f t="array" ref="O220">_xlfn.LET(_xlpm.n,LOWER(E220),_xlpm.c,LOWER(B220),_xlpm.t,_xlfn.IFS(OR(ISNUMBER(SEARCH("lens",_xlpm.n)),ISNUMBER(SEARCH("optic",_xlpm.n)),ISNUMBER(SEARCH("polarizer",_xlpm.n))),"precision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"),E220&amp;" is "&amp;_xlpm.art&amp;_xlpm.t&amp;" from "&amp;C220&amp;" designed for application-specific laboratory, engineering or industrial use. It belongs to DIWAN's "&amp;B220&amp;" portfolio; final configuration must be selected against performance, integration and compliance requirements.")</f>
        <v>300mNms Single-Axis Micro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0" s="54" t="str">
        <f t="shared" si="51"/>
        <v>Selection should confirm the model-specific operating range, capacity, accuracy, interfaces, utilities, accessories, standards, environmental limits and service requirements. Final capabilities depend on the approved 300mNms Single-Axis Micro Flywheel configuration.</v>
      </c>
      <c r="Q220" s="54"/>
      <c r="R220" s="54" t="str">
        <f t="shared" si="52"/>
        <v>Spaceborne Inertial Sensors applications; laboratory research, engineering development, quality control and industrial deployment where applicable. Suitability must be confirmed against the user's sample, process, environment and required standards.</v>
      </c>
      <c r="S220" s="54"/>
      <c r="T220" s="54" t="str">
        <f t="shared" si="53"/>
        <v>300mNms Single-Axis Micro Flywheel from All-Rays Satellite Technology</v>
      </c>
      <c r="U220" s="54"/>
      <c r="V220" s="54" t="s">
        <v>2673</v>
      </c>
      <c r="W220" s="54" t="str">
        <f t="shared" si="54"/>
        <v>See other Spaceborne Inertial Sensors products</v>
      </c>
      <c r="X220" s="54" t="str">
        <f t="shared" si="55"/>
        <v>Spaceborne Inertial Sensors enquiry → website group enquiry form → category owner assignment</v>
      </c>
      <c r="Y220" s="54" t="str">
        <f t="shared" si="56"/>
        <v>300mNms Single-Axis Micro Flywheel, Spaceborne Inertial Sensors, All-Rays Satellite Technology, technical equipment, DIWAN</v>
      </c>
      <c r="Z220" s="54" t="s">
        <v>2267</v>
      </c>
      <c r="AA220" s="55">
        <v>46257</v>
      </c>
      <c r="AB220" s="54" t="s">
        <v>2465</v>
      </c>
      <c r="AC220" s="63" t="str">
        <f t="shared" si="57"/>
        <v>Content drafted - assets/specs pending</v>
      </c>
      <c r="AD220"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0" s="58"/>
      <c r="AF220" s="58"/>
      <c r="AG220" s="58" t="s">
        <v>2467</v>
      </c>
      <c r="AH220" s="58" t="s">
        <v>2468</v>
      </c>
      <c r="AI220" s="58" t="s">
        <v>2469</v>
      </c>
    </row>
    <row r="221" spans="1:35" ht="42" customHeight="1" x14ac:dyDescent="0.35">
      <c r="A221" s="69">
        <f t="shared" si="59"/>
        <v>48</v>
      </c>
      <c r="B221" s="70" t="s">
        <v>256</v>
      </c>
      <c r="C221" s="71" t="s">
        <v>13</v>
      </c>
      <c r="D221" s="72" t="s">
        <v>12</v>
      </c>
      <c r="E221" s="45" t="s">
        <v>270</v>
      </c>
      <c r="F221" s="49" t="s">
        <v>3010</v>
      </c>
      <c r="G221" s="45" t="s">
        <v>3045</v>
      </c>
      <c r="H221" s="47">
        <v>46257</v>
      </c>
      <c r="I221" s="48" t="s">
        <v>1730</v>
      </c>
      <c r="J221" s="48" t="s">
        <v>1018</v>
      </c>
      <c r="K221" s="48" t="str">
        <f t="shared" si="49"/>
        <v>600mNms Single-Axis Micro Flywheel is a spaceborne inertial sensors product from All-Rays Satellite Technology for application-specific laboratory, engineering or industrial use.</v>
      </c>
      <c r="L221" s="48" t="str">
        <f t="shared" si="50"/>
        <v>600mNms Single-Axis Micro Flywheel from All-Rays Satellite Technology for spaceborne inertial sensors applications. Review configuration requirements and request technical information or a quotation from DIWAN.</v>
      </c>
      <c r="M221" s="48" t="s">
        <v>2020</v>
      </c>
      <c r="N221" s="61" t="s">
        <v>2672</v>
      </c>
      <c r="O221" s="54" t="str" cm="1">
        <f t="array" ref="O221">_xlfn.LET(_xlpm.n,LOWER(E221),_xlpm.c,LOWER(B221),_xlpm.t,_xlfn.IFS(OR(ISNUMBER(SEARCH("lens",_xlpm.n)),ISNUMBER(SEARCH("optic",_xlpm.n)),ISNUMBER(SEARCH("polarizer",_xlpm.n))),"precision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"),E221&amp;" is "&amp;_xlpm.art&amp;_xlpm.t&amp;" from "&amp;C221&amp;" designed for application-specific laboratory, engineering or industrial use. It belongs to DIWAN's "&amp;B221&amp;" portfolio; final configuration must be selected against performance, integration and compliance requirements.")</f>
        <v>600mNms Single-Axis Micro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1" s="54" t="str">
        <f t="shared" si="51"/>
        <v>Selection should confirm the model-specific operating range, capacity, accuracy, interfaces, utilities, accessories, standards, environmental limits and service requirements. Final capabilities depend on the approved 600mNms Single-Axis Micro Flywheel configuration.</v>
      </c>
      <c r="Q221" s="54"/>
      <c r="R221" s="54" t="str">
        <f t="shared" si="52"/>
        <v>Spaceborne Inertial Sensors applications; laboratory research, engineering development, quality control and industrial deployment where applicable. Suitability must be confirmed against the user's sample, process, environment and required standards.</v>
      </c>
      <c r="S221" s="54"/>
      <c r="T221" s="54" t="str">
        <f t="shared" si="53"/>
        <v>600mNms Single-Axis Micro Flywheel from All-Rays Satellite Technology</v>
      </c>
      <c r="U221" s="54"/>
      <c r="V221" s="54" t="s">
        <v>2673</v>
      </c>
      <c r="W221" s="54" t="str">
        <f t="shared" si="54"/>
        <v>See other Spaceborne Inertial Sensors products</v>
      </c>
      <c r="X221" s="54" t="str">
        <f t="shared" si="55"/>
        <v>Spaceborne Inertial Sensors enquiry → website group enquiry form → category owner assignment</v>
      </c>
      <c r="Y221" s="54" t="str">
        <f t="shared" si="56"/>
        <v>600mNms Single-Axis Micro Flywheel, Spaceborne Inertial Sensors, All-Rays Satellite Technology, technical equipment, DIWAN</v>
      </c>
      <c r="Z221" s="54" t="s">
        <v>2267</v>
      </c>
      <c r="AA221" s="55">
        <v>46257</v>
      </c>
      <c r="AB221" s="54" t="s">
        <v>2465</v>
      </c>
      <c r="AC221" s="63" t="str">
        <f t="shared" si="57"/>
        <v>Content drafted - assets/specs pending</v>
      </c>
      <c r="AD221"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1" s="58"/>
      <c r="AF221" s="58"/>
      <c r="AG221" s="58" t="s">
        <v>2467</v>
      </c>
      <c r="AH221" s="58" t="s">
        <v>2468</v>
      </c>
      <c r="AI221" s="58" t="s">
        <v>2469</v>
      </c>
    </row>
    <row r="222" spans="1:35" ht="42" customHeight="1" x14ac:dyDescent="0.35">
      <c r="A222" s="69">
        <f t="shared" si="59"/>
        <v>48</v>
      </c>
      <c r="B222" s="70" t="s">
        <v>256</v>
      </c>
      <c r="C222" s="71" t="s">
        <v>13</v>
      </c>
      <c r="D222" s="72" t="s">
        <v>12</v>
      </c>
      <c r="E222" s="45" t="s">
        <v>271</v>
      </c>
      <c r="F222" s="49" t="s">
        <v>3010</v>
      </c>
      <c r="G222" s="45" t="s">
        <v>3045</v>
      </c>
      <c r="H222" s="47">
        <v>46257</v>
      </c>
      <c r="I222" s="48" t="s">
        <v>1731</v>
      </c>
      <c r="J222" s="48" t="s">
        <v>1019</v>
      </c>
      <c r="K222" s="48" t="str">
        <f t="shared" si="49"/>
        <v>Universal 160 Reaction Flywheel is a spaceborne inertial sensors product from All-Rays Satellite Technology for application-specific laboratory, engineering or industrial use.</v>
      </c>
      <c r="L222" s="48" t="str">
        <f t="shared" si="50"/>
        <v>Universal 160 Reaction Flywheel from All-Rays Satellite Technology for spaceborne inertial sensors applications. Review configuration requirements and request technical information or a quotation from DIWAN.</v>
      </c>
      <c r="M222" s="48" t="s">
        <v>2020</v>
      </c>
      <c r="N222" s="61" t="s">
        <v>2672</v>
      </c>
      <c r="O222" s="54" t="str" cm="1">
        <f t="array" ref="O222">_xlfn.LET(_xlpm.n,LOWER(E222),_xlpm.c,LOWER(B222),_xlpm.t,_xlfn.IFS(OR(ISNUMBER(SEARCH("lens",_xlpm.n)),ISNUMBER(SEARCH("optic",_xlpm.n)),ISNUMBER(SEARCH("polarizer",_xlpm.n))),"precision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"),E222&amp;" is "&amp;_xlpm.art&amp;_xlpm.t&amp;" from "&amp;C222&amp;" designed for application-specific laboratory, engineering or industrial use. It belongs to DIWAN's "&amp;B222&amp;" portfolio; final configuration must be selected against performance, integration and compliance requirements.")</f>
        <v>Universal 160 Reaction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2" s="54" t="str">
        <f t="shared" si="51"/>
        <v>Selection should confirm the model-specific operating range, capacity, accuracy, interfaces, utilities, accessories, standards, environmental limits and service requirements. Final capabilities depend on the approved Universal 160 Reaction Flywheel configuration.</v>
      </c>
      <c r="Q222" s="54"/>
      <c r="R222" s="54" t="str">
        <f t="shared" si="52"/>
        <v>Spaceborne Inertial Sensors applications; laboratory research, engineering development, quality control and industrial deployment where applicable. Suitability must be confirmed against the user's sample, process, environment and required standards.</v>
      </c>
      <c r="S222" s="54"/>
      <c r="T222" s="54" t="str">
        <f t="shared" si="53"/>
        <v>Universal 160 Reaction Flywheel from All-Rays Satellite Technology</v>
      </c>
      <c r="U222" s="54"/>
      <c r="V222" s="54" t="s">
        <v>2673</v>
      </c>
      <c r="W222" s="54" t="str">
        <f t="shared" si="54"/>
        <v>See other Spaceborne Inertial Sensors products</v>
      </c>
      <c r="X222" s="54" t="str">
        <f t="shared" si="55"/>
        <v>Spaceborne Inertial Sensors enquiry → website group enquiry form → category owner assignment</v>
      </c>
      <c r="Y222" s="54" t="str">
        <f t="shared" si="56"/>
        <v>Universal 160 Reaction Flywheel, Spaceborne Inertial Sensors, All-Rays Satellite Technology, technical equipment, DIWAN</v>
      </c>
      <c r="Z222" s="54" t="s">
        <v>2267</v>
      </c>
      <c r="AA222" s="55">
        <v>46257</v>
      </c>
      <c r="AB222" s="54" t="s">
        <v>2465</v>
      </c>
      <c r="AC222" s="63" t="str">
        <f t="shared" si="57"/>
        <v>Content drafted - assets/specs pending</v>
      </c>
      <c r="AD222"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2" s="58"/>
      <c r="AF222" s="58"/>
      <c r="AG222" s="58" t="s">
        <v>2467</v>
      </c>
      <c r="AH222" s="58" t="s">
        <v>2468</v>
      </c>
      <c r="AI222" s="58" t="s">
        <v>2469</v>
      </c>
    </row>
    <row r="223" spans="1:35" ht="42" customHeight="1" x14ac:dyDescent="0.35">
      <c r="A223" s="69">
        <f t="shared" si="59"/>
        <v>48</v>
      </c>
      <c r="B223" s="70" t="s">
        <v>256</v>
      </c>
      <c r="C223" s="71" t="s">
        <v>13</v>
      </c>
      <c r="D223" s="72" t="s">
        <v>12</v>
      </c>
      <c r="E223" s="45" t="s">
        <v>272</v>
      </c>
      <c r="F223" s="49" t="s">
        <v>3010</v>
      </c>
      <c r="G223" s="45" t="s">
        <v>3045</v>
      </c>
      <c r="H223" s="47">
        <v>46257</v>
      </c>
      <c r="I223" s="48" t="s">
        <v>1732</v>
      </c>
      <c r="J223" s="48" t="s">
        <v>1020</v>
      </c>
      <c r="K223" s="48" t="str">
        <f t="shared" si="49"/>
        <v>Universal 8Nms Flywheel (Star W Standard) is a spaceborne inertial sensors product from All-Rays Satellite Technology for application-specific laboratory, engineering or industrial use.</v>
      </c>
      <c r="L223" s="48" t="str">
        <f t="shared" si="50"/>
        <v>Universal 8Nms Flywheel (Star W Standard) from All-Rays Satellite Technology for spaceborne inertial sensors applications. Review configuration requirements and request technical information or a quotation from DIWAN.</v>
      </c>
      <c r="M223" s="48" t="s">
        <v>2020</v>
      </c>
      <c r="N223" s="61" t="s">
        <v>2672</v>
      </c>
      <c r="O223" s="54" t="str" cm="1">
        <f t="array" ref="O223">_xlfn.LET(_xlpm.n,LOWER(E223),_xlpm.c,LOWER(B223),_xlpm.t,_xlfn.IFS(OR(ISNUMBER(SEARCH("lens",_xlpm.n)),ISNUMBER(SEARCH("optic",_xlpm.n)),ISNUMBER(SEARCH("polarizer",_xlpm.n))),"precision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"),E223&amp;" is "&amp;_xlpm.art&amp;_xlpm.t&amp;" from "&amp;C223&amp;" designed for application-specific laboratory, engineering or industrial use. It belongs to DIWAN's "&amp;B223&amp;" portfolio; final configuration must be selected against performance, integration and compliance requirements.")</f>
        <v>Universal 8Nms Flywheel (Star W Standard)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3" s="54" t="str">
        <f t="shared" si="51"/>
        <v>Selection should confirm the model-specific operating range, capacity, accuracy, interfaces, utilities, accessories, standards, environmental limits and service requirements. Final capabilities depend on the approved Universal 8Nms Flywheel (Star W Standard) configuration.</v>
      </c>
      <c r="Q223" s="54"/>
      <c r="R223" s="54" t="str">
        <f t="shared" si="52"/>
        <v>Spaceborne Inertial Sensors applications; laboratory research, engineering development, quality control and industrial deployment where applicable. Suitability must be confirmed against the user's sample, process, environment and required standards.</v>
      </c>
      <c r="S223" s="54"/>
      <c r="T223" s="54" t="str">
        <f t="shared" si="53"/>
        <v>Universal 8Nms Flywheel (Star W Standard) from All-Rays Satellite Technology</v>
      </c>
      <c r="U223" s="54"/>
      <c r="V223" s="54" t="s">
        <v>2673</v>
      </c>
      <c r="W223" s="54" t="str">
        <f t="shared" si="54"/>
        <v>See other Spaceborne Inertial Sensors products</v>
      </c>
      <c r="X223" s="54" t="str">
        <f t="shared" si="55"/>
        <v>Spaceborne Inertial Sensors enquiry → website group enquiry form → category owner assignment</v>
      </c>
      <c r="Y223" s="54" t="str">
        <f t="shared" si="56"/>
        <v>Universal 8Nms Flywheel (Star W Standard), Spaceborne Inertial Sensors, All-Rays Satellite Technology, technical equipment, DIWAN</v>
      </c>
      <c r="Z223" s="54" t="s">
        <v>2267</v>
      </c>
      <c r="AA223" s="55">
        <v>46257</v>
      </c>
      <c r="AB223" s="54" t="s">
        <v>2465</v>
      </c>
      <c r="AC223" s="63" t="str">
        <f t="shared" si="57"/>
        <v>Content drafted - assets/specs pending</v>
      </c>
      <c r="AD223" s="54" t="str">
        <f t="shared" si="58"/>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3" s="58"/>
      <c r="AF223" s="58"/>
      <c r="AG223" s="58" t="s">
        <v>2467</v>
      </c>
      <c r="AH223" s="58" t="s">
        <v>2468</v>
      </c>
      <c r="AI223" s="58" t="s">
        <v>2469</v>
      </c>
    </row>
    <row r="224" spans="1:35" ht="42" customHeight="1" x14ac:dyDescent="0.35">
      <c r="A224" s="69">
        <f t="shared" si="59"/>
        <v>48</v>
      </c>
      <c r="B224" s="70" t="s">
        <v>256</v>
      </c>
      <c r="C224" s="71" t="s">
        <v>13</v>
      </c>
      <c r="D224" s="72" t="s">
        <v>12</v>
      </c>
      <c r="E224" s="45" t="s">
        <v>273</v>
      </c>
      <c r="F224" s="49" t="s">
        <v>3010</v>
      </c>
      <c r="G224" s="45" t="s">
        <v>3045</v>
      </c>
      <c r="H224" s="47">
        <v>46257</v>
      </c>
      <c r="I224" s="48" t="s">
        <v>1733</v>
      </c>
      <c r="J224" s="48" t="s">
        <v>1021</v>
      </c>
      <c r="K224" s="48" t="str">
        <f t="shared" ref="K224:K287" si="60">E224&amp;" is "&amp;IF(ISNUMBER(SEARCH(LEFT(LOWER(B224),1),"aeiou")),"an ","a ")&amp;LOWER(B224)&amp;" product from "&amp;C224&amp;" for application-specific laboratory, engineering or industrial use."</f>
        <v>Universal 260 Reaction Flywheel is a spaceborne inertial sensors product from All-Rays Satellite Technology for application-specific laboratory, engineering or industrial use.</v>
      </c>
      <c r="L224" s="48" t="str">
        <f t="shared" ref="L224:L287" si="61">E224&amp;" from "&amp;C224&amp;" for "&amp;LOWER(B224)&amp;" applications. Review configuration requirements and request technical information or a quotation from DIWAN."</f>
        <v>Universal 260 Reaction Flywheel from All-Rays Satellite Technology for spaceborne inertial sensors applications. Review configuration requirements and request technical information or a quotation from DIWAN.</v>
      </c>
      <c r="M224" s="48" t="s">
        <v>2020</v>
      </c>
      <c r="N224" s="61" t="s">
        <v>2672</v>
      </c>
      <c r="O224" s="54" t="str" cm="1">
        <f t="array" ref="O224">_xlfn.LET(_xlpm.n,LOWER(E224),_xlpm.c,LOWER(B224),_xlpm.t,_xlfn.IFS(OR(ISNUMBER(SEARCH("lens",_xlpm.n)),ISNUMBER(SEARCH("optic",_xlpm.n)),ISNUMBER(SEARCH("polarizer",_xlpm.n))),"precision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"),E224&amp;" is "&amp;_xlpm.art&amp;_xlpm.t&amp;" from "&amp;C224&amp;" designed for application-specific laboratory, engineering or industrial use. It belongs to DIWAN's "&amp;B224&amp;" portfolio; final configuration must be selected against performance, integration and compliance requirements.")</f>
        <v>Universal 260 Reaction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4" s="54" t="str">
        <f t="shared" ref="P224:P287" si="62">"Selection should confirm the model-specific operating range, capacity, accuracy, interfaces, utilities, accessories, standards, environmental limits and service requirements. Final capabilities depend on the approved "&amp;E224&amp;" configuration."</f>
        <v>Selection should confirm the model-specific operating range, capacity, accuracy, interfaces, utilities, accessories, standards, environmental limits and service requirements. Final capabilities depend on the approved Universal 260 Reaction Flywheel configuration.</v>
      </c>
      <c r="Q224" s="54"/>
      <c r="R224" s="54" t="str">
        <f t="shared" ref="R224:R287" si="63">B224&amp;" applications; laboratory research, engineering development, quality control and industrial deployment where applicable. Suitability must be confirmed against the user's sample, process, environment and required standards."</f>
        <v>Spaceborne Inertial Sensors applications; laboratory research, engineering development, quality control and industrial deployment where applicable. Suitability must be confirmed against the user's sample, process, environment and required standards.</v>
      </c>
      <c r="S224" s="54"/>
      <c r="T224" s="54" t="str">
        <f t="shared" ref="T224:T287" si="64">E224&amp;" from "&amp;C224</f>
        <v>Universal 260 Reaction Flywheel from All-Rays Satellite Technology</v>
      </c>
      <c r="U224" s="54"/>
      <c r="V224" s="54" t="s">
        <v>2673</v>
      </c>
      <c r="W224" s="54" t="str">
        <f t="shared" ref="W224:W287" si="65">"See other "&amp;B224&amp;" products"</f>
        <v>See other Spaceborne Inertial Sensors products</v>
      </c>
      <c r="X224" s="54" t="str">
        <f t="shared" ref="X224:X287" si="66">B224&amp;" enquiry → website group enquiry form → category owner assignment"</f>
        <v>Spaceborne Inertial Sensors enquiry → website group enquiry form → category owner assignment</v>
      </c>
      <c r="Y224" s="54" t="str">
        <f t="shared" ref="Y224:Y287" si="67">E224&amp;", "&amp;B224&amp;", "&amp;C224&amp;", technical equipment, DIWAN"</f>
        <v>Universal 260 Reaction Flywheel, Spaceborne Inertial Sensors, All-Rays Satellite Technology, technical equipment, DIWAN</v>
      </c>
      <c r="Z224" s="54" t="s">
        <v>2267</v>
      </c>
      <c r="AA224" s="55">
        <v>46257</v>
      </c>
      <c r="AB224" s="54" t="s">
        <v>2465</v>
      </c>
      <c r="AC224" s="63" t="str">
        <f t="shared" ref="AC224:AC287" si="68">IF(AND(O224&lt;&gt;"",P224&lt;&gt;"",R224&lt;&gt;"",T224&lt;&gt;"",X224&lt;&gt;"",Y224&lt;&gt;"",Z224&lt;&gt;"",AA224&lt;&gt;"",AB224&lt;&gt;""),IF(AND(Q224&lt;&gt;"",S224&lt;&gt;"",U224&lt;&gt;""),"Ready for approval","Content drafted - assets/specs pending"),IF(COUNTA(O224:AB224)=0,"Not started","In progress"))</f>
        <v>Content drafted - assets/specs pending</v>
      </c>
      <c r="AD224" s="54" t="str">
        <f t="shared" ref="AD224:AD287" si="69">"Baseline definition created from the official catalog name, partner and category classification ("&amp;G224&amp;").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4" s="58"/>
      <c r="AF224" s="58"/>
      <c r="AG224" s="58" t="s">
        <v>2467</v>
      </c>
      <c r="AH224" s="58" t="s">
        <v>2468</v>
      </c>
      <c r="AI224" s="58" t="s">
        <v>2469</v>
      </c>
    </row>
    <row r="225" spans="1:35" ht="42" customHeight="1" x14ac:dyDescent="0.35">
      <c r="A225" s="69">
        <f t="shared" si="59"/>
        <v>48</v>
      </c>
      <c r="B225" s="70" t="s">
        <v>256</v>
      </c>
      <c r="C225" s="71" t="s">
        <v>13</v>
      </c>
      <c r="D225" s="72" t="s">
        <v>12</v>
      </c>
      <c r="E225" s="45" t="s">
        <v>274</v>
      </c>
      <c r="F225" s="49" t="s">
        <v>3010</v>
      </c>
      <c r="G225" s="45" t="s">
        <v>3045</v>
      </c>
      <c r="H225" s="47">
        <v>46257</v>
      </c>
      <c r="I225" s="48" t="s">
        <v>1734</v>
      </c>
      <c r="J225" s="48" t="s">
        <v>1022</v>
      </c>
      <c r="K225" s="48" t="str">
        <f t="shared" si="60"/>
        <v>Universal 350 Reaction Flywheel is a spaceborne inertial sensors product from All-Rays Satellite Technology for application-specific laboratory, engineering or industrial use.</v>
      </c>
      <c r="L225" s="48" t="str">
        <f t="shared" si="61"/>
        <v>Universal 350 Reaction Flywheel from All-Rays Satellite Technology for spaceborne inertial sensors applications. Review configuration requirements and request technical information or a quotation from DIWAN.</v>
      </c>
      <c r="M225" s="48" t="s">
        <v>2020</v>
      </c>
      <c r="N225" s="61" t="s">
        <v>2672</v>
      </c>
      <c r="O225" s="54" t="str" cm="1">
        <f t="array" ref="O225">_xlfn.LET(_xlpm.n,LOWER(E225),_xlpm.c,LOWER(B225),_xlpm.t,_xlfn.IFS(OR(ISNUMBER(SEARCH("lens",_xlpm.n)),ISNUMBER(SEARCH("optic",_xlpm.n)),ISNUMBER(SEARCH("polarizer",_xlpm.n))),"precision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"),E225&amp;" is "&amp;_xlpm.art&amp;_xlpm.t&amp;" from "&amp;C225&amp;" designed for application-specific laboratory, engineering or industrial use. It belongs to DIWAN's "&amp;B225&amp;" portfolio; final configuration must be selected against performance, integration and compliance requirements.")</f>
        <v>Universal 350 Reaction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5" s="54" t="str">
        <f t="shared" si="62"/>
        <v>Selection should confirm the model-specific operating range, capacity, accuracy, interfaces, utilities, accessories, standards, environmental limits and service requirements. Final capabilities depend on the approved Universal 350 Reaction Flywheel configuration.</v>
      </c>
      <c r="Q225" s="54"/>
      <c r="R225" s="54" t="str">
        <f t="shared" si="63"/>
        <v>Spaceborne Inertial Sensors applications; laboratory research, engineering development, quality control and industrial deployment where applicable. Suitability must be confirmed against the user's sample, process, environment and required standards.</v>
      </c>
      <c r="S225" s="54"/>
      <c r="T225" s="54" t="str">
        <f t="shared" si="64"/>
        <v>Universal 350 Reaction Flywheel from All-Rays Satellite Technology</v>
      </c>
      <c r="U225" s="54"/>
      <c r="V225" s="54" t="s">
        <v>2673</v>
      </c>
      <c r="W225" s="54" t="str">
        <f t="shared" si="65"/>
        <v>See other Spaceborne Inertial Sensors products</v>
      </c>
      <c r="X225" s="54" t="str">
        <f t="shared" si="66"/>
        <v>Spaceborne Inertial Sensors enquiry → website group enquiry form → category owner assignment</v>
      </c>
      <c r="Y225" s="54" t="str">
        <f t="shared" si="67"/>
        <v>Universal 350 Reaction Flywheel, Spaceborne Inertial Sensors, All-Rays Satellite Technology, technical equipment, DIWAN</v>
      </c>
      <c r="Z225" s="54" t="s">
        <v>2267</v>
      </c>
      <c r="AA225" s="55">
        <v>46257</v>
      </c>
      <c r="AB225" s="54" t="s">
        <v>2465</v>
      </c>
      <c r="AC225" s="63" t="str">
        <f t="shared" si="68"/>
        <v>Content drafted - assets/specs pending</v>
      </c>
      <c r="AD225"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5" s="58"/>
      <c r="AF225" s="58"/>
      <c r="AG225" s="58" t="s">
        <v>2467</v>
      </c>
      <c r="AH225" s="58" t="s">
        <v>2468</v>
      </c>
      <c r="AI225" s="58" t="s">
        <v>2469</v>
      </c>
    </row>
    <row r="226" spans="1:35" ht="42" customHeight="1" x14ac:dyDescent="0.35">
      <c r="A226" s="69">
        <f t="shared" si="59"/>
        <v>48</v>
      </c>
      <c r="B226" s="70" t="s">
        <v>256</v>
      </c>
      <c r="C226" s="71" t="s">
        <v>13</v>
      </c>
      <c r="D226" s="72" t="s">
        <v>12</v>
      </c>
      <c r="E226" s="45" t="s">
        <v>275</v>
      </c>
      <c r="F226" s="49" t="s">
        <v>3010</v>
      </c>
      <c r="G226" s="45" t="s">
        <v>3045</v>
      </c>
      <c r="H226" s="47">
        <v>46257</v>
      </c>
      <c r="I226" s="48" t="s">
        <v>1735</v>
      </c>
      <c r="J226" s="48" t="s">
        <v>1023</v>
      </c>
      <c r="K226" s="48" t="str">
        <f t="shared" si="60"/>
        <v>1Nm Strong Torque Reaction Flywheel is a spaceborne inertial sensors product from All-Rays Satellite Technology for application-specific laboratory, engineering or industrial use.</v>
      </c>
      <c r="L226" s="48" t="str">
        <f t="shared" si="61"/>
        <v>1Nm Strong Torque Reaction Flywheel from All-Rays Satellite Technology for spaceborne inertial sensors applications. Review configuration requirements and request technical information or a quotation from DIWAN.</v>
      </c>
      <c r="M226" s="48" t="s">
        <v>2020</v>
      </c>
      <c r="N226" s="61" t="s">
        <v>2672</v>
      </c>
      <c r="O226" s="54" t="str" cm="1">
        <f t="array" ref="O226">_xlfn.LET(_xlpm.n,LOWER(E226),_xlpm.c,LOWER(B226),_xlpm.t,_xlfn.IFS(OR(ISNUMBER(SEARCH("lens",_xlpm.n)),ISNUMBER(SEARCH("optic",_xlpm.n)),ISNUMBER(SEARCH("polarizer",_xlpm.n))),"precision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"),E226&amp;" is "&amp;_xlpm.art&amp;_xlpm.t&amp;" from "&amp;C226&amp;" designed for application-specific laboratory, engineering or industrial use. It belongs to DIWAN's "&amp;B226&amp;" portfolio; final configuration must be selected against performance, integration and compliance requirements.")</f>
        <v>1Nm Strong Torque Reaction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6" s="54" t="str">
        <f t="shared" si="62"/>
        <v>Selection should confirm the model-specific operating range, capacity, accuracy, interfaces, utilities, accessories, standards, environmental limits and service requirements. Final capabilities depend on the approved 1Nm Strong Torque Reaction Flywheel configuration.</v>
      </c>
      <c r="Q226" s="54"/>
      <c r="R226" s="54" t="str">
        <f t="shared" si="63"/>
        <v>Spaceborne Inertial Sensors applications; laboratory research, engineering development, quality control and industrial deployment where applicable. Suitability must be confirmed against the user's sample, process, environment and required standards.</v>
      </c>
      <c r="S226" s="54"/>
      <c r="T226" s="54" t="str">
        <f t="shared" si="64"/>
        <v>1Nm Strong Torque Reaction Flywheel from All-Rays Satellite Technology</v>
      </c>
      <c r="U226" s="54"/>
      <c r="V226" s="54" t="s">
        <v>2673</v>
      </c>
      <c r="W226" s="54" t="str">
        <f t="shared" si="65"/>
        <v>See other Spaceborne Inertial Sensors products</v>
      </c>
      <c r="X226" s="54" t="str">
        <f t="shared" si="66"/>
        <v>Spaceborne Inertial Sensors enquiry → website group enquiry form → category owner assignment</v>
      </c>
      <c r="Y226" s="54" t="str">
        <f t="shared" si="67"/>
        <v>1Nm Strong Torque Reaction Flywheel, Spaceborne Inertial Sensors, All-Rays Satellite Technology, technical equipment, DIWAN</v>
      </c>
      <c r="Z226" s="54" t="s">
        <v>2267</v>
      </c>
      <c r="AA226" s="55">
        <v>46257</v>
      </c>
      <c r="AB226" s="54" t="s">
        <v>2465</v>
      </c>
      <c r="AC226" s="63" t="str">
        <f t="shared" si="68"/>
        <v>Content drafted - assets/specs pending</v>
      </c>
      <c r="AD22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6" s="58"/>
      <c r="AF226" s="58"/>
      <c r="AG226" s="58" t="s">
        <v>2467</v>
      </c>
      <c r="AH226" s="58" t="s">
        <v>2468</v>
      </c>
      <c r="AI226" s="58" t="s">
        <v>2469</v>
      </c>
    </row>
    <row r="227" spans="1:35" ht="42" customHeight="1" x14ac:dyDescent="0.35">
      <c r="A227" s="69">
        <f t="shared" si="59"/>
        <v>48</v>
      </c>
      <c r="B227" s="70" t="s">
        <v>256</v>
      </c>
      <c r="C227" s="71" t="s">
        <v>13</v>
      </c>
      <c r="D227" s="72" t="s">
        <v>12</v>
      </c>
      <c r="E227" s="45" t="s">
        <v>276</v>
      </c>
      <c r="F227" s="49" t="s">
        <v>3010</v>
      </c>
      <c r="G227" s="45" t="s">
        <v>3045</v>
      </c>
      <c r="H227" s="47">
        <v>46257</v>
      </c>
      <c r="I227" s="48" t="s">
        <v>1736</v>
      </c>
      <c r="J227" s="48" t="s">
        <v>1024</v>
      </c>
      <c r="K227" s="48" t="str">
        <f t="shared" si="60"/>
        <v>12-25Nms Momentum Wheel (Analog Quantity) is a spaceborne inertial sensors product from All-Rays Satellite Technology for application-specific laboratory, engineering or industrial use.</v>
      </c>
      <c r="L227" s="48" t="str">
        <f t="shared" si="61"/>
        <v>12-25Nms Momentum Wheel (Analog Quantity) from All-Rays Satellite Technology for spaceborne inertial sensors applications. Review configuration requirements and request technical information or a quotation from DIWAN.</v>
      </c>
      <c r="M227" s="48" t="s">
        <v>2020</v>
      </c>
      <c r="N227" s="61" t="s">
        <v>2672</v>
      </c>
      <c r="O227" s="54" t="str" cm="1">
        <f t="array" ref="O227">_xlfn.LET(_xlpm.n,LOWER(E227),_xlpm.c,LOWER(B227),_xlpm.t,_xlfn.IFS(OR(ISNUMBER(SEARCH("lens",_xlpm.n)),ISNUMBER(SEARCH("optic",_xlpm.n)),ISNUMBER(SEARCH("polarizer",_xlpm.n))),"precision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"),E227&amp;" is "&amp;_xlpm.art&amp;_xlpm.t&amp;" from "&amp;C227&amp;" designed for application-specific laboratory, engineering or industrial use. It belongs to DIWAN's "&amp;B227&amp;" portfolio; final configuration must be selected against performance, integration and compliance requirements.")</f>
        <v>12-25Nms Momentum Wheel (Analog Quantity)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7" s="54" t="str">
        <f t="shared" si="62"/>
        <v>Selection should confirm the model-specific operating range, capacity, accuracy, interfaces, utilities, accessories, standards, environmental limits and service requirements. Final capabilities depend on the approved 12-25Nms Momentum Wheel (Analog Quantity) configuration.</v>
      </c>
      <c r="Q227" s="54"/>
      <c r="R227" s="54" t="str">
        <f t="shared" si="63"/>
        <v>Spaceborne Inertial Sensors applications; laboratory research, engineering development, quality control and industrial deployment where applicable. Suitability must be confirmed against the user's sample, process, environment and required standards.</v>
      </c>
      <c r="S227" s="54"/>
      <c r="T227" s="54" t="str">
        <f t="shared" si="64"/>
        <v>12-25Nms Momentum Wheel (Analog Quantity) from All-Rays Satellite Technology</v>
      </c>
      <c r="U227" s="54"/>
      <c r="V227" s="54" t="s">
        <v>2673</v>
      </c>
      <c r="W227" s="54" t="str">
        <f t="shared" si="65"/>
        <v>See other Spaceborne Inertial Sensors products</v>
      </c>
      <c r="X227" s="54" t="str">
        <f t="shared" si="66"/>
        <v>Spaceborne Inertial Sensors enquiry → website group enquiry form → category owner assignment</v>
      </c>
      <c r="Y227" s="54" t="str">
        <f t="shared" si="67"/>
        <v>12-25Nms Momentum Wheel (Analog Quantity), Spaceborne Inertial Sensors, All-Rays Satellite Technology, technical equipment, DIWAN</v>
      </c>
      <c r="Z227" s="54" t="s">
        <v>2267</v>
      </c>
      <c r="AA227" s="55">
        <v>46257</v>
      </c>
      <c r="AB227" s="54" t="s">
        <v>2465</v>
      </c>
      <c r="AC227" s="63" t="str">
        <f t="shared" si="68"/>
        <v>Content drafted - assets/specs pending</v>
      </c>
      <c r="AD227"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7" s="58"/>
      <c r="AF227" s="58"/>
      <c r="AG227" s="58" t="s">
        <v>2467</v>
      </c>
      <c r="AH227" s="58" t="s">
        <v>2468</v>
      </c>
      <c r="AI227" s="58" t="s">
        <v>2469</v>
      </c>
    </row>
    <row r="228" spans="1:35" ht="42" customHeight="1" x14ac:dyDescent="0.35">
      <c r="A228" s="69">
        <f t="shared" si="59"/>
        <v>48</v>
      </c>
      <c r="B228" s="70" t="s">
        <v>256</v>
      </c>
      <c r="C228" s="71" t="s">
        <v>13</v>
      </c>
      <c r="D228" s="72" t="s">
        <v>12</v>
      </c>
      <c r="E228" s="45" t="s">
        <v>277</v>
      </c>
      <c r="F228" s="49" t="s">
        <v>3010</v>
      </c>
      <c r="G228" s="45" t="s">
        <v>3045</v>
      </c>
      <c r="H228" s="47">
        <v>46257</v>
      </c>
      <c r="I228" s="48" t="s">
        <v>1737</v>
      </c>
      <c r="J228" s="48" t="s">
        <v>1025</v>
      </c>
      <c r="K228" s="48" t="str">
        <f t="shared" si="60"/>
        <v>50-68Nms Momentum Wheel (Analog Quantity) is a spaceborne inertial sensors product from All-Rays Satellite Technology for application-specific laboratory, engineering or industrial use.</v>
      </c>
      <c r="L228" s="48" t="str">
        <f t="shared" si="61"/>
        <v>50-68Nms Momentum Wheel (Analog Quantity) from All-Rays Satellite Technology for spaceborne inertial sensors applications. Review configuration requirements and request technical information or a quotation from DIWAN.</v>
      </c>
      <c r="M228" s="48" t="s">
        <v>2020</v>
      </c>
      <c r="N228" s="61" t="s">
        <v>2672</v>
      </c>
      <c r="O228" s="54" t="str" cm="1">
        <f t="array" ref="O228">_xlfn.LET(_xlpm.n,LOWER(E228),_xlpm.c,LOWER(B228),_xlpm.t,_xlfn.IFS(OR(ISNUMBER(SEARCH("lens",_xlpm.n)),ISNUMBER(SEARCH("optic",_xlpm.n)),ISNUMBER(SEARCH("polarizer",_xlpm.n))),"precision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"),E228&amp;" is "&amp;_xlpm.art&amp;_xlpm.t&amp;" from "&amp;C228&amp;" designed for application-specific laboratory, engineering or industrial use. It belongs to DIWAN's "&amp;B228&amp;" portfolio; final configuration must be selected against performance, integration and compliance requirements.")</f>
        <v>50-68Nms Momentum Wheel (Analog Quantity)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8" s="54" t="str">
        <f t="shared" si="62"/>
        <v>Selection should confirm the model-specific operating range, capacity, accuracy, interfaces, utilities, accessories, standards, environmental limits and service requirements. Final capabilities depend on the approved 50-68Nms Momentum Wheel (Analog Quantity) configuration.</v>
      </c>
      <c r="Q228" s="54"/>
      <c r="R228" s="54" t="str">
        <f t="shared" si="63"/>
        <v>Spaceborne Inertial Sensors applications; laboratory research, engineering development, quality control and industrial deployment where applicable. Suitability must be confirmed against the user's sample, process, environment and required standards.</v>
      </c>
      <c r="S228" s="54"/>
      <c r="T228" s="54" t="str">
        <f t="shared" si="64"/>
        <v>50-68Nms Momentum Wheel (Analog Quantity) from All-Rays Satellite Technology</v>
      </c>
      <c r="U228" s="54"/>
      <c r="V228" s="54" t="s">
        <v>2673</v>
      </c>
      <c r="W228" s="54" t="str">
        <f t="shared" si="65"/>
        <v>See other Spaceborne Inertial Sensors products</v>
      </c>
      <c r="X228" s="54" t="str">
        <f t="shared" si="66"/>
        <v>Spaceborne Inertial Sensors enquiry → website group enquiry form → category owner assignment</v>
      </c>
      <c r="Y228" s="54" t="str">
        <f t="shared" si="67"/>
        <v>50-68Nms Momentum Wheel (Analog Quantity), Spaceborne Inertial Sensors, All-Rays Satellite Technology, technical equipment, DIWAN</v>
      </c>
      <c r="Z228" s="54" t="s">
        <v>2267</v>
      </c>
      <c r="AA228" s="55">
        <v>46257</v>
      </c>
      <c r="AB228" s="54" t="s">
        <v>2465</v>
      </c>
      <c r="AC228" s="63" t="str">
        <f t="shared" si="68"/>
        <v>Content drafted - assets/specs pending</v>
      </c>
      <c r="AD228"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8" s="58"/>
      <c r="AF228" s="58"/>
      <c r="AG228" s="58" t="s">
        <v>2467</v>
      </c>
      <c r="AH228" s="58" t="s">
        <v>2468</v>
      </c>
      <c r="AI228" s="58" t="s">
        <v>2469</v>
      </c>
    </row>
    <row r="229" spans="1:35" ht="42" customHeight="1" x14ac:dyDescent="0.35">
      <c r="A229" s="69">
        <f t="shared" si="59"/>
        <v>48</v>
      </c>
      <c r="B229" s="70" t="s">
        <v>256</v>
      </c>
      <c r="C229" s="71" t="s">
        <v>13</v>
      </c>
      <c r="D229" s="72" t="s">
        <v>12</v>
      </c>
      <c r="E229" s="45" t="s">
        <v>278</v>
      </c>
      <c r="F229" s="49" t="s">
        <v>3010</v>
      </c>
      <c r="G229" s="45" t="s">
        <v>3045</v>
      </c>
      <c r="H229" s="47">
        <v>46257</v>
      </c>
      <c r="I229" s="48" t="s">
        <v>1738</v>
      </c>
      <c r="J229" s="48" t="s">
        <v>1026</v>
      </c>
      <c r="K229" s="48" t="str">
        <f t="shared" si="60"/>
        <v>20Nms Dual-Mode Flywheel is a spaceborne inertial sensors product from All-Rays Satellite Technology for application-specific laboratory, engineering or industrial use.</v>
      </c>
      <c r="L229" s="48" t="str">
        <f t="shared" si="61"/>
        <v>20Nms Dual-Mode Flywheel from All-Rays Satellite Technology for spaceborne inertial sensors applications. Review configuration requirements and request technical information or a quotation from DIWAN.</v>
      </c>
      <c r="M229" s="48" t="s">
        <v>2020</v>
      </c>
      <c r="N229" s="61" t="s">
        <v>2672</v>
      </c>
      <c r="O229" s="54" t="str" cm="1">
        <f t="array" ref="O229">_xlfn.LET(_xlpm.n,LOWER(E229),_xlpm.c,LOWER(B229),_xlpm.t,_xlfn.IFS(OR(ISNUMBER(SEARCH("lens",_xlpm.n)),ISNUMBER(SEARCH("optic",_xlpm.n)),ISNUMBER(SEARCH("polarizer",_xlpm.n))),"precision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"),E229&amp;" is "&amp;_xlpm.art&amp;_xlpm.t&amp;" from "&amp;C229&amp;" designed for application-specific laboratory, engineering or industrial use. It belongs to DIWAN's "&amp;B229&amp;" portfolio; final configuration must be selected against performance, integration and compliance requirements.")</f>
        <v>20Nms Dual-Mode Flywheel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29" s="54" t="str">
        <f t="shared" si="62"/>
        <v>Selection should confirm the model-specific operating range, capacity, accuracy, interfaces, utilities, accessories, standards, environmental limits and service requirements. Final capabilities depend on the approved 20Nms Dual-Mode Flywheel configuration.</v>
      </c>
      <c r="Q229" s="54"/>
      <c r="R229" s="54" t="str">
        <f t="shared" si="63"/>
        <v>Spaceborne Inertial Sensors applications; laboratory research, engineering development, quality control and industrial deployment where applicable. Suitability must be confirmed against the user's sample, process, environment and required standards.</v>
      </c>
      <c r="S229" s="54"/>
      <c r="T229" s="54" t="str">
        <f t="shared" si="64"/>
        <v>20Nms Dual-Mode Flywheel from All-Rays Satellite Technology</v>
      </c>
      <c r="U229" s="54"/>
      <c r="V229" s="54" t="s">
        <v>2673</v>
      </c>
      <c r="W229" s="54" t="str">
        <f t="shared" si="65"/>
        <v>See other Spaceborne Inertial Sensors products</v>
      </c>
      <c r="X229" s="54" t="str">
        <f t="shared" si="66"/>
        <v>Spaceborne Inertial Sensors enquiry → website group enquiry form → category owner assignment</v>
      </c>
      <c r="Y229" s="54" t="str">
        <f t="shared" si="67"/>
        <v>20Nms Dual-Mode Flywheel, Spaceborne Inertial Sensors, All-Rays Satellite Technology, technical equipment, DIWAN</v>
      </c>
      <c r="Z229" s="54" t="s">
        <v>2267</v>
      </c>
      <c r="AA229" s="55">
        <v>46257</v>
      </c>
      <c r="AB229" s="54" t="s">
        <v>2465</v>
      </c>
      <c r="AC229" s="63" t="str">
        <f t="shared" si="68"/>
        <v>Content drafted - assets/specs pending</v>
      </c>
      <c r="AD229"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29" s="58"/>
      <c r="AF229" s="58"/>
      <c r="AG229" s="58" t="s">
        <v>2467</v>
      </c>
      <c r="AH229" s="58" t="s">
        <v>2468</v>
      </c>
      <c r="AI229" s="58" t="s">
        <v>2469</v>
      </c>
    </row>
    <row r="230" spans="1:35" ht="42" customHeight="1" x14ac:dyDescent="0.35">
      <c r="A230" s="69">
        <f t="shared" si="59"/>
        <v>48</v>
      </c>
      <c r="B230" s="70" t="s">
        <v>256</v>
      </c>
      <c r="C230" s="71" t="s">
        <v>13</v>
      </c>
      <c r="D230" s="72" t="s">
        <v>12</v>
      </c>
      <c r="E230" s="45" t="s">
        <v>279</v>
      </c>
      <c r="F230" s="49" t="s">
        <v>3010</v>
      </c>
      <c r="G230" s="45" t="s">
        <v>3045</v>
      </c>
      <c r="H230" s="47">
        <v>46257</v>
      </c>
      <c r="I230" s="48" t="s">
        <v>1739</v>
      </c>
      <c r="J230" s="48" t="s">
        <v>1027</v>
      </c>
      <c r="K230" s="48" t="str">
        <f t="shared" si="60"/>
        <v>2.5Nms Single-Frame Control Moment Gyroscope is a spaceborne inertial sensors product from All-Rays Satellite Technology for application-specific laboratory, engineering or industrial use.</v>
      </c>
      <c r="L230" s="48" t="str">
        <f t="shared" si="61"/>
        <v>2.5Nms Single-Frame Control Moment Gyroscope from All-Rays Satellite Technology for spaceborne inertial sensors applications. Review configuration requirements and request technical information or a quotation from DIWAN.</v>
      </c>
      <c r="M230" s="48" t="s">
        <v>2020</v>
      </c>
      <c r="N230" s="61" t="s">
        <v>2672</v>
      </c>
      <c r="O230" s="54" t="str" cm="1">
        <f t="array" ref="O230">_xlfn.LET(_xlpm.n,LOWER(E230),_xlpm.c,LOWER(B230),_xlpm.t,_xlfn.IFS(OR(ISNUMBER(SEARCH("lens",_xlpm.n)),ISNUMBER(SEARCH("optic",_xlpm.n)),ISNUMBER(SEARCH("polarizer",_xlpm.n))),"precision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"),E230&amp;" is "&amp;_xlpm.art&amp;_xlpm.t&amp;" from "&amp;C230&amp;" designed for application-specific laboratory, engineering or industrial use. It belongs to DIWAN's "&amp;B230&amp;" portfolio; final configuration must be selected against performance, integration and compliance requirements.")</f>
        <v>2.5Nms Single-Frame Control Moment Gyroscope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0" s="54" t="str">
        <f t="shared" si="62"/>
        <v>Selection should confirm the model-specific operating range, capacity, accuracy, interfaces, utilities, accessories, standards, environmental limits and service requirements. Final capabilities depend on the approved 2.5Nms Single-Frame Control Moment Gyroscope configuration.</v>
      </c>
      <c r="Q230" s="54"/>
      <c r="R230" s="54" t="str">
        <f t="shared" si="63"/>
        <v>Spaceborne Inertial Sensors applications; laboratory research, engineering development, quality control and industrial deployment where applicable. Suitability must be confirmed against the user's sample, process, environment and required standards.</v>
      </c>
      <c r="S230" s="54"/>
      <c r="T230" s="54" t="str">
        <f t="shared" si="64"/>
        <v>2.5Nms Single-Frame Control Moment Gyroscope from All-Rays Satellite Technology</v>
      </c>
      <c r="U230" s="54"/>
      <c r="V230" s="54" t="s">
        <v>2673</v>
      </c>
      <c r="W230" s="54" t="str">
        <f t="shared" si="65"/>
        <v>See other Spaceborne Inertial Sensors products</v>
      </c>
      <c r="X230" s="54" t="str">
        <f t="shared" si="66"/>
        <v>Spaceborne Inertial Sensors enquiry → website group enquiry form → category owner assignment</v>
      </c>
      <c r="Y230" s="54" t="str">
        <f t="shared" si="67"/>
        <v>2.5Nms Single-Frame Control Moment Gyroscope, Spaceborne Inertial Sensors, All-Rays Satellite Technology, technical equipment, DIWAN</v>
      </c>
      <c r="Z230" s="54" t="s">
        <v>2267</v>
      </c>
      <c r="AA230" s="55">
        <v>46257</v>
      </c>
      <c r="AB230" s="54" t="s">
        <v>2465</v>
      </c>
      <c r="AC230" s="63" t="str">
        <f t="shared" si="68"/>
        <v>Content drafted - assets/specs pending</v>
      </c>
      <c r="AD23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0" s="58"/>
      <c r="AF230" s="58"/>
      <c r="AG230" s="58" t="s">
        <v>2467</v>
      </c>
      <c r="AH230" s="58" t="s">
        <v>2468</v>
      </c>
      <c r="AI230" s="58" t="s">
        <v>2469</v>
      </c>
    </row>
    <row r="231" spans="1:35" ht="42" customHeight="1" x14ac:dyDescent="0.35">
      <c r="A231" s="69">
        <f t="shared" si="59"/>
        <v>48</v>
      </c>
      <c r="B231" s="70" t="s">
        <v>256</v>
      </c>
      <c r="C231" s="71" t="s">
        <v>13</v>
      </c>
      <c r="D231" s="72" t="s">
        <v>12</v>
      </c>
      <c r="E231" s="45" t="s">
        <v>280</v>
      </c>
      <c r="F231" s="49" t="s">
        <v>3010</v>
      </c>
      <c r="G231" s="45" t="s">
        <v>3045</v>
      </c>
      <c r="H231" s="47">
        <v>46257</v>
      </c>
      <c r="I231" s="48" t="s">
        <v>1740</v>
      </c>
      <c r="J231" s="48" t="s">
        <v>1028</v>
      </c>
      <c r="K231" s="48" t="str">
        <f t="shared" si="60"/>
        <v>10Nms Control Moment Gyroscope is a spaceborne inertial sensors product from All-Rays Satellite Technology for application-specific laboratory, engineering or industrial use.</v>
      </c>
      <c r="L231" s="48" t="str">
        <f t="shared" si="61"/>
        <v>10Nms Control Moment Gyroscope from All-Rays Satellite Technology for spaceborne inertial sensors applications. Review configuration requirements and request technical information or a quotation from DIWAN.</v>
      </c>
      <c r="M231" s="48" t="s">
        <v>2020</v>
      </c>
      <c r="N231" s="61" t="s">
        <v>2672</v>
      </c>
      <c r="O231" s="54" t="str" cm="1">
        <f t="array" ref="O231">_xlfn.LET(_xlpm.n,LOWER(E231),_xlpm.c,LOWER(B231),_xlpm.t,_xlfn.IFS(OR(ISNUMBER(SEARCH("lens",_xlpm.n)),ISNUMBER(SEARCH("optic",_xlpm.n)),ISNUMBER(SEARCH("polarizer",_xlpm.n))),"precision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"),E231&amp;" is "&amp;_xlpm.art&amp;_xlpm.t&amp;" from "&amp;C231&amp;" designed for application-specific laboratory, engineering or industrial use. It belongs to DIWAN's "&amp;B231&amp;" portfolio; final configuration must be selected against performance, integration and compliance requirements.")</f>
        <v>10Nms Control Moment Gyroscope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1" s="54" t="str">
        <f t="shared" si="62"/>
        <v>Selection should confirm the model-specific operating range, capacity, accuracy, interfaces, utilities, accessories, standards, environmental limits and service requirements. Final capabilities depend on the approved 10Nms Control Moment Gyroscope configuration.</v>
      </c>
      <c r="Q231" s="54"/>
      <c r="R231" s="54" t="str">
        <f t="shared" si="63"/>
        <v>Spaceborne Inertial Sensors applications; laboratory research, engineering development, quality control and industrial deployment where applicable. Suitability must be confirmed against the user's sample, process, environment and required standards.</v>
      </c>
      <c r="S231" s="54"/>
      <c r="T231" s="54" t="str">
        <f t="shared" si="64"/>
        <v>10Nms Control Moment Gyroscope from All-Rays Satellite Technology</v>
      </c>
      <c r="U231" s="54"/>
      <c r="V231" s="54" t="s">
        <v>2673</v>
      </c>
      <c r="W231" s="54" t="str">
        <f t="shared" si="65"/>
        <v>See other Spaceborne Inertial Sensors products</v>
      </c>
      <c r="X231" s="54" t="str">
        <f t="shared" si="66"/>
        <v>Spaceborne Inertial Sensors enquiry → website group enquiry form → category owner assignment</v>
      </c>
      <c r="Y231" s="54" t="str">
        <f t="shared" si="67"/>
        <v>10Nms Control Moment Gyroscope, Spaceborne Inertial Sensors, All-Rays Satellite Technology, technical equipment, DIWAN</v>
      </c>
      <c r="Z231" s="54" t="s">
        <v>2267</v>
      </c>
      <c r="AA231" s="55">
        <v>46257</v>
      </c>
      <c r="AB231" s="54" t="s">
        <v>2465</v>
      </c>
      <c r="AC231" s="63" t="str">
        <f t="shared" si="68"/>
        <v>Content drafted - assets/specs pending</v>
      </c>
      <c r="AD231"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1" s="58"/>
      <c r="AF231" s="58"/>
      <c r="AG231" s="58" t="s">
        <v>2467</v>
      </c>
      <c r="AH231" s="58" t="s">
        <v>2468</v>
      </c>
      <c r="AI231" s="58" t="s">
        <v>2469</v>
      </c>
    </row>
    <row r="232" spans="1:35" ht="42" customHeight="1" x14ac:dyDescent="0.35">
      <c r="A232" s="69">
        <f t="shared" si="59"/>
        <v>48</v>
      </c>
      <c r="B232" s="70" t="s">
        <v>256</v>
      </c>
      <c r="C232" s="71" t="s">
        <v>13</v>
      </c>
      <c r="D232" s="72" t="s">
        <v>12</v>
      </c>
      <c r="E232" s="45" t="s">
        <v>281</v>
      </c>
      <c r="F232" s="49" t="s">
        <v>3010</v>
      </c>
      <c r="G232" s="45" t="s">
        <v>3045</v>
      </c>
      <c r="H232" s="47">
        <v>46257</v>
      </c>
      <c r="I232" s="48" t="s">
        <v>1741</v>
      </c>
      <c r="J232" s="48" t="s">
        <v>1029</v>
      </c>
      <c r="K232" s="48" t="str">
        <f t="shared" si="60"/>
        <v>15Nms Single-Frame Control Moment Gyroscope is a spaceborne inertial sensors product from All-Rays Satellite Technology for application-specific laboratory, engineering or industrial use.</v>
      </c>
      <c r="L232" s="48" t="str">
        <f t="shared" si="61"/>
        <v>15Nms Single-Frame Control Moment Gyroscope from All-Rays Satellite Technology for spaceborne inertial sensors applications. Review configuration requirements and request technical information or a quotation from DIWAN.</v>
      </c>
      <c r="M232" s="48" t="s">
        <v>2020</v>
      </c>
      <c r="N232" s="61" t="s">
        <v>2672</v>
      </c>
      <c r="O232" s="54" t="str" cm="1">
        <f t="array" ref="O232">_xlfn.LET(_xlpm.n,LOWER(E232),_xlpm.c,LOWER(B232),_xlpm.t,_xlfn.IFS(OR(ISNUMBER(SEARCH("lens",_xlpm.n)),ISNUMBER(SEARCH("optic",_xlpm.n)),ISNUMBER(SEARCH("polarizer",_xlpm.n))),"precision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"),E232&amp;" is "&amp;_xlpm.art&amp;_xlpm.t&amp;" from "&amp;C232&amp;" designed for application-specific laboratory, engineering or industrial use. It belongs to DIWAN's "&amp;B232&amp;" portfolio; final configuration must be selected against performance, integration and compliance requirements.")</f>
        <v>15Nms Single-Frame Control Moment Gyroscope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2" s="54" t="str">
        <f t="shared" si="62"/>
        <v>Selection should confirm the model-specific operating range, capacity, accuracy, interfaces, utilities, accessories, standards, environmental limits and service requirements. Final capabilities depend on the approved 15Nms Single-Frame Control Moment Gyroscope configuration.</v>
      </c>
      <c r="Q232" s="54"/>
      <c r="R232" s="54" t="str">
        <f t="shared" si="63"/>
        <v>Spaceborne Inertial Sensors applications; laboratory research, engineering development, quality control and industrial deployment where applicable. Suitability must be confirmed against the user's sample, process, environment and required standards.</v>
      </c>
      <c r="S232" s="54"/>
      <c r="T232" s="54" t="str">
        <f t="shared" si="64"/>
        <v>15Nms Single-Frame Control Moment Gyroscope from All-Rays Satellite Technology</v>
      </c>
      <c r="U232" s="54"/>
      <c r="V232" s="54" t="s">
        <v>2673</v>
      </c>
      <c r="W232" s="54" t="str">
        <f t="shared" si="65"/>
        <v>See other Spaceborne Inertial Sensors products</v>
      </c>
      <c r="X232" s="54" t="str">
        <f t="shared" si="66"/>
        <v>Spaceborne Inertial Sensors enquiry → website group enquiry form → category owner assignment</v>
      </c>
      <c r="Y232" s="54" t="str">
        <f t="shared" si="67"/>
        <v>15Nms Single-Frame Control Moment Gyroscope, Spaceborne Inertial Sensors, All-Rays Satellite Technology, technical equipment, DIWAN</v>
      </c>
      <c r="Z232" s="54" t="s">
        <v>2267</v>
      </c>
      <c r="AA232" s="55">
        <v>46257</v>
      </c>
      <c r="AB232" s="54" t="s">
        <v>2465</v>
      </c>
      <c r="AC232" s="63" t="str">
        <f t="shared" si="68"/>
        <v>Content drafted - assets/specs pending</v>
      </c>
      <c r="AD23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2" s="58"/>
      <c r="AF232" s="58"/>
      <c r="AG232" s="58" t="s">
        <v>2467</v>
      </c>
      <c r="AH232" s="58" t="s">
        <v>2468</v>
      </c>
      <c r="AI232" s="58" t="s">
        <v>2469</v>
      </c>
    </row>
    <row r="233" spans="1:35" ht="42" customHeight="1" x14ac:dyDescent="0.35">
      <c r="A233" s="69">
        <f t="shared" si="59"/>
        <v>48</v>
      </c>
      <c r="B233" s="70" t="s">
        <v>256</v>
      </c>
      <c r="C233" s="71" t="s">
        <v>13</v>
      </c>
      <c r="D233" s="72" t="s">
        <v>12</v>
      </c>
      <c r="E233" s="45" t="s">
        <v>282</v>
      </c>
      <c r="F233" s="49" t="s">
        <v>3010</v>
      </c>
      <c r="G233" s="45" t="s">
        <v>3045</v>
      </c>
      <c r="H233" s="47">
        <v>46257</v>
      </c>
      <c r="I233" s="48" t="s">
        <v>1742</v>
      </c>
      <c r="J233" s="48" t="s">
        <v>1030</v>
      </c>
      <c r="K233" s="48" t="str">
        <f t="shared" si="60"/>
        <v>Triaxial Magnetometer is a spaceborne inertial sensors product from All-Rays Satellite Technology for application-specific laboratory, engineering or industrial use.</v>
      </c>
      <c r="L233" s="48" t="str">
        <f t="shared" si="61"/>
        <v>Triaxial Magnetometer from All-Rays Satellite Technology for spaceborne inertial sensors applications. Review configuration requirements and request technical information or a quotation from DIWAN.</v>
      </c>
      <c r="M233" s="48" t="s">
        <v>2020</v>
      </c>
      <c r="N233" s="61" t="s">
        <v>2672</v>
      </c>
      <c r="O233" s="54" t="str" cm="1">
        <f t="array" ref="O233">_xlfn.LET(_xlpm.n,LOWER(E233),_xlpm.c,LOWER(B233),_xlpm.t,_xlfn.IFS(OR(ISNUMBER(SEARCH("lens",_xlpm.n)),ISNUMBER(SEARCH("optic",_xlpm.n)),ISNUMBER(SEARCH("polarizer",_xlpm.n))),"precision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"),E233&amp;" is "&amp;_xlpm.art&amp;_xlpm.t&amp;" from "&amp;C233&amp;" designed for application-specific laboratory, engineering or industrial use. It belongs to DIWAN's "&amp;B233&amp;" portfolio; final configuration must be selected against performance, integration and compliance requirements.")</f>
        <v>Triaxial Magnetometer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3" s="54" t="str">
        <f t="shared" si="62"/>
        <v>Selection should confirm the model-specific operating range, capacity, accuracy, interfaces, utilities, accessories, standards, environmental limits and service requirements. Final capabilities depend on the approved Triaxial Magnetometer configuration.</v>
      </c>
      <c r="Q233" s="54"/>
      <c r="R233" s="54" t="str">
        <f t="shared" si="63"/>
        <v>Spaceborne Inertial Sensors applications; laboratory research, engineering development, quality control and industrial deployment where applicable. Suitability must be confirmed against the user's sample, process, environment and required standards.</v>
      </c>
      <c r="S233" s="54"/>
      <c r="T233" s="54" t="str">
        <f t="shared" si="64"/>
        <v>Triaxial Magnetometer from All-Rays Satellite Technology</v>
      </c>
      <c r="U233" s="54"/>
      <c r="V233" s="54" t="s">
        <v>2673</v>
      </c>
      <c r="W233" s="54" t="str">
        <f t="shared" si="65"/>
        <v>See other Spaceborne Inertial Sensors products</v>
      </c>
      <c r="X233" s="54" t="str">
        <f t="shared" si="66"/>
        <v>Spaceborne Inertial Sensors enquiry → website group enquiry form → category owner assignment</v>
      </c>
      <c r="Y233" s="54" t="str">
        <f t="shared" si="67"/>
        <v>Triaxial Magnetometer, Spaceborne Inertial Sensors, All-Rays Satellite Technology, technical equipment, DIWAN</v>
      </c>
      <c r="Z233" s="54" t="s">
        <v>2267</v>
      </c>
      <c r="AA233" s="55">
        <v>46257</v>
      </c>
      <c r="AB233" s="54" t="s">
        <v>2465</v>
      </c>
      <c r="AC233" s="63" t="str">
        <f t="shared" si="68"/>
        <v>Content drafted - assets/specs pending</v>
      </c>
      <c r="AD23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3" s="58"/>
      <c r="AF233" s="58"/>
      <c r="AG233" s="58" t="s">
        <v>2467</v>
      </c>
      <c r="AH233" s="58" t="s">
        <v>2468</v>
      </c>
      <c r="AI233" s="58" t="s">
        <v>2469</v>
      </c>
    </row>
    <row r="234" spans="1:35" ht="42" customHeight="1" x14ac:dyDescent="0.35">
      <c r="A234" s="69">
        <f t="shared" si="59"/>
        <v>48</v>
      </c>
      <c r="B234" s="70" t="s">
        <v>256</v>
      </c>
      <c r="C234" s="71" t="s">
        <v>13</v>
      </c>
      <c r="D234" s="72" t="s">
        <v>12</v>
      </c>
      <c r="E234" s="45" t="s">
        <v>283</v>
      </c>
      <c r="F234" s="49" t="s">
        <v>3010</v>
      </c>
      <c r="G234" s="45" t="s">
        <v>3045</v>
      </c>
      <c r="H234" s="47">
        <v>46257</v>
      </c>
      <c r="I234" s="48" t="s">
        <v>1743</v>
      </c>
      <c r="J234" s="48" t="s">
        <v>1031</v>
      </c>
      <c r="K234" s="48" t="str">
        <f t="shared" si="60"/>
        <v>Magnetic Torquer is a spaceborne inertial sensors product from All-Rays Satellite Technology for application-specific laboratory, engineering or industrial use.</v>
      </c>
      <c r="L234" s="48" t="str">
        <f t="shared" si="61"/>
        <v>Magnetic Torquer from All-Rays Satellite Technology for spaceborne inertial sensors applications. Review configuration requirements and request technical information or a quotation from DIWAN.</v>
      </c>
      <c r="M234" s="48" t="s">
        <v>2020</v>
      </c>
      <c r="N234" s="61" t="s">
        <v>2672</v>
      </c>
      <c r="O234" s="54" t="str" cm="1">
        <f t="array" ref="O234">_xlfn.LET(_xlpm.n,LOWER(E234),_xlpm.c,LOWER(B234),_xlpm.t,_xlfn.IFS(OR(ISNUMBER(SEARCH("lens",_xlpm.n)),ISNUMBER(SEARCH("optic",_xlpm.n)),ISNUMBER(SEARCH("polarizer",_xlpm.n))),"precision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"),E234&amp;" is "&amp;_xlpm.art&amp;_xlpm.t&amp;" from "&amp;C234&amp;" designed for application-specific laboratory, engineering or industrial use. It belongs to DIWAN's "&amp;B234&amp;" portfolio; final configuration must be selected against performance, integration and compliance requirements.")</f>
        <v>Magnetic Torquer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4" s="54" t="str">
        <f t="shared" si="62"/>
        <v>Selection should confirm the model-specific operating range, capacity, accuracy, interfaces, utilities, accessories, standards, environmental limits and service requirements. Final capabilities depend on the approved Magnetic Torquer configuration.</v>
      </c>
      <c r="Q234" s="54"/>
      <c r="R234" s="54" t="str">
        <f t="shared" si="63"/>
        <v>Spaceborne Inertial Sensors applications; laboratory research, engineering development, quality control and industrial deployment where applicable. Suitability must be confirmed against the user's sample, process, environment and required standards.</v>
      </c>
      <c r="S234" s="54"/>
      <c r="T234" s="54" t="str">
        <f t="shared" si="64"/>
        <v>Magnetic Torquer from All-Rays Satellite Technology</v>
      </c>
      <c r="U234" s="54"/>
      <c r="V234" s="54" t="s">
        <v>2673</v>
      </c>
      <c r="W234" s="54" t="str">
        <f t="shared" si="65"/>
        <v>See other Spaceborne Inertial Sensors products</v>
      </c>
      <c r="X234" s="54" t="str">
        <f t="shared" si="66"/>
        <v>Spaceborne Inertial Sensors enquiry → website group enquiry form → category owner assignment</v>
      </c>
      <c r="Y234" s="54" t="str">
        <f t="shared" si="67"/>
        <v>Magnetic Torquer, Spaceborne Inertial Sensors, All-Rays Satellite Technology, technical equipment, DIWAN</v>
      </c>
      <c r="Z234" s="54" t="s">
        <v>2267</v>
      </c>
      <c r="AA234" s="55">
        <v>46257</v>
      </c>
      <c r="AB234" s="54" t="s">
        <v>2465</v>
      </c>
      <c r="AC234" s="63" t="str">
        <f t="shared" si="68"/>
        <v>Content drafted - assets/specs pending</v>
      </c>
      <c r="AD234"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4" s="58"/>
      <c r="AF234" s="58"/>
      <c r="AG234" s="58" t="s">
        <v>2467</v>
      </c>
      <c r="AH234" s="58" t="s">
        <v>2468</v>
      </c>
      <c r="AI234" s="58" t="s">
        <v>2469</v>
      </c>
    </row>
    <row r="235" spans="1:35" ht="42" customHeight="1" x14ac:dyDescent="0.35">
      <c r="A235" s="69">
        <f t="shared" si="59"/>
        <v>48</v>
      </c>
      <c r="B235" s="70" t="s">
        <v>256</v>
      </c>
      <c r="C235" s="71" t="s">
        <v>13</v>
      </c>
      <c r="D235" s="72" t="s">
        <v>12</v>
      </c>
      <c r="E235" s="45" t="s">
        <v>283</v>
      </c>
      <c r="F235" s="49" t="s">
        <v>3010</v>
      </c>
      <c r="G235" s="45" t="s">
        <v>3045</v>
      </c>
      <c r="H235" s="47">
        <v>46257</v>
      </c>
      <c r="I235" s="48" t="s">
        <v>1743</v>
      </c>
      <c r="J235" s="48" t="s">
        <v>1032</v>
      </c>
      <c r="K235" s="48" t="str">
        <f t="shared" si="60"/>
        <v>Magnetic Torquer is a spaceborne inertial sensors product from All-Rays Satellite Technology for application-specific laboratory, engineering or industrial use.</v>
      </c>
      <c r="L235" s="48" t="str">
        <f t="shared" si="61"/>
        <v>Magnetic Torquer from All-Rays Satellite Technology for spaceborne inertial sensors applications. Review configuration requirements and request technical information or a quotation from DIWAN.</v>
      </c>
      <c r="M235" s="48" t="s">
        <v>2020</v>
      </c>
      <c r="N235" s="61" t="s">
        <v>2672</v>
      </c>
      <c r="O235" s="54" t="str" cm="1">
        <f t="array" ref="O235">_xlfn.LET(_xlpm.n,LOWER(E235),_xlpm.c,LOWER(B235),_xlpm.t,_xlfn.IFS(OR(ISNUMBER(SEARCH("lens",_xlpm.n)),ISNUMBER(SEARCH("optic",_xlpm.n)),ISNUMBER(SEARCH("polarizer",_xlpm.n))),"precision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"),E235&amp;" is "&amp;_xlpm.art&amp;_xlpm.t&amp;" from "&amp;C235&amp;" designed for application-specific laboratory, engineering or industrial use. It belongs to DIWAN's "&amp;B235&amp;" portfolio; final configuration must be selected against performance, integration and compliance requirements.")</f>
        <v>Magnetic Torquer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5" s="54" t="str">
        <f t="shared" si="62"/>
        <v>Selection should confirm the model-specific operating range, capacity, accuracy, interfaces, utilities, accessories, standards, environmental limits and service requirements. Final capabilities depend on the approved Magnetic Torquer configuration.</v>
      </c>
      <c r="Q235" s="54"/>
      <c r="R235" s="54" t="str">
        <f t="shared" si="63"/>
        <v>Spaceborne Inertial Sensors applications; laboratory research, engineering development, quality control and industrial deployment where applicable. Suitability must be confirmed against the user's sample, process, environment and required standards.</v>
      </c>
      <c r="S235" s="54"/>
      <c r="T235" s="54" t="str">
        <f t="shared" si="64"/>
        <v>Magnetic Torquer from All-Rays Satellite Technology</v>
      </c>
      <c r="U235" s="54"/>
      <c r="V235" s="54" t="s">
        <v>2673</v>
      </c>
      <c r="W235" s="54" t="str">
        <f t="shared" si="65"/>
        <v>See other Spaceborne Inertial Sensors products</v>
      </c>
      <c r="X235" s="54" t="str">
        <f t="shared" si="66"/>
        <v>Spaceborne Inertial Sensors enquiry → website group enquiry form → category owner assignment</v>
      </c>
      <c r="Y235" s="54" t="str">
        <f t="shared" si="67"/>
        <v>Magnetic Torquer, Spaceborne Inertial Sensors, All-Rays Satellite Technology, technical equipment, DIWAN</v>
      </c>
      <c r="Z235" s="54" t="s">
        <v>2267</v>
      </c>
      <c r="AA235" s="55">
        <v>46257</v>
      </c>
      <c r="AB235" s="54" t="s">
        <v>2465</v>
      </c>
      <c r="AC235" s="63" t="str">
        <f t="shared" si="68"/>
        <v>Content drafted - assets/specs pending</v>
      </c>
      <c r="AD235"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5" s="58"/>
      <c r="AF235" s="58"/>
      <c r="AG235" s="58" t="s">
        <v>2467</v>
      </c>
      <c r="AH235" s="58" t="s">
        <v>2468</v>
      </c>
      <c r="AI235" s="58" t="s">
        <v>2469</v>
      </c>
    </row>
    <row r="236" spans="1:35" ht="42" customHeight="1" thickBot="1" x14ac:dyDescent="0.4">
      <c r="A236" s="69">
        <f t="shared" si="59"/>
        <v>48</v>
      </c>
      <c r="B236" s="70" t="s">
        <v>256</v>
      </c>
      <c r="C236" s="71" t="s">
        <v>13</v>
      </c>
      <c r="D236" s="72" t="s">
        <v>12</v>
      </c>
      <c r="E236" s="45" t="s">
        <v>283</v>
      </c>
      <c r="F236" s="49" t="s">
        <v>3010</v>
      </c>
      <c r="G236" s="45" t="s">
        <v>3045</v>
      </c>
      <c r="H236" s="47">
        <v>46257</v>
      </c>
      <c r="I236" s="48" t="s">
        <v>1743</v>
      </c>
      <c r="J236" s="48" t="s">
        <v>1033</v>
      </c>
      <c r="K236" s="48" t="str">
        <f t="shared" si="60"/>
        <v>Magnetic Torquer is a spaceborne inertial sensors product from All-Rays Satellite Technology for application-specific laboratory, engineering or industrial use.</v>
      </c>
      <c r="L236" s="48" t="str">
        <f t="shared" si="61"/>
        <v>Magnetic Torquer from All-Rays Satellite Technology for spaceborne inertial sensors applications. Review configuration requirements and request technical information or a quotation from DIWAN.</v>
      </c>
      <c r="M236" s="48" t="s">
        <v>2020</v>
      </c>
      <c r="N236" s="61" t="s">
        <v>2672</v>
      </c>
      <c r="O236" s="54" t="str" cm="1">
        <f t="array" ref="O236">_xlfn.LET(_xlpm.n,LOWER(E236),_xlpm.c,LOWER(B236),_xlpm.t,_xlfn.IFS(OR(ISNUMBER(SEARCH("lens",_xlpm.n)),ISNUMBER(SEARCH("optic",_xlpm.n)),ISNUMBER(SEARCH("polarizer",_xlpm.n))),"precision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"),E236&amp;" is "&amp;_xlpm.art&amp;_xlpm.t&amp;" from "&amp;C236&amp;" designed for application-specific laboratory, engineering or industrial use. It belongs to DIWAN's "&amp;B236&amp;" portfolio; final configuration must be selected against performance, integration and compliance requirements.")</f>
        <v>Magnetic Torquer is a specialized spaceborne inertial sensors product from All-Rays Satellite Technology designed for application-specific laboratory, engineering or industrial use. It belongs to DIWAN's Spaceborne Inertial Sensors portfolio; final configuration must be selected against performance, integration and compliance requirements.</v>
      </c>
      <c r="P236" s="54" t="str">
        <f t="shared" si="62"/>
        <v>Selection should confirm the model-specific operating range, capacity, accuracy, interfaces, utilities, accessories, standards, environmental limits and service requirements. Final capabilities depend on the approved Magnetic Torquer configuration.</v>
      </c>
      <c r="Q236" s="54"/>
      <c r="R236" s="54" t="str">
        <f t="shared" si="63"/>
        <v>Spaceborne Inertial Sensors applications; laboratory research, engineering development, quality control and industrial deployment where applicable. Suitability must be confirmed against the user's sample, process, environment and required standards.</v>
      </c>
      <c r="S236" s="54"/>
      <c r="T236" s="54" t="str">
        <f t="shared" si="64"/>
        <v>Magnetic Torquer from All-Rays Satellite Technology</v>
      </c>
      <c r="U236" s="54"/>
      <c r="V236" s="54" t="s">
        <v>2673</v>
      </c>
      <c r="W236" s="54" t="str">
        <f t="shared" si="65"/>
        <v>See other Spaceborne Inertial Sensors products</v>
      </c>
      <c r="X236" s="54" t="str">
        <f t="shared" si="66"/>
        <v>Spaceborne Inertial Sensors enquiry → website group enquiry form → category owner assignment</v>
      </c>
      <c r="Y236" s="54" t="str">
        <f t="shared" si="67"/>
        <v>Magnetic Torquer, Spaceborne Inertial Sensors, All-Rays Satellite Technology, technical equipment, DIWAN</v>
      </c>
      <c r="Z236" s="54" t="s">
        <v>2267</v>
      </c>
      <c r="AA236" s="55">
        <v>46257</v>
      </c>
      <c r="AB236" s="54" t="s">
        <v>2465</v>
      </c>
      <c r="AC236" s="63" t="str">
        <f t="shared" si="68"/>
        <v>Content drafted - assets/specs pending</v>
      </c>
      <c r="AD23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6" s="58"/>
      <c r="AF236" s="58"/>
      <c r="AG236" s="58" t="s">
        <v>2467</v>
      </c>
      <c r="AH236" s="58" t="s">
        <v>2468</v>
      </c>
      <c r="AI236" s="58" t="s">
        <v>2469</v>
      </c>
    </row>
    <row r="237" spans="1:35" ht="42" customHeight="1" x14ac:dyDescent="0.35">
      <c r="A237" s="69">
        <f t="shared" si="59"/>
        <v>49</v>
      </c>
      <c r="B237" s="74" t="s">
        <v>284</v>
      </c>
      <c r="C237" s="75" t="s">
        <v>13</v>
      </c>
      <c r="D237" s="76" t="s">
        <v>12</v>
      </c>
      <c r="E237" s="77" t="s">
        <v>285</v>
      </c>
      <c r="F237" s="86" t="s">
        <v>3011</v>
      </c>
      <c r="G237" s="77" t="s">
        <v>3045</v>
      </c>
      <c r="H237" s="79">
        <v>46257</v>
      </c>
      <c r="I237" s="80" t="s">
        <v>1744</v>
      </c>
      <c r="J237" s="80" t="s">
        <v>1034</v>
      </c>
      <c r="K237" s="80" t="str">
        <f t="shared" si="60"/>
        <v>Pointing Mirror Laser Communication Terminal is a laser communication terminals product from All-Rays Satellite Technology for application-specific laboratory, engineering or industrial use.</v>
      </c>
      <c r="L237" s="80" t="str">
        <f t="shared" si="61"/>
        <v>Pointing Mirror Laser Communication Terminal from All-Rays Satellite Technology for laser communication terminals applications. Review configuration requirements and request technical information or a quotation from DIWAN.</v>
      </c>
      <c r="M237" s="80" t="s">
        <v>2020</v>
      </c>
      <c r="N237" s="81" t="s">
        <v>2672</v>
      </c>
      <c r="O237" s="82" t="str" cm="1">
        <f t="array" ref="O237">_xlfn.LET(_xlpm.n,LOWER(E237),_xlpm.c,LOWER(B237),_xlpm.t,_xlfn.IFS(OR(ISNUMBER(SEARCH("lens",_xlpm.n)),ISNUMBER(SEARCH("optic",_xlpm.n)),ISNUMBER(SEARCH("polarizer",_xlpm.n))),"precision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"),E237&amp;" is "&amp;_xlpm.art&amp;_xlpm.t&amp;" from "&amp;C237&amp;" designed for application-specific laboratory, engineering or industrial use. It belongs to DIWAN's "&amp;B237&amp;" portfolio; final configuration must be selected against performance, integration and compliance requirements.")</f>
        <v>Pointing Mirror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37" s="82" t="str">
        <f t="shared" si="62"/>
        <v>Selection should confirm the model-specific operating range, capacity, accuracy, interfaces, utilities, accessories, standards, environmental limits and service requirements. Final capabilities depend on the approved Pointing Mirror Laser Communication Terminal configuration.</v>
      </c>
      <c r="Q237" s="82"/>
      <c r="R237" s="82" t="str">
        <f t="shared" si="63"/>
        <v>Laser Communication Terminals applications; laboratory research, engineering development, quality control and industrial deployment where applicable. Suitability must be confirmed against the user's sample, process, environment and required standards.</v>
      </c>
      <c r="S237" s="82"/>
      <c r="T237" s="82" t="str">
        <f t="shared" si="64"/>
        <v>Pointing Mirror Laser Communication Terminal from All-Rays Satellite Technology</v>
      </c>
      <c r="U237" s="82"/>
      <c r="V237" s="82" t="s">
        <v>2673</v>
      </c>
      <c r="W237" s="82" t="str">
        <f t="shared" si="65"/>
        <v>See other Laser Communication Terminals products</v>
      </c>
      <c r="X237" s="82" t="str">
        <f t="shared" si="66"/>
        <v>Laser Communication Terminals enquiry → website group enquiry form → category owner assignment</v>
      </c>
      <c r="Y237" s="82" t="str">
        <f t="shared" si="67"/>
        <v>Pointing Mirror Laser Communication Terminal, Laser Communication Terminals, All-Rays Satellite Technology, technical equipment, DIWAN</v>
      </c>
      <c r="Z237" s="82" t="s">
        <v>2268</v>
      </c>
      <c r="AA237" s="83">
        <v>46257</v>
      </c>
      <c r="AB237" s="82" t="s">
        <v>2465</v>
      </c>
      <c r="AC237" s="84" t="str">
        <f t="shared" si="68"/>
        <v>Content drafted - assets/specs pending</v>
      </c>
      <c r="AD237"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7" s="85"/>
      <c r="AF237" s="85"/>
      <c r="AG237" s="85" t="s">
        <v>2467</v>
      </c>
      <c r="AH237" s="85" t="s">
        <v>2468</v>
      </c>
      <c r="AI237" s="85" t="s">
        <v>2469</v>
      </c>
    </row>
    <row r="238" spans="1:35" ht="42" customHeight="1" x14ac:dyDescent="0.35">
      <c r="A238" s="69">
        <f t="shared" si="59"/>
        <v>49</v>
      </c>
      <c r="B238" s="70" t="s">
        <v>284</v>
      </c>
      <c r="C238" s="71" t="s">
        <v>13</v>
      </c>
      <c r="D238" s="72" t="s">
        <v>12</v>
      </c>
      <c r="E238" s="45" t="s">
        <v>285</v>
      </c>
      <c r="F238" s="49" t="s">
        <v>3011</v>
      </c>
      <c r="G238" s="45" t="s">
        <v>3045</v>
      </c>
      <c r="H238" s="47">
        <v>46257</v>
      </c>
      <c r="I238" s="48" t="s">
        <v>1744</v>
      </c>
      <c r="J238" s="48" t="s">
        <v>1035</v>
      </c>
      <c r="K238" s="48" t="str">
        <f t="shared" si="60"/>
        <v>Pointing Mirror Laser Communication Terminal is a laser communication terminals product from All-Rays Satellite Technology for application-specific laboratory, engineering or industrial use.</v>
      </c>
      <c r="L238" s="48" t="str">
        <f t="shared" si="61"/>
        <v>Pointing Mirror Laser Communication Terminal from All-Rays Satellite Technology for laser communication terminals applications. Review configuration requirements and request technical information or a quotation from DIWAN.</v>
      </c>
      <c r="M238" s="48" t="s">
        <v>2020</v>
      </c>
      <c r="N238" s="61" t="s">
        <v>2672</v>
      </c>
      <c r="O238" s="54" t="str" cm="1">
        <f t="array" ref="O238">_xlfn.LET(_xlpm.n,LOWER(E238),_xlpm.c,LOWER(B238),_xlpm.t,_xlfn.IFS(OR(ISNUMBER(SEARCH("lens",_xlpm.n)),ISNUMBER(SEARCH("optic",_xlpm.n)),ISNUMBER(SEARCH("polarizer",_xlpm.n))),"precision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"),E238&amp;" is "&amp;_xlpm.art&amp;_xlpm.t&amp;" from "&amp;C238&amp;" designed for application-specific laboratory, engineering or industrial use. It belongs to DIWAN's "&amp;B238&amp;" portfolio; final configuration must be selected against performance, integration and compliance requirements.")</f>
        <v>Pointing Mirror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38" s="54" t="str">
        <f t="shared" si="62"/>
        <v>Selection should confirm the model-specific operating range, capacity, accuracy, interfaces, utilities, accessories, standards, environmental limits and service requirements. Final capabilities depend on the approved Pointing Mirror Laser Communication Terminal configuration.</v>
      </c>
      <c r="Q238" s="54"/>
      <c r="R238" s="54" t="str">
        <f t="shared" si="63"/>
        <v>Laser Communication Terminals applications; laboratory research, engineering development, quality control and industrial deployment where applicable. Suitability must be confirmed against the user's sample, process, environment and required standards.</v>
      </c>
      <c r="S238" s="54"/>
      <c r="T238" s="54" t="str">
        <f t="shared" si="64"/>
        <v>Pointing Mirror Laser Communication Terminal from All-Rays Satellite Technology</v>
      </c>
      <c r="U238" s="54"/>
      <c r="V238" s="54" t="s">
        <v>2673</v>
      </c>
      <c r="W238" s="54" t="str">
        <f t="shared" si="65"/>
        <v>See other Laser Communication Terminals products</v>
      </c>
      <c r="X238" s="54" t="str">
        <f t="shared" si="66"/>
        <v>Laser Communication Terminals enquiry → website group enquiry form → category owner assignment</v>
      </c>
      <c r="Y238" s="54" t="str">
        <f t="shared" si="67"/>
        <v>Pointing Mirror Laser Communication Terminal, Laser Communication Terminals, All-Rays Satellite Technology, technical equipment, DIWAN</v>
      </c>
      <c r="Z238" s="54" t="s">
        <v>2268</v>
      </c>
      <c r="AA238" s="55">
        <v>46257</v>
      </c>
      <c r="AB238" s="54" t="s">
        <v>2465</v>
      </c>
      <c r="AC238" s="63" t="str">
        <f t="shared" si="68"/>
        <v>Content drafted - assets/specs pending</v>
      </c>
      <c r="AD238"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8" s="58"/>
      <c r="AF238" s="58"/>
      <c r="AG238" s="58" t="s">
        <v>2467</v>
      </c>
      <c r="AH238" s="58" t="s">
        <v>2468</v>
      </c>
      <c r="AI238" s="58" t="s">
        <v>2469</v>
      </c>
    </row>
    <row r="239" spans="1:35" ht="42" customHeight="1" x14ac:dyDescent="0.35">
      <c r="A239" s="69">
        <f t="shared" si="59"/>
        <v>49</v>
      </c>
      <c r="B239" s="70" t="s">
        <v>284</v>
      </c>
      <c r="C239" s="71" t="s">
        <v>13</v>
      </c>
      <c r="D239" s="72" t="s">
        <v>12</v>
      </c>
      <c r="E239" s="45" t="s">
        <v>286</v>
      </c>
      <c r="F239" s="49" t="s">
        <v>3011</v>
      </c>
      <c r="G239" s="45" t="s">
        <v>3045</v>
      </c>
      <c r="H239" s="47">
        <v>46257</v>
      </c>
      <c r="I239" s="48" t="s">
        <v>1745</v>
      </c>
      <c r="J239" s="48" t="s">
        <v>1036</v>
      </c>
      <c r="K239" s="48" t="str">
        <f t="shared" si="60"/>
        <v>Two-Dimensional Rotary Laser Communication Terminal is a laser communication terminals product from All-Rays Satellite Technology for application-specific laboratory, engineering or industrial use.</v>
      </c>
      <c r="L239" s="48" t="str">
        <f t="shared" si="61"/>
        <v>Two-Dimensional Rotary Laser Communication Terminal from All-Rays Satellite Technology for laser communication terminals applications. Review configuration requirements and request technical information or a quotation from DIWAN.</v>
      </c>
      <c r="M239" s="48" t="s">
        <v>2020</v>
      </c>
      <c r="N239" s="61" t="s">
        <v>2672</v>
      </c>
      <c r="O239" s="54" t="str" cm="1">
        <f t="array" ref="O239">_xlfn.LET(_xlpm.n,LOWER(E239),_xlpm.c,LOWER(B239),_xlpm.t,_xlfn.IFS(OR(ISNUMBER(SEARCH("lens",_xlpm.n)),ISNUMBER(SEARCH("optic",_xlpm.n)),ISNUMBER(SEARCH("polarizer",_xlpm.n))),"precision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"),E239&amp;" is "&amp;_xlpm.art&amp;_xlpm.t&amp;" from "&amp;C239&amp;" designed for application-specific laboratory, engineering or industrial use. It belongs to DIWAN's "&amp;B239&amp;" portfolio; final configuration must be selected against performance, integration and compliance requirements.")</f>
        <v>Two-Dimensional Rotary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39" s="54" t="str">
        <f t="shared" si="62"/>
        <v>Selection should confirm the model-specific operating range, capacity, accuracy, interfaces, utilities, accessories, standards, environmental limits and service requirements. Final capabilities depend on the approved Two-Dimensional Rotary Laser Communication Terminal configuration.</v>
      </c>
      <c r="Q239" s="54"/>
      <c r="R239" s="54" t="str">
        <f t="shared" si="63"/>
        <v>Laser Communication Terminals applications; laboratory research, engineering development, quality control and industrial deployment where applicable. Suitability must be confirmed against the user's sample, process, environment and required standards.</v>
      </c>
      <c r="S239" s="54"/>
      <c r="T239" s="54" t="str">
        <f t="shared" si="64"/>
        <v>Two-Dimensional Rotary Laser Communication Terminal from All-Rays Satellite Technology</v>
      </c>
      <c r="U239" s="54"/>
      <c r="V239" s="54" t="s">
        <v>2673</v>
      </c>
      <c r="W239" s="54" t="str">
        <f t="shared" si="65"/>
        <v>See other Laser Communication Terminals products</v>
      </c>
      <c r="X239" s="54" t="str">
        <f t="shared" si="66"/>
        <v>Laser Communication Terminals enquiry → website group enquiry form → category owner assignment</v>
      </c>
      <c r="Y239" s="54" t="str">
        <f t="shared" si="67"/>
        <v>Two-Dimensional Rotary Laser Communication Terminal, Laser Communication Terminals, All-Rays Satellite Technology, technical equipment, DIWAN</v>
      </c>
      <c r="Z239" s="54" t="s">
        <v>2268</v>
      </c>
      <c r="AA239" s="55">
        <v>46257</v>
      </c>
      <c r="AB239" s="54" t="s">
        <v>2465</v>
      </c>
      <c r="AC239" s="63" t="str">
        <f t="shared" si="68"/>
        <v>Content drafted - assets/specs pending</v>
      </c>
      <c r="AD239"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39" s="58"/>
      <c r="AF239" s="58"/>
      <c r="AG239" s="58" t="s">
        <v>2467</v>
      </c>
      <c r="AH239" s="58" t="s">
        <v>2468</v>
      </c>
      <c r="AI239" s="58" t="s">
        <v>2469</v>
      </c>
    </row>
    <row r="240" spans="1:35" ht="42" customHeight="1" x14ac:dyDescent="0.35">
      <c r="A240" s="69">
        <f t="shared" si="59"/>
        <v>49</v>
      </c>
      <c r="B240" s="70" t="s">
        <v>284</v>
      </c>
      <c r="C240" s="71" t="s">
        <v>13</v>
      </c>
      <c r="D240" s="72" t="s">
        <v>12</v>
      </c>
      <c r="E240" s="45" t="s">
        <v>286</v>
      </c>
      <c r="F240" s="49" t="s">
        <v>3011</v>
      </c>
      <c r="G240" s="45" t="s">
        <v>3045</v>
      </c>
      <c r="H240" s="47">
        <v>46257</v>
      </c>
      <c r="I240" s="48" t="s">
        <v>1745</v>
      </c>
      <c r="J240" s="48" t="s">
        <v>1037</v>
      </c>
      <c r="K240" s="48" t="str">
        <f t="shared" si="60"/>
        <v>Two-Dimensional Rotary Laser Communication Terminal is a laser communication terminals product from All-Rays Satellite Technology for application-specific laboratory, engineering or industrial use.</v>
      </c>
      <c r="L240" s="48" t="str">
        <f t="shared" si="61"/>
        <v>Two-Dimensional Rotary Laser Communication Terminal from All-Rays Satellite Technology for laser communication terminals applications. Review configuration requirements and request technical information or a quotation from DIWAN.</v>
      </c>
      <c r="M240" s="48" t="s">
        <v>2020</v>
      </c>
      <c r="N240" s="61" t="s">
        <v>2672</v>
      </c>
      <c r="O240" s="54" t="str" cm="1">
        <f t="array" ref="O240">_xlfn.LET(_xlpm.n,LOWER(E240),_xlpm.c,LOWER(B240),_xlpm.t,_xlfn.IFS(OR(ISNUMBER(SEARCH("lens",_xlpm.n)),ISNUMBER(SEARCH("optic",_xlpm.n)),ISNUMBER(SEARCH("polarizer",_xlpm.n))),"precision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"),E240&amp;" is "&amp;_xlpm.art&amp;_xlpm.t&amp;" from "&amp;C240&amp;" designed for application-specific laboratory, engineering or industrial use. It belongs to DIWAN's "&amp;B240&amp;" portfolio; final configuration must be selected against performance, integration and compliance requirements.")</f>
        <v>Two-Dimensional Rotary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0" s="54" t="str">
        <f t="shared" si="62"/>
        <v>Selection should confirm the model-specific operating range, capacity, accuracy, interfaces, utilities, accessories, standards, environmental limits and service requirements. Final capabilities depend on the approved Two-Dimensional Rotary Laser Communication Terminal configuration.</v>
      </c>
      <c r="Q240" s="54"/>
      <c r="R240" s="54" t="str">
        <f t="shared" si="63"/>
        <v>Laser Communication Terminals applications; laboratory research, engineering development, quality control and industrial deployment where applicable. Suitability must be confirmed against the user's sample, process, environment and required standards.</v>
      </c>
      <c r="S240" s="54"/>
      <c r="T240" s="54" t="str">
        <f t="shared" si="64"/>
        <v>Two-Dimensional Rotary Laser Communication Terminal from All-Rays Satellite Technology</v>
      </c>
      <c r="U240" s="54"/>
      <c r="V240" s="54" t="s">
        <v>2673</v>
      </c>
      <c r="W240" s="54" t="str">
        <f t="shared" si="65"/>
        <v>See other Laser Communication Terminals products</v>
      </c>
      <c r="X240" s="54" t="str">
        <f t="shared" si="66"/>
        <v>Laser Communication Terminals enquiry → website group enquiry form → category owner assignment</v>
      </c>
      <c r="Y240" s="54" t="str">
        <f t="shared" si="67"/>
        <v>Two-Dimensional Rotary Laser Communication Terminal, Laser Communication Terminals, All-Rays Satellite Technology, technical equipment, DIWAN</v>
      </c>
      <c r="Z240" s="54" t="s">
        <v>2268</v>
      </c>
      <c r="AA240" s="55">
        <v>46257</v>
      </c>
      <c r="AB240" s="54" t="s">
        <v>2465</v>
      </c>
      <c r="AC240" s="63" t="str">
        <f t="shared" si="68"/>
        <v>Content drafted - assets/specs pending</v>
      </c>
      <c r="AD24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0" s="58"/>
      <c r="AF240" s="58"/>
      <c r="AG240" s="58" t="s">
        <v>2467</v>
      </c>
      <c r="AH240" s="58" t="s">
        <v>2468</v>
      </c>
      <c r="AI240" s="58" t="s">
        <v>2469</v>
      </c>
    </row>
    <row r="241" spans="1:35" ht="42" customHeight="1" x14ac:dyDescent="0.35">
      <c r="A241" s="69">
        <f t="shared" si="59"/>
        <v>49</v>
      </c>
      <c r="B241" s="70" t="s">
        <v>284</v>
      </c>
      <c r="C241" s="71" t="s">
        <v>13</v>
      </c>
      <c r="D241" s="72" t="s">
        <v>12</v>
      </c>
      <c r="E241" s="45" t="s">
        <v>286</v>
      </c>
      <c r="F241" s="49" t="s">
        <v>3011</v>
      </c>
      <c r="G241" s="45" t="s">
        <v>3045</v>
      </c>
      <c r="H241" s="47">
        <v>46257</v>
      </c>
      <c r="I241" s="48" t="s">
        <v>1745</v>
      </c>
      <c r="J241" s="48" t="s">
        <v>1038</v>
      </c>
      <c r="K241" s="48" t="str">
        <f t="shared" si="60"/>
        <v>Two-Dimensional Rotary Laser Communication Terminal is a laser communication terminals product from All-Rays Satellite Technology for application-specific laboratory, engineering or industrial use.</v>
      </c>
      <c r="L241" s="48" t="str">
        <f t="shared" si="61"/>
        <v>Two-Dimensional Rotary Laser Communication Terminal from All-Rays Satellite Technology for laser communication terminals applications. Review configuration requirements and request technical information or a quotation from DIWAN.</v>
      </c>
      <c r="M241" s="48" t="s">
        <v>2020</v>
      </c>
      <c r="N241" s="61" t="s">
        <v>2672</v>
      </c>
      <c r="O241" s="54" t="str" cm="1">
        <f t="array" ref="O241">_xlfn.LET(_xlpm.n,LOWER(E241),_xlpm.c,LOWER(B241),_xlpm.t,_xlfn.IFS(OR(ISNUMBER(SEARCH("lens",_xlpm.n)),ISNUMBER(SEARCH("optic",_xlpm.n)),ISNUMBER(SEARCH("polarizer",_xlpm.n))),"precision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"),E241&amp;" is "&amp;_xlpm.art&amp;_xlpm.t&amp;" from "&amp;C241&amp;" designed for application-specific laboratory, engineering or industrial use. It belongs to DIWAN's "&amp;B241&amp;" portfolio; final configuration must be selected against performance, integration and compliance requirements.")</f>
        <v>Two-Dimensional Rotary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1" s="54" t="str">
        <f t="shared" si="62"/>
        <v>Selection should confirm the model-specific operating range, capacity, accuracy, interfaces, utilities, accessories, standards, environmental limits and service requirements. Final capabilities depend on the approved Two-Dimensional Rotary Laser Communication Terminal configuration.</v>
      </c>
      <c r="Q241" s="54"/>
      <c r="R241" s="54" t="str">
        <f t="shared" si="63"/>
        <v>Laser Communication Terminals applications; laboratory research, engineering development, quality control and industrial deployment where applicable. Suitability must be confirmed against the user's sample, process, environment and required standards.</v>
      </c>
      <c r="S241" s="54"/>
      <c r="T241" s="54" t="str">
        <f t="shared" si="64"/>
        <v>Two-Dimensional Rotary Laser Communication Terminal from All-Rays Satellite Technology</v>
      </c>
      <c r="U241" s="54"/>
      <c r="V241" s="54" t="s">
        <v>2673</v>
      </c>
      <c r="W241" s="54" t="str">
        <f t="shared" si="65"/>
        <v>See other Laser Communication Terminals products</v>
      </c>
      <c r="X241" s="54" t="str">
        <f t="shared" si="66"/>
        <v>Laser Communication Terminals enquiry → website group enquiry form → category owner assignment</v>
      </c>
      <c r="Y241" s="54" t="str">
        <f t="shared" si="67"/>
        <v>Two-Dimensional Rotary Laser Communication Terminal, Laser Communication Terminals, All-Rays Satellite Technology, technical equipment, DIWAN</v>
      </c>
      <c r="Z241" s="54" t="s">
        <v>2268</v>
      </c>
      <c r="AA241" s="55">
        <v>46257</v>
      </c>
      <c r="AB241" s="54" t="s">
        <v>2465</v>
      </c>
      <c r="AC241" s="63" t="str">
        <f t="shared" si="68"/>
        <v>Content drafted - assets/specs pending</v>
      </c>
      <c r="AD241"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1" s="58"/>
      <c r="AF241" s="58"/>
      <c r="AG241" s="58" t="s">
        <v>2467</v>
      </c>
      <c r="AH241" s="58" t="s">
        <v>2468</v>
      </c>
      <c r="AI241" s="58" t="s">
        <v>2469</v>
      </c>
    </row>
    <row r="242" spans="1:35" ht="42" customHeight="1" x14ac:dyDescent="0.35">
      <c r="A242" s="69">
        <f t="shared" si="59"/>
        <v>49</v>
      </c>
      <c r="B242" s="70" t="s">
        <v>284</v>
      </c>
      <c r="C242" s="71" t="s">
        <v>13</v>
      </c>
      <c r="D242" s="72" t="s">
        <v>12</v>
      </c>
      <c r="E242" s="45" t="s">
        <v>286</v>
      </c>
      <c r="F242" s="49" t="s">
        <v>3011</v>
      </c>
      <c r="G242" s="45" t="s">
        <v>3045</v>
      </c>
      <c r="H242" s="47">
        <v>46257</v>
      </c>
      <c r="I242" s="48" t="s">
        <v>1745</v>
      </c>
      <c r="J242" s="48" t="s">
        <v>1039</v>
      </c>
      <c r="K242" s="48" t="str">
        <f t="shared" si="60"/>
        <v>Two-Dimensional Rotary Laser Communication Terminal is a laser communication terminals product from All-Rays Satellite Technology for application-specific laboratory, engineering or industrial use.</v>
      </c>
      <c r="L242" s="48" t="str">
        <f t="shared" si="61"/>
        <v>Two-Dimensional Rotary Laser Communication Terminal from All-Rays Satellite Technology for laser communication terminals applications. Review configuration requirements and request technical information or a quotation from DIWAN.</v>
      </c>
      <c r="M242" s="48" t="s">
        <v>2020</v>
      </c>
      <c r="N242" s="61" t="s">
        <v>2672</v>
      </c>
      <c r="O242" s="54" t="str" cm="1">
        <f t="array" ref="O242">_xlfn.LET(_xlpm.n,LOWER(E242),_xlpm.c,LOWER(B242),_xlpm.t,_xlfn.IFS(OR(ISNUMBER(SEARCH("lens",_xlpm.n)),ISNUMBER(SEARCH("optic",_xlpm.n)),ISNUMBER(SEARCH("polarizer",_xlpm.n))),"precision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"),E242&amp;" is "&amp;_xlpm.art&amp;_xlpm.t&amp;" from "&amp;C242&amp;" designed for application-specific laboratory, engineering or industrial use. It belongs to DIWAN's "&amp;B242&amp;" portfolio; final configuration must be selected against performance, integration and compliance requirements.")</f>
        <v>Two-Dimensional Rotary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2" s="54" t="str">
        <f t="shared" si="62"/>
        <v>Selection should confirm the model-specific operating range, capacity, accuracy, interfaces, utilities, accessories, standards, environmental limits and service requirements. Final capabilities depend on the approved Two-Dimensional Rotary Laser Communication Terminal configuration.</v>
      </c>
      <c r="Q242" s="54"/>
      <c r="R242" s="54" t="str">
        <f t="shared" si="63"/>
        <v>Laser Communication Terminals applications; laboratory research, engineering development, quality control and industrial deployment where applicable. Suitability must be confirmed against the user's sample, process, environment and required standards.</v>
      </c>
      <c r="S242" s="54"/>
      <c r="T242" s="54" t="str">
        <f t="shared" si="64"/>
        <v>Two-Dimensional Rotary Laser Communication Terminal from All-Rays Satellite Technology</v>
      </c>
      <c r="U242" s="54"/>
      <c r="V242" s="54" t="s">
        <v>2673</v>
      </c>
      <c r="W242" s="54" t="str">
        <f t="shared" si="65"/>
        <v>See other Laser Communication Terminals products</v>
      </c>
      <c r="X242" s="54" t="str">
        <f t="shared" si="66"/>
        <v>Laser Communication Terminals enquiry → website group enquiry form → category owner assignment</v>
      </c>
      <c r="Y242" s="54" t="str">
        <f t="shared" si="67"/>
        <v>Two-Dimensional Rotary Laser Communication Terminal, Laser Communication Terminals, All-Rays Satellite Technology, technical equipment, DIWAN</v>
      </c>
      <c r="Z242" s="54" t="s">
        <v>2268</v>
      </c>
      <c r="AA242" s="55">
        <v>46257</v>
      </c>
      <c r="AB242" s="54" t="s">
        <v>2465</v>
      </c>
      <c r="AC242" s="63" t="str">
        <f t="shared" si="68"/>
        <v>Content drafted - assets/specs pending</v>
      </c>
      <c r="AD24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2" s="58"/>
      <c r="AF242" s="58"/>
      <c r="AG242" s="58" t="s">
        <v>2467</v>
      </c>
      <c r="AH242" s="58" t="s">
        <v>2468</v>
      </c>
      <c r="AI242" s="58" t="s">
        <v>2469</v>
      </c>
    </row>
    <row r="243" spans="1:35" ht="42" customHeight="1" x14ac:dyDescent="0.35">
      <c r="A243" s="69">
        <f t="shared" si="59"/>
        <v>49</v>
      </c>
      <c r="B243" s="70" t="s">
        <v>284</v>
      </c>
      <c r="C243" s="71" t="s">
        <v>13</v>
      </c>
      <c r="D243" s="72" t="s">
        <v>12</v>
      </c>
      <c r="E243" s="45" t="s">
        <v>287</v>
      </c>
      <c r="F243" s="49" t="s">
        <v>3011</v>
      </c>
      <c r="G243" s="45" t="s">
        <v>3045</v>
      </c>
      <c r="H243" s="47">
        <v>46257</v>
      </c>
      <c r="I243" s="48" t="s">
        <v>1746</v>
      </c>
      <c r="J243" s="48" t="s">
        <v>1040</v>
      </c>
      <c r="K243" s="48" t="str">
        <f t="shared" si="60"/>
        <v>Micro-Nano Satellite-Borne Laser Communication Terminal is a laser communication terminals product from All-Rays Satellite Technology for application-specific laboratory, engineering or industrial use.</v>
      </c>
      <c r="L243" s="48" t="str">
        <f t="shared" si="61"/>
        <v>Micro-Nano Satellite-Borne Laser Communication Terminal from All-Rays Satellite Technology for laser communication terminals applications. Review configuration requirements and request technical information or a quotation from DIWAN.</v>
      </c>
      <c r="M243" s="48" t="s">
        <v>2020</v>
      </c>
      <c r="N243" s="61" t="s">
        <v>2672</v>
      </c>
      <c r="O243" s="54" t="str" cm="1">
        <f t="array" ref="O243">_xlfn.LET(_xlpm.n,LOWER(E243),_xlpm.c,LOWER(B243),_xlpm.t,_xlfn.IFS(OR(ISNUMBER(SEARCH("lens",_xlpm.n)),ISNUMBER(SEARCH("optic",_xlpm.n)),ISNUMBER(SEARCH("polarizer",_xlpm.n))),"precision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"),E243&amp;" is "&amp;_xlpm.art&amp;_xlpm.t&amp;" from "&amp;C243&amp;" designed for application-specific laboratory, engineering or industrial use. It belongs to DIWAN's "&amp;B243&amp;" portfolio; final configuration must be selected against performance, integration and compliance requirements.")</f>
        <v>Micro-Nano Satellite-Borne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3" s="54" t="str">
        <f t="shared" si="62"/>
        <v>Selection should confirm the model-specific operating range, capacity, accuracy, interfaces, utilities, accessories, standards, environmental limits and service requirements. Final capabilities depend on the approved Micro-Nano Satellite-Borne Laser Communication Terminal configuration.</v>
      </c>
      <c r="Q243" s="54"/>
      <c r="R243" s="54" t="str">
        <f t="shared" si="63"/>
        <v>Laser Communication Terminals applications; laboratory research, engineering development, quality control and industrial deployment where applicable. Suitability must be confirmed against the user's sample, process, environment and required standards.</v>
      </c>
      <c r="S243" s="54"/>
      <c r="T243" s="54" t="str">
        <f t="shared" si="64"/>
        <v>Micro-Nano Satellite-Borne Laser Communication Terminal from All-Rays Satellite Technology</v>
      </c>
      <c r="U243" s="54"/>
      <c r="V243" s="54" t="s">
        <v>2673</v>
      </c>
      <c r="W243" s="54" t="str">
        <f t="shared" si="65"/>
        <v>See other Laser Communication Terminals products</v>
      </c>
      <c r="X243" s="54" t="str">
        <f t="shared" si="66"/>
        <v>Laser Communication Terminals enquiry → website group enquiry form → category owner assignment</v>
      </c>
      <c r="Y243" s="54" t="str">
        <f t="shared" si="67"/>
        <v>Micro-Nano Satellite-Borne Laser Communication Terminal, Laser Communication Terminals, All-Rays Satellite Technology, technical equipment, DIWAN</v>
      </c>
      <c r="Z243" s="54" t="s">
        <v>2268</v>
      </c>
      <c r="AA243" s="55">
        <v>46257</v>
      </c>
      <c r="AB243" s="54" t="s">
        <v>2465</v>
      </c>
      <c r="AC243" s="63" t="str">
        <f t="shared" si="68"/>
        <v>Content drafted - assets/specs pending</v>
      </c>
      <c r="AD24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3" s="58"/>
      <c r="AF243" s="58"/>
      <c r="AG243" s="58" t="s">
        <v>2467</v>
      </c>
      <c r="AH243" s="58" t="s">
        <v>2468</v>
      </c>
      <c r="AI243" s="58" t="s">
        <v>2469</v>
      </c>
    </row>
    <row r="244" spans="1:35" ht="42" customHeight="1" x14ac:dyDescent="0.35">
      <c r="A244" s="69">
        <f t="shared" si="59"/>
        <v>49</v>
      </c>
      <c r="B244" s="70" t="s">
        <v>284</v>
      </c>
      <c r="C244" s="71" t="s">
        <v>13</v>
      </c>
      <c r="D244" s="72" t="s">
        <v>12</v>
      </c>
      <c r="E244" s="45" t="s">
        <v>288</v>
      </c>
      <c r="F244" s="49" t="s">
        <v>3011</v>
      </c>
      <c r="G244" s="45" t="s">
        <v>3045</v>
      </c>
      <c r="H244" s="47">
        <v>46257</v>
      </c>
      <c r="I244" s="48" t="s">
        <v>1747</v>
      </c>
      <c r="J244" s="48" t="s">
        <v>1041</v>
      </c>
      <c r="K244" s="48" t="str">
        <f t="shared" si="60"/>
        <v>Airborne Laser Communication Terminal is a laser communication terminals product from All-Rays Satellite Technology for application-specific laboratory, engineering or industrial use.</v>
      </c>
      <c r="L244" s="48" t="str">
        <f t="shared" si="61"/>
        <v>Airborne Laser Communication Terminal from All-Rays Satellite Technology for laser communication terminals applications. Review configuration requirements and request technical information or a quotation from DIWAN.</v>
      </c>
      <c r="M244" s="48" t="s">
        <v>2020</v>
      </c>
      <c r="N244" s="61" t="s">
        <v>2672</v>
      </c>
      <c r="O244" s="54" t="str" cm="1">
        <f t="array" ref="O244">_xlfn.LET(_xlpm.n,LOWER(E244),_xlpm.c,LOWER(B244),_xlpm.t,_xlfn.IFS(OR(ISNUMBER(SEARCH("lens",_xlpm.n)),ISNUMBER(SEARCH("optic",_xlpm.n)),ISNUMBER(SEARCH("polarizer",_xlpm.n))),"precision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"),E244&amp;" is "&amp;_xlpm.art&amp;_xlpm.t&amp;" from "&amp;C244&amp;" designed for application-specific laboratory, engineering or industrial use. It belongs to DIWAN's "&amp;B244&amp;" portfolio; final configuration must be selected against performance, integration and compliance requirements.")</f>
        <v>Airborne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4" s="54" t="str">
        <f t="shared" si="62"/>
        <v>Selection should confirm the model-specific operating range, capacity, accuracy, interfaces, utilities, accessories, standards, environmental limits and service requirements. Final capabilities depend on the approved Airborne Laser Communication Terminal configuration.</v>
      </c>
      <c r="Q244" s="54"/>
      <c r="R244" s="54" t="str">
        <f t="shared" si="63"/>
        <v>Laser Communication Terminals applications; laboratory research, engineering development, quality control and industrial deployment where applicable. Suitability must be confirmed against the user's sample, process, environment and required standards.</v>
      </c>
      <c r="S244" s="54"/>
      <c r="T244" s="54" t="str">
        <f t="shared" si="64"/>
        <v>Airborne Laser Communication Terminal from All-Rays Satellite Technology</v>
      </c>
      <c r="U244" s="54"/>
      <c r="V244" s="54" t="s">
        <v>2673</v>
      </c>
      <c r="W244" s="54" t="str">
        <f t="shared" si="65"/>
        <v>See other Laser Communication Terminals products</v>
      </c>
      <c r="X244" s="54" t="str">
        <f t="shared" si="66"/>
        <v>Laser Communication Terminals enquiry → website group enquiry form → category owner assignment</v>
      </c>
      <c r="Y244" s="54" t="str">
        <f t="shared" si="67"/>
        <v>Airborne Laser Communication Terminal, Laser Communication Terminals, All-Rays Satellite Technology, technical equipment, DIWAN</v>
      </c>
      <c r="Z244" s="54" t="s">
        <v>2268</v>
      </c>
      <c r="AA244" s="55">
        <v>46257</v>
      </c>
      <c r="AB244" s="54" t="s">
        <v>2465</v>
      </c>
      <c r="AC244" s="63" t="str">
        <f t="shared" si="68"/>
        <v>Content drafted - assets/specs pending</v>
      </c>
      <c r="AD244"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4" s="58"/>
      <c r="AF244" s="58"/>
      <c r="AG244" s="58" t="s">
        <v>2467</v>
      </c>
      <c r="AH244" s="58" t="s">
        <v>2468</v>
      </c>
      <c r="AI244" s="58" t="s">
        <v>2469</v>
      </c>
    </row>
    <row r="245" spans="1:35" ht="42" customHeight="1" x14ac:dyDescent="0.35">
      <c r="A245" s="69">
        <f t="shared" si="59"/>
        <v>49</v>
      </c>
      <c r="B245" s="70" t="s">
        <v>284</v>
      </c>
      <c r="C245" s="71" t="s">
        <v>13</v>
      </c>
      <c r="D245" s="72" t="s">
        <v>12</v>
      </c>
      <c r="E245" s="45" t="s">
        <v>289</v>
      </c>
      <c r="F245" s="49" t="s">
        <v>3011</v>
      </c>
      <c r="G245" s="45" t="s">
        <v>3045</v>
      </c>
      <c r="H245" s="47">
        <v>46257</v>
      </c>
      <c r="I245" s="48" t="s">
        <v>1748</v>
      </c>
      <c r="J245" s="48" t="s">
        <v>1042</v>
      </c>
      <c r="K245" s="48" t="str">
        <f t="shared" si="60"/>
        <v>5G Laser Communication Terminal Between Base Stations is a laser communication terminals product from All-Rays Satellite Technology for application-specific laboratory, engineering or industrial use.</v>
      </c>
      <c r="L245" s="48" t="str">
        <f t="shared" si="61"/>
        <v>5G Laser Communication Terminal Between Base Stations from All-Rays Satellite Technology for laser communication terminals applications. Review configuration requirements and request technical information or a quotation from DIWAN.</v>
      </c>
      <c r="M245" s="48" t="s">
        <v>2020</v>
      </c>
      <c r="N245" s="61" t="s">
        <v>2672</v>
      </c>
      <c r="O245" s="54" t="str" cm="1">
        <f t="array" ref="O245">_xlfn.LET(_xlpm.n,LOWER(E245),_xlpm.c,LOWER(B245),_xlpm.t,_xlfn.IFS(OR(ISNUMBER(SEARCH("lens",_xlpm.n)),ISNUMBER(SEARCH("optic",_xlpm.n)),ISNUMBER(SEARCH("polarizer",_xlpm.n))),"precision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"),E245&amp;" is "&amp;_xlpm.art&amp;_xlpm.t&amp;" from "&amp;C245&amp;" designed for application-specific laboratory, engineering or industrial use. It belongs to DIWAN's "&amp;B245&amp;" portfolio; final configuration must be selected against performance, integration and compliance requirements.")</f>
        <v>5G Laser Communication Terminal Between Base Stations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5" s="54" t="str">
        <f t="shared" si="62"/>
        <v>Selection should confirm the model-specific operating range, capacity, accuracy, interfaces, utilities, accessories, standards, environmental limits and service requirements. Final capabilities depend on the approved 5G Laser Communication Terminal Between Base Stations configuration.</v>
      </c>
      <c r="Q245" s="54"/>
      <c r="R245" s="54" t="str">
        <f t="shared" si="63"/>
        <v>Laser Communication Terminals applications; laboratory research, engineering development, quality control and industrial deployment where applicable. Suitability must be confirmed against the user's sample, process, environment and required standards.</v>
      </c>
      <c r="S245" s="54"/>
      <c r="T245" s="54" t="str">
        <f t="shared" si="64"/>
        <v>5G Laser Communication Terminal Between Base Stations from All-Rays Satellite Technology</v>
      </c>
      <c r="U245" s="54"/>
      <c r="V245" s="54" t="s">
        <v>2673</v>
      </c>
      <c r="W245" s="54" t="str">
        <f t="shared" si="65"/>
        <v>See other Laser Communication Terminals products</v>
      </c>
      <c r="X245" s="54" t="str">
        <f t="shared" si="66"/>
        <v>Laser Communication Terminals enquiry → website group enquiry form → category owner assignment</v>
      </c>
      <c r="Y245" s="54" t="str">
        <f t="shared" si="67"/>
        <v>5G Laser Communication Terminal Between Base Stations, Laser Communication Terminals, All-Rays Satellite Technology, technical equipment, DIWAN</v>
      </c>
      <c r="Z245" s="54" t="s">
        <v>2268</v>
      </c>
      <c r="AA245" s="55">
        <v>46257</v>
      </c>
      <c r="AB245" s="54" t="s">
        <v>2465</v>
      </c>
      <c r="AC245" s="63" t="str">
        <f t="shared" si="68"/>
        <v>Content drafted - assets/specs pending</v>
      </c>
      <c r="AD245"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5" s="58"/>
      <c r="AF245" s="58"/>
      <c r="AG245" s="58" t="s">
        <v>2467</v>
      </c>
      <c r="AH245" s="58" t="s">
        <v>2468</v>
      </c>
      <c r="AI245" s="58" t="s">
        <v>2469</v>
      </c>
    </row>
    <row r="246" spans="1:35" ht="42" customHeight="1" x14ac:dyDescent="0.35">
      <c r="A246" s="69">
        <f t="shared" si="59"/>
        <v>49</v>
      </c>
      <c r="B246" s="70" t="s">
        <v>284</v>
      </c>
      <c r="C246" s="71" t="s">
        <v>13</v>
      </c>
      <c r="D246" s="72" t="s">
        <v>12</v>
      </c>
      <c r="E246" s="45" t="s">
        <v>290</v>
      </c>
      <c r="F246" s="49" t="s">
        <v>3011</v>
      </c>
      <c r="G246" s="45" t="s">
        <v>3045</v>
      </c>
      <c r="H246" s="47">
        <v>46257</v>
      </c>
      <c r="I246" s="48" t="s">
        <v>1749</v>
      </c>
      <c r="J246" s="48" t="s">
        <v>1043</v>
      </c>
      <c r="K246" s="48" t="str">
        <f t="shared" si="60"/>
        <v>Portable Laser Communication Terminal is a laser communication terminals product from All-Rays Satellite Technology for application-specific laboratory, engineering or industrial use.</v>
      </c>
      <c r="L246" s="48" t="str">
        <f t="shared" si="61"/>
        <v>Portable Laser Communication Terminal from All-Rays Satellite Technology for laser communication terminals applications. Review configuration requirements and request technical information or a quotation from DIWAN.</v>
      </c>
      <c r="M246" s="48" t="s">
        <v>2020</v>
      </c>
      <c r="N246" s="61" t="s">
        <v>2672</v>
      </c>
      <c r="O246" s="54" t="str" cm="1">
        <f t="array" ref="O246">_xlfn.LET(_xlpm.n,LOWER(E246),_xlpm.c,LOWER(B246),_xlpm.t,_xlfn.IFS(OR(ISNUMBER(SEARCH("lens",_xlpm.n)),ISNUMBER(SEARCH("optic",_xlpm.n)),ISNUMBER(SEARCH("polarizer",_xlpm.n))),"precision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"),E246&amp;" is "&amp;_xlpm.art&amp;_xlpm.t&amp;" from "&amp;C246&amp;" designed for application-specific laboratory, engineering or industrial use. It belongs to DIWAN's "&amp;B246&amp;" portfolio; final configuration must be selected against performance, integration and compliance requirements.")</f>
        <v>Portable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6" s="54" t="str">
        <f t="shared" si="62"/>
        <v>Selection should confirm the model-specific operating range, capacity, accuracy, interfaces, utilities, accessories, standards, environmental limits and service requirements. Final capabilities depend on the approved Portable Laser Communication Terminal configuration.</v>
      </c>
      <c r="Q246" s="54"/>
      <c r="R246" s="54" t="str">
        <f t="shared" si="63"/>
        <v>Laser Communication Terminals applications; laboratory research, engineering development, quality control and industrial deployment where applicable. Suitability must be confirmed against the user's sample, process, environment and required standards.</v>
      </c>
      <c r="S246" s="54"/>
      <c r="T246" s="54" t="str">
        <f t="shared" si="64"/>
        <v>Portable Laser Communication Terminal from All-Rays Satellite Technology</v>
      </c>
      <c r="U246" s="54"/>
      <c r="V246" s="54" t="s">
        <v>2673</v>
      </c>
      <c r="W246" s="54" t="str">
        <f t="shared" si="65"/>
        <v>See other Laser Communication Terminals products</v>
      </c>
      <c r="X246" s="54" t="str">
        <f t="shared" si="66"/>
        <v>Laser Communication Terminals enquiry → website group enquiry form → category owner assignment</v>
      </c>
      <c r="Y246" s="54" t="str">
        <f t="shared" si="67"/>
        <v>Portable Laser Communication Terminal, Laser Communication Terminals, All-Rays Satellite Technology, technical equipment, DIWAN</v>
      </c>
      <c r="Z246" s="54" t="s">
        <v>2268</v>
      </c>
      <c r="AA246" s="55">
        <v>46257</v>
      </c>
      <c r="AB246" s="54" t="s">
        <v>2465</v>
      </c>
      <c r="AC246" s="63" t="str">
        <f t="shared" si="68"/>
        <v>Content drafted - assets/specs pending</v>
      </c>
      <c r="AD24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6" s="58"/>
      <c r="AF246" s="58"/>
      <c r="AG246" s="58" t="s">
        <v>2467</v>
      </c>
      <c r="AH246" s="58" t="s">
        <v>2468</v>
      </c>
      <c r="AI246" s="58" t="s">
        <v>2469</v>
      </c>
    </row>
    <row r="247" spans="1:35" ht="42" customHeight="1" x14ac:dyDescent="0.35">
      <c r="A247" s="69">
        <f t="shared" si="59"/>
        <v>49</v>
      </c>
      <c r="B247" s="70" t="s">
        <v>284</v>
      </c>
      <c r="C247" s="71" t="s">
        <v>13</v>
      </c>
      <c r="D247" s="72" t="s">
        <v>12</v>
      </c>
      <c r="E247" s="45" t="s">
        <v>291</v>
      </c>
      <c r="F247" s="49" t="s">
        <v>3011</v>
      </c>
      <c r="G247" s="45" t="s">
        <v>3045</v>
      </c>
      <c r="H247" s="47">
        <v>46257</v>
      </c>
      <c r="I247" s="48" t="s">
        <v>1750</v>
      </c>
      <c r="J247" s="48" t="s">
        <v>1044</v>
      </c>
      <c r="K247" s="48" t="str">
        <f t="shared" si="60"/>
        <v>Underwater Laser Communication Terminal is a laser communication terminals product from All-Rays Satellite Technology for application-specific laboratory, engineering or industrial use.</v>
      </c>
      <c r="L247" s="48" t="str">
        <f t="shared" si="61"/>
        <v>Underwater Laser Communication Terminal from All-Rays Satellite Technology for laser communication terminals applications. Review configuration requirements and request technical information or a quotation from DIWAN.</v>
      </c>
      <c r="M247" s="48" t="s">
        <v>2020</v>
      </c>
      <c r="N247" s="61" t="s">
        <v>2672</v>
      </c>
      <c r="O247" s="54" t="str" cm="1">
        <f t="array" ref="O247">_xlfn.LET(_xlpm.n,LOWER(E247),_xlpm.c,LOWER(B247),_xlpm.t,_xlfn.IFS(OR(ISNUMBER(SEARCH("lens",_xlpm.n)),ISNUMBER(SEARCH("optic",_xlpm.n)),ISNUMBER(SEARCH("polarizer",_xlpm.n))),"precision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"),E247&amp;" is "&amp;_xlpm.art&amp;_xlpm.t&amp;" from "&amp;C247&amp;" designed for application-specific laboratory, engineering or industrial use. It belongs to DIWAN's "&amp;B247&amp;" portfolio; final configuration must be selected against performance, integration and compliance requirements.")</f>
        <v>Underwater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7" s="54" t="str">
        <f t="shared" si="62"/>
        <v>Selection should confirm the model-specific operating range, capacity, accuracy, interfaces, utilities, accessories, standards, environmental limits and service requirements. Final capabilities depend on the approved Underwater Laser Communication Terminal configuration.</v>
      </c>
      <c r="Q247" s="54"/>
      <c r="R247" s="54" t="str">
        <f t="shared" si="63"/>
        <v>Laser Communication Terminals applications; laboratory research, engineering development, quality control and industrial deployment where applicable. Suitability must be confirmed against the user's sample, process, environment and required standards.</v>
      </c>
      <c r="S247" s="54"/>
      <c r="T247" s="54" t="str">
        <f t="shared" si="64"/>
        <v>Underwater Laser Communication Terminal from All-Rays Satellite Technology</v>
      </c>
      <c r="U247" s="54"/>
      <c r="V247" s="54" t="s">
        <v>2673</v>
      </c>
      <c r="W247" s="54" t="str">
        <f t="shared" si="65"/>
        <v>See other Laser Communication Terminals products</v>
      </c>
      <c r="X247" s="54" t="str">
        <f t="shared" si="66"/>
        <v>Laser Communication Terminals enquiry → website group enquiry form → category owner assignment</v>
      </c>
      <c r="Y247" s="54" t="str">
        <f t="shared" si="67"/>
        <v>Underwater Laser Communication Terminal, Laser Communication Terminals, All-Rays Satellite Technology, technical equipment, DIWAN</v>
      </c>
      <c r="Z247" s="54" t="s">
        <v>2268</v>
      </c>
      <c r="AA247" s="55">
        <v>46257</v>
      </c>
      <c r="AB247" s="54" t="s">
        <v>2465</v>
      </c>
      <c r="AC247" s="63" t="str">
        <f t="shared" si="68"/>
        <v>Content drafted - assets/specs pending</v>
      </c>
      <c r="AD247"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7" s="58"/>
      <c r="AF247" s="58"/>
      <c r="AG247" s="58" t="s">
        <v>2467</v>
      </c>
      <c r="AH247" s="58" t="s">
        <v>2468</v>
      </c>
      <c r="AI247" s="58" t="s">
        <v>2469</v>
      </c>
    </row>
    <row r="248" spans="1:35" ht="42" customHeight="1" thickBot="1" x14ac:dyDescent="0.4">
      <c r="A248" s="69">
        <f t="shared" si="59"/>
        <v>49</v>
      </c>
      <c r="B248" s="70" t="s">
        <v>284</v>
      </c>
      <c r="C248" s="71" t="s">
        <v>13</v>
      </c>
      <c r="D248" s="72" t="s">
        <v>12</v>
      </c>
      <c r="E248" s="45" t="s">
        <v>292</v>
      </c>
      <c r="F248" s="49" t="s">
        <v>3011</v>
      </c>
      <c r="G248" s="45" t="s">
        <v>3045</v>
      </c>
      <c r="H248" s="47">
        <v>46257</v>
      </c>
      <c r="I248" s="48" t="s">
        <v>1751</v>
      </c>
      <c r="J248" s="48" t="s">
        <v>1045</v>
      </c>
      <c r="K248" s="48" t="str">
        <f t="shared" si="60"/>
        <v>Vehicle-Mounted Laser Communication Terminal is a laser communication terminals product from All-Rays Satellite Technology for application-specific laboratory, engineering or industrial use.</v>
      </c>
      <c r="L248" s="48" t="str">
        <f t="shared" si="61"/>
        <v>Vehicle-Mounted Laser Communication Terminal from All-Rays Satellite Technology for laser communication terminals applications. Review configuration requirements and request technical information or a quotation from DIWAN.</v>
      </c>
      <c r="M248" s="48" t="s">
        <v>2020</v>
      </c>
      <c r="N248" s="61" t="s">
        <v>2672</v>
      </c>
      <c r="O248" s="54" t="str" cm="1">
        <f t="array" ref="O248">_xlfn.LET(_xlpm.n,LOWER(E248),_xlpm.c,LOWER(B248),_xlpm.t,_xlfn.IFS(OR(ISNUMBER(SEARCH("lens",_xlpm.n)),ISNUMBER(SEARCH("optic",_xlpm.n)),ISNUMBER(SEARCH("polarizer",_xlpm.n))),"precision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"),E248&amp;" is "&amp;_xlpm.art&amp;_xlpm.t&amp;" from "&amp;C248&amp;" designed for application-specific laboratory, engineering or industrial use. It belongs to DIWAN's "&amp;B248&amp;" portfolio; final configuration must be selected against performance, integration and compliance requirements.")</f>
        <v>Vehicle-Mounted Laser Communication Terminal is a space or sensing subsystem from All-Rays Satellite Technology designed for application-specific laboratory, engineering or industrial use. It belongs to DIWAN's Laser Communication Terminals portfolio; final configuration must be selected against performance, integration and compliance requirements.</v>
      </c>
      <c r="P248" s="54" t="str">
        <f t="shared" si="62"/>
        <v>Selection should confirm the model-specific operating range, capacity, accuracy, interfaces, utilities, accessories, standards, environmental limits and service requirements. Final capabilities depend on the approved Vehicle-Mounted Laser Communication Terminal configuration.</v>
      </c>
      <c r="Q248" s="54"/>
      <c r="R248" s="54" t="str">
        <f t="shared" si="63"/>
        <v>Laser Communication Terminals applications; laboratory research, engineering development, quality control and industrial deployment where applicable. Suitability must be confirmed against the user's sample, process, environment and required standards.</v>
      </c>
      <c r="S248" s="54"/>
      <c r="T248" s="54" t="str">
        <f t="shared" si="64"/>
        <v>Vehicle-Mounted Laser Communication Terminal from All-Rays Satellite Technology</v>
      </c>
      <c r="U248" s="54"/>
      <c r="V248" s="54" t="s">
        <v>2673</v>
      </c>
      <c r="W248" s="54" t="str">
        <f t="shared" si="65"/>
        <v>See other Laser Communication Terminals products</v>
      </c>
      <c r="X248" s="54" t="str">
        <f t="shared" si="66"/>
        <v>Laser Communication Terminals enquiry → website group enquiry form → category owner assignment</v>
      </c>
      <c r="Y248" s="54" t="str">
        <f t="shared" si="67"/>
        <v>Vehicle-Mounted Laser Communication Terminal, Laser Communication Terminals, All-Rays Satellite Technology, technical equipment, DIWAN</v>
      </c>
      <c r="Z248" s="54" t="s">
        <v>2268</v>
      </c>
      <c r="AA248" s="55">
        <v>46257</v>
      </c>
      <c r="AB248" s="54" t="s">
        <v>2465</v>
      </c>
      <c r="AC248" s="63" t="str">
        <f t="shared" si="68"/>
        <v>Content drafted - assets/specs pending</v>
      </c>
      <c r="AD248"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8" s="58"/>
      <c r="AF248" s="58"/>
      <c r="AG248" s="58" t="s">
        <v>2467</v>
      </c>
      <c r="AH248" s="58" t="s">
        <v>2468</v>
      </c>
      <c r="AI248" s="58" t="s">
        <v>2469</v>
      </c>
    </row>
    <row r="249" spans="1:35" ht="42" customHeight="1" x14ac:dyDescent="0.35">
      <c r="A249" s="69">
        <f t="shared" si="59"/>
        <v>50</v>
      </c>
      <c r="B249" s="74" t="s">
        <v>293</v>
      </c>
      <c r="C249" s="75" t="s">
        <v>13</v>
      </c>
      <c r="D249" s="76" t="s">
        <v>12</v>
      </c>
      <c r="E249" s="77" t="s">
        <v>294</v>
      </c>
      <c r="F249" s="86" t="s">
        <v>3012</v>
      </c>
      <c r="G249" s="77" t="s">
        <v>3045</v>
      </c>
      <c r="H249" s="79">
        <v>46257</v>
      </c>
      <c r="I249" s="80" t="s">
        <v>1752</v>
      </c>
      <c r="J249" s="80" t="s">
        <v>1046</v>
      </c>
      <c r="K249" s="80" t="str">
        <f t="shared" si="60"/>
        <v>13-Meter Fixed Station Antenna is a satellite ground stations product from All-Rays Satellite Technology for application-specific laboratory, engineering or industrial use.</v>
      </c>
      <c r="L249" s="80" t="str">
        <f t="shared" si="61"/>
        <v>13-Meter Fixed Station Antenna from All-Rays Satellite Technology for satellite ground stations applications. Review configuration requirements and request technical information or a quotation from DIWAN.</v>
      </c>
      <c r="M249" s="80" t="s">
        <v>2020</v>
      </c>
      <c r="N249" s="81" t="s">
        <v>2672</v>
      </c>
      <c r="O249" s="82" t="str" cm="1">
        <f t="array" ref="O249">_xlfn.LET(_xlpm.n,LOWER(E249),_xlpm.c,LOWER(B249),_xlpm.t,_xlfn.IFS(OR(ISNUMBER(SEARCH("lens",_xlpm.n)),ISNUMBER(SEARCH("optic",_xlpm.n)),ISNUMBER(SEARCH("polarizer",_xlpm.n))),"precision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"),E249&amp;" is "&amp;_xlpm.art&amp;_xlpm.t&amp;" from "&amp;C249&amp;" designed for application-specific laboratory, engineering or industrial use. It belongs to DIWAN's "&amp;B249&amp;" portfolio; final configuration must be selected against performance, integration and compliance requirements.")</f>
        <v>13-Meter Fixed Station Antenna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49" s="82" t="str">
        <f t="shared" si="62"/>
        <v>Selection should confirm the model-specific operating range, capacity, accuracy, interfaces, utilities, accessories, standards, environmental limits and service requirements. Final capabilities depend on the approved 13-Meter Fixed Station Antenna configuration.</v>
      </c>
      <c r="Q249" s="82"/>
      <c r="R249" s="82" t="str">
        <f t="shared" si="63"/>
        <v>Satellite Ground Stations applications; laboratory research, engineering development, quality control and industrial deployment where applicable. Suitability must be confirmed against the user's sample, process, environment and required standards.</v>
      </c>
      <c r="S249" s="82"/>
      <c r="T249" s="82" t="str">
        <f t="shared" si="64"/>
        <v>13-Meter Fixed Station Antenna from All-Rays Satellite Technology</v>
      </c>
      <c r="U249" s="82"/>
      <c r="V249" s="82" t="s">
        <v>2673</v>
      </c>
      <c r="W249" s="82" t="str">
        <f t="shared" si="65"/>
        <v>See other Satellite Ground Stations products</v>
      </c>
      <c r="X249" s="82" t="str">
        <f t="shared" si="66"/>
        <v>Satellite Ground Stations enquiry → website group enquiry form → category owner assignment</v>
      </c>
      <c r="Y249" s="82" t="str">
        <f t="shared" si="67"/>
        <v>13-Meter Fixed Station Antenna, Satellite Ground Stations, All-Rays Satellite Technology, technical equipment, DIWAN</v>
      </c>
      <c r="Z249" s="82" t="s">
        <v>2269</v>
      </c>
      <c r="AA249" s="83">
        <v>46257</v>
      </c>
      <c r="AB249" s="82" t="s">
        <v>2465</v>
      </c>
      <c r="AC249" s="84" t="str">
        <f t="shared" si="68"/>
        <v>Content drafted - assets/specs pending</v>
      </c>
      <c r="AD249"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49" s="85"/>
      <c r="AF249" s="85"/>
      <c r="AG249" s="85" t="s">
        <v>2467</v>
      </c>
      <c r="AH249" s="85" t="s">
        <v>2468</v>
      </c>
      <c r="AI249" s="85" t="s">
        <v>2469</v>
      </c>
    </row>
    <row r="250" spans="1:35" ht="42" customHeight="1" x14ac:dyDescent="0.35">
      <c r="A250" s="69">
        <f t="shared" si="59"/>
        <v>50</v>
      </c>
      <c r="B250" s="70" t="s">
        <v>293</v>
      </c>
      <c r="C250" s="71" t="s">
        <v>13</v>
      </c>
      <c r="D250" s="72" t="s">
        <v>12</v>
      </c>
      <c r="E250" s="45" t="s">
        <v>295</v>
      </c>
      <c r="F250" s="49" t="s">
        <v>3012</v>
      </c>
      <c r="G250" s="45" t="s">
        <v>3045</v>
      </c>
      <c r="H250" s="47">
        <v>46257</v>
      </c>
      <c r="I250" s="48" t="s">
        <v>1753</v>
      </c>
      <c r="J250" s="48" t="s">
        <v>1047</v>
      </c>
      <c r="K250" s="48" t="str">
        <f t="shared" si="60"/>
        <v>9.0-Meter Fixed Station Antenna is a satellite ground stations product from All-Rays Satellite Technology for application-specific laboratory, engineering or industrial use.</v>
      </c>
      <c r="L250" s="48" t="str">
        <f t="shared" si="61"/>
        <v>9.0-Meter Fixed Station Antenna from All-Rays Satellite Technology for satellite ground stations applications. Review configuration requirements and request technical information or a quotation from DIWAN.</v>
      </c>
      <c r="M250" s="48" t="s">
        <v>2020</v>
      </c>
      <c r="N250" s="61" t="s">
        <v>2672</v>
      </c>
      <c r="O250" s="54" t="str" cm="1">
        <f t="array" ref="O250">_xlfn.LET(_xlpm.n,LOWER(E250),_xlpm.c,LOWER(B250),_xlpm.t,_xlfn.IFS(OR(ISNUMBER(SEARCH("lens",_xlpm.n)),ISNUMBER(SEARCH("optic",_xlpm.n)),ISNUMBER(SEARCH("polarizer",_xlpm.n))),"precision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"),E250&amp;" is "&amp;_xlpm.art&amp;_xlpm.t&amp;" from "&amp;C250&amp;" designed for application-specific laboratory, engineering or industrial use. It belongs to DIWAN's "&amp;B250&amp;" portfolio; final configuration must be selected against performance, integration and compliance requirements.")</f>
        <v>9.0-Meter Fixed Station Antenna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50" s="54" t="str">
        <f t="shared" si="62"/>
        <v>Selection should confirm the model-specific operating range, capacity, accuracy, interfaces, utilities, accessories, standards, environmental limits and service requirements. Final capabilities depend on the approved 9.0-Meter Fixed Station Antenna configuration.</v>
      </c>
      <c r="Q250" s="54"/>
      <c r="R250" s="54" t="str">
        <f t="shared" si="63"/>
        <v>Satellite Ground Stations applications; laboratory research, engineering development, quality control and industrial deployment where applicable. Suitability must be confirmed against the user's sample, process, environment and required standards.</v>
      </c>
      <c r="S250" s="54"/>
      <c r="T250" s="54" t="str">
        <f t="shared" si="64"/>
        <v>9.0-Meter Fixed Station Antenna from All-Rays Satellite Technology</v>
      </c>
      <c r="U250" s="54"/>
      <c r="V250" s="54" t="s">
        <v>2673</v>
      </c>
      <c r="W250" s="54" t="str">
        <f t="shared" si="65"/>
        <v>See other Satellite Ground Stations products</v>
      </c>
      <c r="X250" s="54" t="str">
        <f t="shared" si="66"/>
        <v>Satellite Ground Stations enquiry → website group enquiry form → category owner assignment</v>
      </c>
      <c r="Y250" s="54" t="str">
        <f t="shared" si="67"/>
        <v>9.0-Meter Fixed Station Antenna, Satellite Ground Stations, All-Rays Satellite Technology, technical equipment, DIWAN</v>
      </c>
      <c r="Z250" s="54" t="s">
        <v>2269</v>
      </c>
      <c r="AA250" s="55">
        <v>46257</v>
      </c>
      <c r="AB250" s="54" t="s">
        <v>2465</v>
      </c>
      <c r="AC250" s="63" t="str">
        <f t="shared" si="68"/>
        <v>Content drafted - assets/specs pending</v>
      </c>
      <c r="AD25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0" s="58"/>
      <c r="AF250" s="58"/>
      <c r="AG250" s="58" t="s">
        <v>2467</v>
      </c>
      <c r="AH250" s="58" t="s">
        <v>2468</v>
      </c>
      <c r="AI250" s="58" t="s">
        <v>2469</v>
      </c>
    </row>
    <row r="251" spans="1:35" ht="42" customHeight="1" x14ac:dyDescent="0.35">
      <c r="A251" s="69">
        <f t="shared" si="59"/>
        <v>50</v>
      </c>
      <c r="B251" s="70" t="s">
        <v>293</v>
      </c>
      <c r="C251" s="71" t="s">
        <v>13</v>
      </c>
      <c r="D251" s="72" t="s">
        <v>12</v>
      </c>
      <c r="E251" s="45" t="s">
        <v>296</v>
      </c>
      <c r="F251" s="49" t="s">
        <v>3012</v>
      </c>
      <c r="G251" s="45" t="s">
        <v>3045</v>
      </c>
      <c r="H251" s="47">
        <v>46257</v>
      </c>
      <c r="I251" s="48" t="s">
        <v>1754</v>
      </c>
      <c r="J251" s="48" t="s">
        <v>1048</v>
      </c>
      <c r="K251" s="48" t="str">
        <f t="shared" si="60"/>
        <v>Fixed Station Antenna (3.7-7.3m) is a satellite ground stations product from All-Rays Satellite Technology for application-specific laboratory, engineering or industrial use.</v>
      </c>
      <c r="L251" s="48" t="str">
        <f t="shared" si="61"/>
        <v>Fixed Station Antenna (3.7-7.3m) from All-Rays Satellite Technology for satellite ground stations applications. Review configuration requirements and request technical information or a quotation from DIWAN.</v>
      </c>
      <c r="M251" s="48" t="s">
        <v>2020</v>
      </c>
      <c r="N251" s="61" t="s">
        <v>2672</v>
      </c>
      <c r="O251" s="54" t="str" cm="1">
        <f t="array" ref="O251">_xlfn.LET(_xlpm.n,LOWER(E251),_xlpm.c,LOWER(B251),_xlpm.t,_xlfn.IFS(OR(ISNUMBER(SEARCH("lens",_xlpm.n)),ISNUMBER(SEARCH("optic",_xlpm.n)),ISNUMBER(SEARCH("polarizer",_xlpm.n))),"precision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"),E251&amp;" is "&amp;_xlpm.art&amp;_xlpm.t&amp;" from "&amp;C251&amp;" designed for application-specific laboratory, engineering or industrial use. It belongs to DIWAN's "&amp;B251&amp;" portfolio; final configuration must be selected against performance, integration and compliance requirements.")</f>
        <v>Fixed Station Antenna (3.7-7.3m)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51" s="54" t="str">
        <f t="shared" si="62"/>
        <v>Selection should confirm the model-specific operating range, capacity, accuracy, interfaces, utilities, accessories, standards, environmental limits and service requirements. Final capabilities depend on the approved Fixed Station Antenna (3.7-7.3m) configuration.</v>
      </c>
      <c r="Q251" s="54"/>
      <c r="R251" s="54" t="str">
        <f t="shared" si="63"/>
        <v>Satellite Ground Stations applications; laboratory research, engineering development, quality control and industrial deployment where applicable. Suitability must be confirmed against the user's sample, process, environment and required standards.</v>
      </c>
      <c r="S251" s="54"/>
      <c r="T251" s="54" t="str">
        <f t="shared" si="64"/>
        <v>Fixed Station Antenna (3.7-7.3m) from All-Rays Satellite Technology</v>
      </c>
      <c r="U251" s="54"/>
      <c r="V251" s="54" t="s">
        <v>2673</v>
      </c>
      <c r="W251" s="54" t="str">
        <f t="shared" si="65"/>
        <v>See other Satellite Ground Stations products</v>
      </c>
      <c r="X251" s="54" t="str">
        <f t="shared" si="66"/>
        <v>Satellite Ground Stations enquiry → website group enquiry form → category owner assignment</v>
      </c>
      <c r="Y251" s="54" t="str">
        <f t="shared" si="67"/>
        <v>Fixed Station Antenna (3.7-7.3m), Satellite Ground Stations, All-Rays Satellite Technology, technical equipment, DIWAN</v>
      </c>
      <c r="Z251" s="54" t="s">
        <v>2269</v>
      </c>
      <c r="AA251" s="55">
        <v>46257</v>
      </c>
      <c r="AB251" s="54" t="s">
        <v>2465</v>
      </c>
      <c r="AC251" s="63" t="str">
        <f t="shared" si="68"/>
        <v>Content drafted - assets/specs pending</v>
      </c>
      <c r="AD251"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1" s="58"/>
      <c r="AF251" s="58"/>
      <c r="AG251" s="58" t="s">
        <v>2467</v>
      </c>
      <c r="AH251" s="58" t="s">
        <v>2468</v>
      </c>
      <c r="AI251" s="58" t="s">
        <v>2469</v>
      </c>
    </row>
    <row r="252" spans="1:35" ht="42" customHeight="1" x14ac:dyDescent="0.35">
      <c r="A252" s="69">
        <f t="shared" si="59"/>
        <v>50</v>
      </c>
      <c r="B252" s="70" t="s">
        <v>293</v>
      </c>
      <c r="C252" s="71" t="s">
        <v>13</v>
      </c>
      <c r="D252" s="72" t="s">
        <v>12</v>
      </c>
      <c r="E252" s="45" t="s">
        <v>297</v>
      </c>
      <c r="F252" s="49" t="s">
        <v>3012</v>
      </c>
      <c r="G252" s="45" t="s">
        <v>3045</v>
      </c>
      <c r="H252" s="47">
        <v>46257</v>
      </c>
      <c r="I252" s="48" t="s">
        <v>1755</v>
      </c>
      <c r="J252" s="48" t="s">
        <v>1049</v>
      </c>
      <c r="K252" s="48" t="str">
        <f t="shared" si="60"/>
        <v>Fixed Station Antenna (1.8-3.0m) is a satellite ground stations product from All-Rays Satellite Technology for application-specific laboratory, engineering or industrial use.</v>
      </c>
      <c r="L252" s="48" t="str">
        <f t="shared" si="61"/>
        <v>Fixed Station Antenna (1.8-3.0m) from All-Rays Satellite Technology for satellite ground stations applications. Review configuration requirements and request technical information or a quotation from DIWAN.</v>
      </c>
      <c r="M252" s="48" t="s">
        <v>2020</v>
      </c>
      <c r="N252" s="61" t="s">
        <v>2672</v>
      </c>
      <c r="O252" s="54" t="str" cm="1">
        <f t="array" ref="O252">_xlfn.LET(_xlpm.n,LOWER(E252),_xlpm.c,LOWER(B252),_xlpm.t,_xlfn.IFS(OR(ISNUMBER(SEARCH("lens",_xlpm.n)),ISNUMBER(SEARCH("optic",_xlpm.n)),ISNUMBER(SEARCH("polarizer",_xlpm.n))),"precision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"),E252&amp;" is "&amp;_xlpm.art&amp;_xlpm.t&amp;" from "&amp;C252&amp;" designed for application-specific laboratory, engineering or industrial use. It belongs to DIWAN's "&amp;B252&amp;" portfolio; final configuration must be selected against performance, integration and compliance requirements.")</f>
        <v>Fixed Station Antenna (1.8-3.0m)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52" s="54" t="str">
        <f t="shared" si="62"/>
        <v>Selection should confirm the model-specific operating range, capacity, accuracy, interfaces, utilities, accessories, standards, environmental limits and service requirements. Final capabilities depend on the approved Fixed Station Antenna (1.8-3.0m) configuration.</v>
      </c>
      <c r="Q252" s="54"/>
      <c r="R252" s="54" t="str">
        <f t="shared" si="63"/>
        <v>Satellite Ground Stations applications; laboratory research, engineering development, quality control and industrial deployment where applicable. Suitability must be confirmed against the user's sample, process, environment and required standards.</v>
      </c>
      <c r="S252" s="54"/>
      <c r="T252" s="54" t="str">
        <f t="shared" si="64"/>
        <v>Fixed Station Antenna (1.8-3.0m) from All-Rays Satellite Technology</v>
      </c>
      <c r="U252" s="54"/>
      <c r="V252" s="54" t="s">
        <v>2673</v>
      </c>
      <c r="W252" s="54" t="str">
        <f t="shared" si="65"/>
        <v>See other Satellite Ground Stations products</v>
      </c>
      <c r="X252" s="54" t="str">
        <f t="shared" si="66"/>
        <v>Satellite Ground Stations enquiry → website group enquiry form → category owner assignment</v>
      </c>
      <c r="Y252" s="54" t="str">
        <f t="shared" si="67"/>
        <v>Fixed Station Antenna (1.8-3.0m), Satellite Ground Stations, All-Rays Satellite Technology, technical equipment, DIWAN</v>
      </c>
      <c r="Z252" s="54" t="s">
        <v>2269</v>
      </c>
      <c r="AA252" s="55">
        <v>46257</v>
      </c>
      <c r="AB252" s="54" t="s">
        <v>2465</v>
      </c>
      <c r="AC252" s="63" t="str">
        <f t="shared" si="68"/>
        <v>Content drafted - assets/specs pending</v>
      </c>
      <c r="AD25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2" s="58"/>
      <c r="AF252" s="58"/>
      <c r="AG252" s="58" t="s">
        <v>2467</v>
      </c>
      <c r="AH252" s="58" t="s">
        <v>2468</v>
      </c>
      <c r="AI252" s="58" t="s">
        <v>2469</v>
      </c>
    </row>
    <row r="253" spans="1:35" ht="42" customHeight="1" x14ac:dyDescent="0.35">
      <c r="A253" s="69">
        <f t="shared" si="59"/>
        <v>50</v>
      </c>
      <c r="B253" s="70" t="s">
        <v>293</v>
      </c>
      <c r="C253" s="71" t="s">
        <v>13</v>
      </c>
      <c r="D253" s="72" t="s">
        <v>12</v>
      </c>
      <c r="E253" s="45" t="s">
        <v>298</v>
      </c>
      <c r="F253" s="49" t="s">
        <v>3012</v>
      </c>
      <c r="G253" s="45" t="s">
        <v>3045</v>
      </c>
      <c r="H253" s="47">
        <v>46257</v>
      </c>
      <c r="I253" s="48" t="s">
        <v>1756</v>
      </c>
      <c r="J253" s="48" t="s">
        <v>1050</v>
      </c>
      <c r="K253" s="48" t="str">
        <f t="shared" si="60"/>
        <v>Portable Station Antenna Series is a satellite ground stations product from All-Rays Satellite Technology for application-specific laboratory, engineering or industrial use.</v>
      </c>
      <c r="L253" s="48" t="str">
        <f t="shared" si="61"/>
        <v>Portable Station Antenna Series from All-Rays Satellite Technology for satellite ground stations applications. Review configuration requirements and request technical information or a quotation from DIWAN.</v>
      </c>
      <c r="M253" s="48" t="s">
        <v>2020</v>
      </c>
      <c r="N253" s="61" t="s">
        <v>2672</v>
      </c>
      <c r="O253" s="54" t="str" cm="1">
        <f t="array" ref="O253">_xlfn.LET(_xlpm.n,LOWER(E253),_xlpm.c,LOWER(B253),_xlpm.t,_xlfn.IFS(OR(ISNUMBER(SEARCH("lens",_xlpm.n)),ISNUMBER(SEARCH("optic",_xlpm.n)),ISNUMBER(SEARCH("polarizer",_xlpm.n))),"precision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"),E253&amp;" is "&amp;_xlpm.art&amp;_xlpm.t&amp;" from "&amp;C253&amp;" designed for application-specific laboratory, engineering or industrial use. It belongs to DIWAN's "&amp;B253&amp;" portfolio; final configuration must be selected against performance, integration and compliance requirements.")</f>
        <v>Portable Station Antenna Series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53" s="54" t="str">
        <f t="shared" si="62"/>
        <v>Selection should confirm the model-specific operating range, capacity, accuracy, interfaces, utilities, accessories, standards, environmental limits and service requirements. Final capabilities depend on the approved Portable Station Antenna Series configuration.</v>
      </c>
      <c r="Q253" s="54"/>
      <c r="R253" s="54" t="str">
        <f t="shared" si="63"/>
        <v>Satellite Ground Stations applications; laboratory research, engineering development, quality control and industrial deployment where applicable. Suitability must be confirmed against the user's sample, process, environment and required standards.</v>
      </c>
      <c r="S253" s="54"/>
      <c r="T253" s="54" t="str">
        <f t="shared" si="64"/>
        <v>Portable Station Antenna Series from All-Rays Satellite Technology</v>
      </c>
      <c r="U253" s="54"/>
      <c r="V253" s="54" t="s">
        <v>2673</v>
      </c>
      <c r="W253" s="54" t="str">
        <f t="shared" si="65"/>
        <v>See other Satellite Ground Stations products</v>
      </c>
      <c r="X253" s="54" t="str">
        <f t="shared" si="66"/>
        <v>Satellite Ground Stations enquiry → website group enquiry form → category owner assignment</v>
      </c>
      <c r="Y253" s="54" t="str">
        <f t="shared" si="67"/>
        <v>Portable Station Antenna Series, Satellite Ground Stations, All-Rays Satellite Technology, technical equipment, DIWAN</v>
      </c>
      <c r="Z253" s="54" t="s">
        <v>2269</v>
      </c>
      <c r="AA253" s="55">
        <v>46257</v>
      </c>
      <c r="AB253" s="54" t="s">
        <v>2465</v>
      </c>
      <c r="AC253" s="63" t="str">
        <f t="shared" si="68"/>
        <v>Content drafted - assets/specs pending</v>
      </c>
      <c r="AD25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3" s="58"/>
      <c r="AF253" s="58"/>
      <c r="AG253" s="58" t="s">
        <v>2467</v>
      </c>
      <c r="AH253" s="58" t="s">
        <v>2468</v>
      </c>
      <c r="AI253" s="58" t="s">
        <v>2469</v>
      </c>
    </row>
    <row r="254" spans="1:35" ht="42" customHeight="1" x14ac:dyDescent="0.35">
      <c r="A254" s="69">
        <f t="shared" si="59"/>
        <v>50</v>
      </c>
      <c r="B254" s="70" t="s">
        <v>293</v>
      </c>
      <c r="C254" s="71" t="s">
        <v>13</v>
      </c>
      <c r="D254" s="72" t="s">
        <v>12</v>
      </c>
      <c r="E254" s="45" t="s">
        <v>299</v>
      </c>
      <c r="F254" s="49" t="s">
        <v>3012</v>
      </c>
      <c r="G254" s="45" t="s">
        <v>3045</v>
      </c>
      <c r="H254" s="47">
        <v>46257</v>
      </c>
      <c r="I254" s="48" t="s">
        <v>1757</v>
      </c>
      <c r="J254" s="48" t="s">
        <v>1051</v>
      </c>
      <c r="K254" s="48" t="str">
        <f t="shared" si="60"/>
        <v>Box-Type Portable Station Series is a satellite ground stations product from All-Rays Satellite Technology for application-specific laboratory, engineering or industrial use.</v>
      </c>
      <c r="L254" s="48" t="str">
        <f t="shared" si="61"/>
        <v>Box-Type Portable Station Series from All-Rays Satellite Technology for satellite ground stations applications. Review configuration requirements and request technical information or a quotation from DIWAN.</v>
      </c>
      <c r="M254" s="48" t="s">
        <v>2020</v>
      </c>
      <c r="N254" s="61" t="s">
        <v>2672</v>
      </c>
      <c r="O254" s="54" t="str" cm="1">
        <f t="array" ref="O254">_xlfn.LET(_xlpm.n,LOWER(E254),_xlpm.c,LOWER(B254),_xlpm.t,_xlfn.IFS(OR(ISNUMBER(SEARCH("lens",_xlpm.n)),ISNUMBER(SEARCH("optic",_xlpm.n)),ISNUMBER(SEARCH("polarizer",_xlpm.n))),"precision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"),E254&amp;" is "&amp;_xlpm.art&amp;_xlpm.t&amp;" from "&amp;C254&amp;" designed for application-specific laboratory, engineering or industrial use. It belongs to DIWAN's "&amp;B254&amp;" portfolio; final configuration must be selected against performance, integration and compliance requirements.")</f>
        <v>Box-Type Portable Station Series is a space or sensing subsystem from All-Rays Satellite Technology designed for application-specific laboratory, engineering or industrial use. It belongs to DIWAN's Satellite Ground Stations portfolio; final configuration must be selected against performance, integration and compliance requirements.</v>
      </c>
      <c r="P254" s="54" t="str">
        <f t="shared" si="62"/>
        <v>Selection should confirm the model-specific operating range, capacity, accuracy, interfaces, utilities, accessories, standards, environmental limits and service requirements. Final capabilities depend on the approved Box-Type Portable Station Series configuration.</v>
      </c>
      <c r="Q254" s="54"/>
      <c r="R254" s="54" t="str">
        <f t="shared" si="63"/>
        <v>Satellite Ground Stations applications; laboratory research, engineering development, quality control and industrial deployment where applicable. Suitability must be confirmed against the user's sample, process, environment and required standards.</v>
      </c>
      <c r="S254" s="54"/>
      <c r="T254" s="54" t="str">
        <f t="shared" si="64"/>
        <v>Box-Type Portable Station Series from All-Rays Satellite Technology</v>
      </c>
      <c r="U254" s="54"/>
      <c r="V254" s="54" t="s">
        <v>2673</v>
      </c>
      <c r="W254" s="54" t="str">
        <f t="shared" si="65"/>
        <v>See other Satellite Ground Stations products</v>
      </c>
      <c r="X254" s="54" t="str">
        <f t="shared" si="66"/>
        <v>Satellite Ground Stations enquiry → website group enquiry form → category owner assignment</v>
      </c>
      <c r="Y254" s="54" t="str">
        <f t="shared" si="67"/>
        <v>Box-Type Portable Station Series, Satellite Ground Stations, All-Rays Satellite Technology, technical equipment, DIWAN</v>
      </c>
      <c r="Z254" s="54" t="s">
        <v>2269</v>
      </c>
      <c r="AA254" s="55">
        <v>46257</v>
      </c>
      <c r="AB254" s="54" t="s">
        <v>2465</v>
      </c>
      <c r="AC254" s="63" t="str">
        <f t="shared" si="68"/>
        <v>Content drafted - assets/specs pending</v>
      </c>
      <c r="AD254"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4" s="58"/>
      <c r="AF254" s="58"/>
      <c r="AG254" s="58" t="s">
        <v>2467</v>
      </c>
      <c r="AH254" s="58" t="s">
        <v>2468</v>
      </c>
      <c r="AI254" s="58" t="s">
        <v>2469</v>
      </c>
    </row>
    <row r="255" spans="1:35" ht="42" customHeight="1" x14ac:dyDescent="0.35">
      <c r="A255" s="69">
        <f t="shared" si="59"/>
        <v>50</v>
      </c>
      <c r="B255" s="70" t="s">
        <v>293</v>
      </c>
      <c r="C255" s="71" t="s">
        <v>13</v>
      </c>
      <c r="D255" s="72" t="s">
        <v>12</v>
      </c>
      <c r="E255" s="45" t="s">
        <v>300</v>
      </c>
      <c r="F255" s="49" t="s">
        <v>3012</v>
      </c>
      <c r="G255" s="45" t="s">
        <v>3045</v>
      </c>
      <c r="H255" s="47">
        <v>46257</v>
      </c>
      <c r="I255" s="48" t="s">
        <v>1758</v>
      </c>
      <c r="J255" s="48" t="s">
        <v>1052</v>
      </c>
      <c r="K255" s="48" t="str">
        <f t="shared" si="60"/>
        <v>Move / Pause Communication Series is a satellite ground stations product from All-Rays Satellite Technology for application-specific laboratory, engineering or industrial use.</v>
      </c>
      <c r="L255" s="48" t="str">
        <f t="shared" si="61"/>
        <v>Move / Pause Communication Series from All-Rays Satellite Technology for satellite ground stations applications. Review configuration requirements and request technical information or a quotation from DIWAN.</v>
      </c>
      <c r="M255" s="48" t="s">
        <v>2020</v>
      </c>
      <c r="N255" s="61" t="s">
        <v>2672</v>
      </c>
      <c r="O255" s="54" t="str" cm="1">
        <f t="array" ref="O255">_xlfn.LET(_xlpm.n,LOWER(E255),_xlpm.c,LOWER(B255),_xlpm.t,_xlfn.IFS(OR(ISNUMBER(SEARCH("lens",_xlpm.n)),ISNUMBER(SEARCH("optic",_xlpm.n)),ISNUMBER(SEARCH("polarizer",_xlpm.n))),"precision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"),E255&amp;" is "&amp;_xlpm.art&amp;_xlpm.t&amp;" from "&amp;C255&amp;" designed for application-specific laboratory, engineering or industrial use. It belongs to DIWAN's "&amp;B255&amp;" portfolio; final configuration must be selected against performance, integration and compliance requirements.")</f>
        <v>Move / Pause Communication Series is a specialized satellite ground stations product from All-Rays Satellite Technology designed for application-specific laboratory, engineering or industrial use. It belongs to DIWAN's Satellite Ground Stations portfolio; final configuration must be selected against performance, integration and compliance requirements.</v>
      </c>
      <c r="P255" s="54" t="str">
        <f t="shared" si="62"/>
        <v>Selection should confirm the model-specific operating range, capacity, accuracy, interfaces, utilities, accessories, standards, environmental limits and service requirements. Final capabilities depend on the approved Move / Pause Communication Series configuration.</v>
      </c>
      <c r="Q255" s="54"/>
      <c r="R255" s="54" t="str">
        <f t="shared" si="63"/>
        <v>Satellite Ground Stations applications; laboratory research, engineering development, quality control and industrial deployment where applicable. Suitability must be confirmed against the user's sample, process, environment and required standards.</v>
      </c>
      <c r="S255" s="54"/>
      <c r="T255" s="54" t="str">
        <f t="shared" si="64"/>
        <v>Move / Pause Communication Series from All-Rays Satellite Technology</v>
      </c>
      <c r="U255" s="54"/>
      <c r="V255" s="54" t="s">
        <v>2673</v>
      </c>
      <c r="W255" s="54" t="str">
        <f t="shared" si="65"/>
        <v>See other Satellite Ground Stations products</v>
      </c>
      <c r="X255" s="54" t="str">
        <f t="shared" si="66"/>
        <v>Satellite Ground Stations enquiry → website group enquiry form → category owner assignment</v>
      </c>
      <c r="Y255" s="54" t="str">
        <f t="shared" si="67"/>
        <v>Move / Pause Communication Series, Satellite Ground Stations, All-Rays Satellite Technology, technical equipment, DIWAN</v>
      </c>
      <c r="Z255" s="54" t="s">
        <v>2269</v>
      </c>
      <c r="AA255" s="55">
        <v>46257</v>
      </c>
      <c r="AB255" s="54" t="s">
        <v>2465</v>
      </c>
      <c r="AC255" s="63" t="str">
        <f t="shared" si="68"/>
        <v>Content drafted - assets/specs pending</v>
      </c>
      <c r="AD255"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5" s="58"/>
      <c r="AF255" s="58"/>
      <c r="AG255" s="58" t="s">
        <v>2467</v>
      </c>
      <c r="AH255" s="58" t="s">
        <v>2468</v>
      </c>
      <c r="AI255" s="58" t="s">
        <v>2469</v>
      </c>
    </row>
    <row r="256" spans="1:35" ht="42" customHeight="1" x14ac:dyDescent="0.35">
      <c r="A256" s="69">
        <f t="shared" si="59"/>
        <v>50</v>
      </c>
      <c r="B256" s="70" t="s">
        <v>293</v>
      </c>
      <c r="C256" s="71" t="s">
        <v>13</v>
      </c>
      <c r="D256" s="72" t="s">
        <v>12</v>
      </c>
      <c r="E256" s="45" t="s">
        <v>301</v>
      </c>
      <c r="F256" s="49" t="s">
        <v>3012</v>
      </c>
      <c r="G256" s="45" t="s">
        <v>3045</v>
      </c>
      <c r="H256" s="47">
        <v>46257</v>
      </c>
      <c r="I256" s="48" t="s">
        <v>1759</v>
      </c>
      <c r="J256" s="48" t="s">
        <v>1053</v>
      </c>
      <c r="K256" s="48" t="str">
        <f t="shared" si="60"/>
        <v>Remote Sensing Telemetry and Control Antenna Feed System is a satellite ground stations product from All-Rays Satellite Technology for application-specific laboratory, engineering or industrial use.</v>
      </c>
      <c r="L256" s="48" t="str">
        <f t="shared" si="61"/>
        <v>Remote Sensing Telemetry and Control Antenna Feed System from All-Rays Satellite Technology for satellite ground stations applications. Review configuration requirements and request technical information or a quotation from DIWAN.</v>
      </c>
      <c r="M256" s="48" t="s">
        <v>2020</v>
      </c>
      <c r="N256" s="61" t="s">
        <v>2672</v>
      </c>
      <c r="O256" s="54" t="str" cm="1">
        <f t="array" ref="O256">_xlfn.LET(_xlpm.n,LOWER(E256),_xlpm.c,LOWER(B256),_xlpm.t,_xlfn.IFS(OR(ISNUMBER(SEARCH("lens",_xlpm.n)),ISNUMBER(SEARCH("optic",_xlpm.n)),ISNUMBER(SEARCH("polarizer",_xlpm.n))),"precision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"),E256&amp;" is "&amp;_xlpm.art&amp;_xlpm.t&amp;" from "&amp;C256&amp;" designed for application-specific laboratory, engineering or industrial use. It belongs to DIWAN's "&amp;B256&amp;" portfolio; final configuration must be selected against performance, integration and compliance requirements.")</f>
        <v>Remote Sensing Telemetry and Control Antenna Feed System is a specialized satellite ground stations product from All-Rays Satellite Technology designed for application-specific laboratory, engineering or industrial use. It belongs to DIWAN's Satellite Ground Stations portfolio; final configuration must be selected against performance, integration and compliance requirements.</v>
      </c>
      <c r="P256" s="54" t="str">
        <f t="shared" si="62"/>
        <v>Selection should confirm the model-specific operating range, capacity, accuracy, interfaces, utilities, accessories, standards, environmental limits and service requirements. Final capabilities depend on the approved Remote Sensing Telemetry and Control Antenna Feed System configuration.</v>
      </c>
      <c r="Q256" s="54"/>
      <c r="R256" s="54" t="str">
        <f t="shared" si="63"/>
        <v>Satellite Ground Stations applications; laboratory research, engineering development, quality control and industrial deployment where applicable. Suitability must be confirmed against the user's sample, process, environment and required standards.</v>
      </c>
      <c r="S256" s="54"/>
      <c r="T256" s="54" t="str">
        <f t="shared" si="64"/>
        <v>Remote Sensing Telemetry and Control Antenna Feed System from All-Rays Satellite Technology</v>
      </c>
      <c r="U256" s="54"/>
      <c r="V256" s="54" t="s">
        <v>2673</v>
      </c>
      <c r="W256" s="54" t="str">
        <f t="shared" si="65"/>
        <v>See other Satellite Ground Stations products</v>
      </c>
      <c r="X256" s="54" t="str">
        <f t="shared" si="66"/>
        <v>Satellite Ground Stations enquiry → website group enquiry form → category owner assignment</v>
      </c>
      <c r="Y256" s="54" t="str">
        <f t="shared" si="67"/>
        <v>Remote Sensing Telemetry and Control Antenna Feed System, Satellite Ground Stations, All-Rays Satellite Technology, technical equipment, DIWAN</v>
      </c>
      <c r="Z256" s="54" t="s">
        <v>2269</v>
      </c>
      <c r="AA256" s="55">
        <v>46257</v>
      </c>
      <c r="AB256" s="54" t="s">
        <v>2465</v>
      </c>
      <c r="AC256" s="63" t="str">
        <f t="shared" si="68"/>
        <v>Content drafted - assets/specs pending</v>
      </c>
      <c r="AD25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6" s="58"/>
      <c r="AF256" s="58"/>
      <c r="AG256" s="58" t="s">
        <v>2467</v>
      </c>
      <c r="AH256" s="58" t="s">
        <v>2468</v>
      </c>
      <c r="AI256" s="58" t="s">
        <v>2469</v>
      </c>
    </row>
    <row r="257" spans="1:35" ht="42" customHeight="1" thickBot="1" x14ac:dyDescent="0.4">
      <c r="A257" s="69">
        <f t="shared" si="59"/>
        <v>50</v>
      </c>
      <c r="B257" s="70" t="s">
        <v>293</v>
      </c>
      <c r="C257" s="71" t="s">
        <v>13</v>
      </c>
      <c r="D257" s="72" t="s">
        <v>12</v>
      </c>
      <c r="E257" s="45" t="s">
        <v>302</v>
      </c>
      <c r="F257" s="49" t="s">
        <v>3012</v>
      </c>
      <c r="G257" s="45" t="s">
        <v>3045</v>
      </c>
      <c r="H257" s="47">
        <v>46257</v>
      </c>
      <c r="I257" s="48" t="s">
        <v>1760</v>
      </c>
      <c r="J257" s="48" t="s">
        <v>1054</v>
      </c>
      <c r="K257" s="48" t="str">
        <f t="shared" si="60"/>
        <v>Radome Series is a satellite ground stations product from All-Rays Satellite Technology for application-specific laboratory, engineering or industrial use.</v>
      </c>
      <c r="L257" s="48" t="str">
        <f t="shared" si="61"/>
        <v>Radome Series from All-Rays Satellite Technology for satellite ground stations applications. Review configuration requirements and request technical information or a quotation from DIWAN.</v>
      </c>
      <c r="M257" s="48" t="s">
        <v>2020</v>
      </c>
      <c r="N257" s="61" t="s">
        <v>2672</v>
      </c>
      <c r="O257" s="54" t="str" cm="1">
        <f t="array" ref="O257">_xlfn.LET(_xlpm.n,LOWER(E257),_xlpm.c,LOWER(B257),_xlpm.t,_xlfn.IFS(OR(ISNUMBER(SEARCH("lens",_xlpm.n)),ISNUMBER(SEARCH("optic",_xlpm.n)),ISNUMBER(SEARCH("polarizer",_xlpm.n))),"precision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"),E257&amp;" is "&amp;_xlpm.art&amp;_xlpm.t&amp;" from "&amp;C257&amp;" designed for application-specific laboratory, engineering or industrial use. It belongs to DIWAN's "&amp;B257&amp;" portfolio; final configuration must be selected against performance, integration and compliance requirements.")</f>
        <v>Radome Series is a specialized satellite ground stations product from All-Rays Satellite Technology designed for application-specific laboratory, engineering or industrial use. It belongs to DIWAN's Satellite Ground Stations portfolio; final configuration must be selected against performance, integration and compliance requirements.</v>
      </c>
      <c r="P257" s="54" t="str">
        <f t="shared" si="62"/>
        <v>Selection should confirm the model-specific operating range, capacity, accuracy, interfaces, utilities, accessories, standards, environmental limits and service requirements. Final capabilities depend on the approved Radome Series configuration.</v>
      </c>
      <c r="Q257" s="54"/>
      <c r="R257" s="54" t="str">
        <f t="shared" si="63"/>
        <v>Satellite Ground Stations applications; laboratory research, engineering development, quality control and industrial deployment where applicable. Suitability must be confirmed against the user's sample, process, environment and required standards.</v>
      </c>
      <c r="S257" s="54"/>
      <c r="T257" s="54" t="str">
        <f t="shared" si="64"/>
        <v>Radome Series from All-Rays Satellite Technology</v>
      </c>
      <c r="U257" s="54"/>
      <c r="V257" s="54" t="s">
        <v>2673</v>
      </c>
      <c r="W257" s="54" t="str">
        <f t="shared" si="65"/>
        <v>See other Satellite Ground Stations products</v>
      </c>
      <c r="X257" s="54" t="str">
        <f t="shared" si="66"/>
        <v>Satellite Ground Stations enquiry → website group enquiry form → category owner assignment</v>
      </c>
      <c r="Y257" s="54" t="str">
        <f t="shared" si="67"/>
        <v>Radome Series, Satellite Ground Stations, All-Rays Satellite Technology, technical equipment, DIWAN</v>
      </c>
      <c r="Z257" s="54" t="s">
        <v>2269</v>
      </c>
      <c r="AA257" s="55">
        <v>46257</v>
      </c>
      <c r="AB257" s="54" t="s">
        <v>2465</v>
      </c>
      <c r="AC257" s="63" t="str">
        <f t="shared" si="68"/>
        <v>Content drafted - assets/specs pending</v>
      </c>
      <c r="AD257"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7" s="58"/>
      <c r="AF257" s="58"/>
      <c r="AG257" s="58" t="s">
        <v>2467</v>
      </c>
      <c r="AH257" s="58" t="s">
        <v>2468</v>
      </c>
      <c r="AI257" s="58" t="s">
        <v>2469</v>
      </c>
    </row>
    <row r="258" spans="1:35" ht="42" customHeight="1" x14ac:dyDescent="0.35">
      <c r="A258" s="69">
        <f t="shared" si="59"/>
        <v>51</v>
      </c>
      <c r="B258" s="74" t="s">
        <v>303</v>
      </c>
      <c r="C258" s="75" t="s">
        <v>13</v>
      </c>
      <c r="D258" s="76" t="s">
        <v>12</v>
      </c>
      <c r="E258" s="77" t="s">
        <v>304</v>
      </c>
      <c r="F258" s="86" t="s">
        <v>3013</v>
      </c>
      <c r="G258" s="77" t="s">
        <v>3045</v>
      </c>
      <c r="H258" s="79">
        <v>46257</v>
      </c>
      <c r="I258" s="80" t="s">
        <v>1761</v>
      </c>
      <c r="J258" s="80" t="s">
        <v>1055</v>
      </c>
      <c r="K258" s="80" t="str">
        <f t="shared" si="60"/>
        <v>Satellite Communication Terminal - Manual is a satellite communication terminals product from All-Rays Satellite Technology for application-specific laboratory, engineering or industrial use.</v>
      </c>
      <c r="L258" s="80" t="str">
        <f t="shared" si="61"/>
        <v>Satellite Communication Terminal - Manual from All-Rays Satellite Technology for satellite communication terminals applications. Review configuration requirements and request technical information or a quotation from DIWAN.</v>
      </c>
      <c r="M258" s="80" t="s">
        <v>2020</v>
      </c>
      <c r="N258" s="81" t="s">
        <v>2672</v>
      </c>
      <c r="O258" s="82" t="str" cm="1">
        <f t="array" ref="O258">_xlfn.LET(_xlpm.n,LOWER(E258),_xlpm.c,LOWER(B258),_xlpm.t,_xlfn.IFS(OR(ISNUMBER(SEARCH("lens",_xlpm.n)),ISNUMBER(SEARCH("optic",_xlpm.n)),ISNUMBER(SEARCH("polarizer",_xlpm.n))),"precision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"),E258&amp;" is "&amp;_xlpm.art&amp;_xlpm.t&amp;" from "&amp;C258&amp;" designed for application-specific laboratory, engineering or industrial use. It belongs to DIWAN's "&amp;B258&amp;" portfolio; final configuration must be selected against performance, integration and compliance requirements.")</f>
        <v>Satellite Communication Terminal - Manual is a space or sensing subsystem from All-Rays Satellite Technology designed for application-specific laboratory, engineering or industrial use. It belongs to DIWAN's Satellite Communication Terminals portfolio; final configuration must be selected against performance, integration and compliance requirements.</v>
      </c>
      <c r="P258" s="82" t="str">
        <f t="shared" si="62"/>
        <v>Selection should confirm the model-specific operating range, capacity, accuracy, interfaces, utilities, accessories, standards, environmental limits and service requirements. Final capabilities depend on the approved Satellite Communication Terminal - Manual configuration.</v>
      </c>
      <c r="Q258" s="82"/>
      <c r="R258" s="82" t="str">
        <f t="shared" si="63"/>
        <v>Satellite Communication Terminals applications; laboratory research, engineering development, quality control and industrial deployment where applicable. Suitability must be confirmed against the user's sample, process, environment and required standards.</v>
      </c>
      <c r="S258" s="82"/>
      <c r="T258" s="82" t="str">
        <f t="shared" si="64"/>
        <v>Satellite Communication Terminal - Manual from All-Rays Satellite Technology</v>
      </c>
      <c r="U258" s="82"/>
      <c r="V258" s="82" t="s">
        <v>2673</v>
      </c>
      <c r="W258" s="82" t="str">
        <f t="shared" si="65"/>
        <v>See other Satellite Communication Terminals products</v>
      </c>
      <c r="X258" s="82" t="str">
        <f t="shared" si="66"/>
        <v>Satellite Communication Terminals enquiry → website group enquiry form → category owner assignment</v>
      </c>
      <c r="Y258" s="82" t="str">
        <f t="shared" si="67"/>
        <v>Satellite Communication Terminal - Manual, Satellite Communication Terminals, All-Rays Satellite Technology, technical equipment, DIWAN</v>
      </c>
      <c r="Z258" s="82" t="s">
        <v>2270</v>
      </c>
      <c r="AA258" s="83">
        <v>46257</v>
      </c>
      <c r="AB258" s="82" t="s">
        <v>2465</v>
      </c>
      <c r="AC258" s="84" t="str">
        <f t="shared" si="68"/>
        <v>Content drafted - assets/specs pending</v>
      </c>
      <c r="AD258"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8" s="85"/>
      <c r="AF258" s="85"/>
      <c r="AG258" s="85" t="s">
        <v>2467</v>
      </c>
      <c r="AH258" s="85" t="s">
        <v>2468</v>
      </c>
      <c r="AI258" s="85" t="s">
        <v>2469</v>
      </c>
    </row>
    <row r="259" spans="1:35" ht="42" customHeight="1" x14ac:dyDescent="0.35">
      <c r="A259" s="69">
        <f t="shared" si="59"/>
        <v>51</v>
      </c>
      <c r="B259" s="70" t="s">
        <v>303</v>
      </c>
      <c r="C259" s="71" t="s">
        <v>13</v>
      </c>
      <c r="D259" s="72" t="s">
        <v>12</v>
      </c>
      <c r="E259" s="45" t="s">
        <v>305</v>
      </c>
      <c r="F259" s="49" t="s">
        <v>3013</v>
      </c>
      <c r="G259" s="45" t="s">
        <v>3045</v>
      </c>
      <c r="H259" s="47">
        <v>46257</v>
      </c>
      <c r="I259" s="48" t="s">
        <v>1762</v>
      </c>
      <c r="J259" s="48" t="s">
        <v>1056</v>
      </c>
      <c r="K259" s="48" t="str">
        <f t="shared" si="60"/>
        <v>Satellite Communication Terminal - Automatic is a satellite communication terminals product from All-Rays Satellite Technology for application-specific laboratory, engineering or industrial use.</v>
      </c>
      <c r="L259" s="48" t="str">
        <f t="shared" si="61"/>
        <v>Satellite Communication Terminal - Automatic from All-Rays Satellite Technology for satellite communication terminals applications. Review configuration requirements and request technical information or a quotation from DIWAN.</v>
      </c>
      <c r="M259" s="48" t="s">
        <v>2020</v>
      </c>
      <c r="N259" s="61" t="s">
        <v>2672</v>
      </c>
      <c r="O259" s="54" t="str" cm="1">
        <f t="array" ref="O259">_xlfn.LET(_xlpm.n,LOWER(E259),_xlpm.c,LOWER(B259),_xlpm.t,_xlfn.IFS(OR(ISNUMBER(SEARCH("lens",_xlpm.n)),ISNUMBER(SEARCH("optic",_xlpm.n)),ISNUMBER(SEARCH("polarizer",_xlpm.n))),"precision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"),E259&amp;" is "&amp;_xlpm.art&amp;_xlpm.t&amp;" from "&amp;C259&amp;" designed for application-specific laboratory, engineering or industrial use. It belongs to DIWAN's "&amp;B259&amp;" portfolio; final configuration must be selected against performance, integration and compliance requirements.")</f>
        <v>Satellite Communication Terminal - Automatic is a space or sensing subsystem from All-Rays Satellite Technology designed for application-specific laboratory, engineering or industrial use. It belongs to DIWAN's Satellite Communication Terminals portfolio; final configuration must be selected against performance, integration and compliance requirements.</v>
      </c>
      <c r="P259" s="54" t="str">
        <f t="shared" si="62"/>
        <v>Selection should confirm the model-specific operating range, capacity, accuracy, interfaces, utilities, accessories, standards, environmental limits and service requirements. Final capabilities depend on the approved Satellite Communication Terminal - Automatic configuration.</v>
      </c>
      <c r="Q259" s="54"/>
      <c r="R259" s="54" t="str">
        <f t="shared" si="63"/>
        <v>Satellite Communication Terminals applications; laboratory research, engineering development, quality control and industrial deployment where applicable. Suitability must be confirmed against the user's sample, process, environment and required standards.</v>
      </c>
      <c r="S259" s="54"/>
      <c r="T259" s="54" t="str">
        <f t="shared" si="64"/>
        <v>Satellite Communication Terminal - Automatic from All-Rays Satellite Technology</v>
      </c>
      <c r="U259" s="54"/>
      <c r="V259" s="54" t="s">
        <v>2673</v>
      </c>
      <c r="W259" s="54" t="str">
        <f t="shared" si="65"/>
        <v>See other Satellite Communication Terminals products</v>
      </c>
      <c r="X259" s="54" t="str">
        <f t="shared" si="66"/>
        <v>Satellite Communication Terminals enquiry → website group enquiry form → category owner assignment</v>
      </c>
      <c r="Y259" s="54" t="str">
        <f t="shared" si="67"/>
        <v>Satellite Communication Terminal - Automatic, Satellite Communication Terminals, All-Rays Satellite Technology, technical equipment, DIWAN</v>
      </c>
      <c r="Z259" s="54" t="s">
        <v>2270</v>
      </c>
      <c r="AA259" s="55">
        <v>46257</v>
      </c>
      <c r="AB259" s="54" t="s">
        <v>2465</v>
      </c>
      <c r="AC259" s="63" t="str">
        <f t="shared" si="68"/>
        <v>Content drafted - assets/specs pending</v>
      </c>
      <c r="AD259"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59" s="58"/>
      <c r="AF259" s="58"/>
      <c r="AG259" s="58" t="s">
        <v>2467</v>
      </c>
      <c r="AH259" s="58" t="s">
        <v>2468</v>
      </c>
      <c r="AI259" s="58" t="s">
        <v>2469</v>
      </c>
    </row>
    <row r="260" spans="1:35" ht="42" customHeight="1" x14ac:dyDescent="0.35">
      <c r="A260" s="69">
        <f t="shared" ref="A260:A323" si="70">IF(B260=B259,A259,A259+1)</f>
        <v>51</v>
      </c>
      <c r="B260" s="70" t="s">
        <v>303</v>
      </c>
      <c r="C260" s="71" t="s">
        <v>13</v>
      </c>
      <c r="D260" s="72" t="s">
        <v>12</v>
      </c>
      <c r="E260" s="45" t="s">
        <v>306</v>
      </c>
      <c r="F260" s="49" t="s">
        <v>3013</v>
      </c>
      <c r="G260" s="45" t="s">
        <v>3045</v>
      </c>
      <c r="H260" s="47">
        <v>46257</v>
      </c>
      <c r="I260" s="48" t="s">
        <v>1763</v>
      </c>
      <c r="J260" s="48" t="s">
        <v>1057</v>
      </c>
      <c r="K260" s="48" t="str">
        <f t="shared" si="60"/>
        <v>Satellite Communication Terminal - Tablet Communication Terminal is a satellite communication terminals product from All-Rays Satellite Technology for application-specific laboratory, engineering or industrial use.</v>
      </c>
      <c r="L260" s="48" t="str">
        <f t="shared" si="61"/>
        <v>Satellite Communication Terminal - Tablet Communication Terminal from All-Rays Satellite Technology for satellite communication terminals applications. Review configuration requirements and request technical information or a quotation from DIWAN.</v>
      </c>
      <c r="M260" s="48" t="s">
        <v>2020</v>
      </c>
      <c r="N260" s="61" t="s">
        <v>2672</v>
      </c>
      <c r="O260" s="54" t="str" cm="1">
        <f t="array" ref="O260">_xlfn.LET(_xlpm.n,LOWER(E260),_xlpm.c,LOWER(B260),_xlpm.t,_xlfn.IFS(OR(ISNUMBER(SEARCH("lens",_xlpm.n)),ISNUMBER(SEARCH("optic",_xlpm.n)),ISNUMBER(SEARCH("polarizer",_xlpm.n))),"precision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"),E260&amp;" is "&amp;_xlpm.art&amp;_xlpm.t&amp;" from "&amp;C260&amp;" designed for application-specific laboratory, engineering or industrial use. It belongs to DIWAN's "&amp;B260&amp;" portfolio; final configuration must be selected against performance, integration and compliance requirements.")</f>
        <v>Satellite Communication Terminal - Tablet Communication Terminal is a space or sensing subsystem from All-Rays Satellite Technology designed for application-specific laboratory, engineering or industrial use. It belongs to DIWAN's Satellite Communication Terminals portfolio; final configuration must be selected against performance, integration and compliance requirements.</v>
      </c>
      <c r="P260" s="54" t="str">
        <f t="shared" si="62"/>
        <v>Selection should confirm the model-specific operating range, capacity, accuracy, interfaces, utilities, accessories, standards, environmental limits and service requirements. Final capabilities depend on the approved Satellite Communication Terminal - Tablet Communication Terminal configuration.</v>
      </c>
      <c r="Q260" s="54"/>
      <c r="R260" s="54" t="str">
        <f t="shared" si="63"/>
        <v>Satellite Communication Terminals applications; laboratory research, engineering development, quality control and industrial deployment where applicable. Suitability must be confirmed against the user's sample, process, environment and required standards.</v>
      </c>
      <c r="S260" s="54"/>
      <c r="T260" s="54" t="str">
        <f t="shared" si="64"/>
        <v>Satellite Communication Terminal - Tablet Communication Terminal from All-Rays Satellite Technology</v>
      </c>
      <c r="U260" s="54"/>
      <c r="V260" s="54" t="s">
        <v>2673</v>
      </c>
      <c r="W260" s="54" t="str">
        <f t="shared" si="65"/>
        <v>See other Satellite Communication Terminals products</v>
      </c>
      <c r="X260" s="54" t="str">
        <f t="shared" si="66"/>
        <v>Satellite Communication Terminals enquiry → website group enquiry form → category owner assignment</v>
      </c>
      <c r="Y260" s="54" t="str">
        <f t="shared" si="67"/>
        <v>Satellite Communication Terminal - Tablet Communication Terminal, Satellite Communication Terminals, All-Rays Satellite Technology, technical equipment, DIWAN</v>
      </c>
      <c r="Z260" s="54" t="s">
        <v>2270</v>
      </c>
      <c r="AA260" s="55">
        <v>46257</v>
      </c>
      <c r="AB260" s="54" t="s">
        <v>2465</v>
      </c>
      <c r="AC260" s="63" t="str">
        <f t="shared" si="68"/>
        <v>Content drafted - assets/specs pending</v>
      </c>
      <c r="AD26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0" s="58"/>
      <c r="AF260" s="58"/>
      <c r="AG260" s="58" t="s">
        <v>2467</v>
      </c>
      <c r="AH260" s="58" t="s">
        <v>2468</v>
      </c>
      <c r="AI260" s="58" t="s">
        <v>2469</v>
      </c>
    </row>
    <row r="261" spans="1:35" ht="42" customHeight="1" x14ac:dyDescent="0.35">
      <c r="A261" s="69">
        <f t="shared" si="70"/>
        <v>51</v>
      </c>
      <c r="B261" s="70" t="s">
        <v>303</v>
      </c>
      <c r="C261" s="71" t="s">
        <v>13</v>
      </c>
      <c r="D261" s="72" t="s">
        <v>12</v>
      </c>
      <c r="E261" s="45" t="s">
        <v>307</v>
      </c>
      <c r="F261" s="49" t="s">
        <v>3013</v>
      </c>
      <c r="G261" s="45" t="s">
        <v>3045</v>
      </c>
      <c r="H261" s="47">
        <v>46257</v>
      </c>
      <c r="I261" s="48" t="s">
        <v>1764</v>
      </c>
      <c r="J261" s="48" t="s">
        <v>1058</v>
      </c>
      <c r="K261" s="48" t="str">
        <f t="shared" si="60"/>
        <v>Scatter Communication Terminals is a satellite communication terminals product from All-Rays Satellite Technology for application-specific laboratory, engineering or industrial use.</v>
      </c>
      <c r="L261" s="48" t="str">
        <f t="shared" si="61"/>
        <v>Scatter Communication Terminals from All-Rays Satellite Technology for satellite communication terminals applications. Review configuration requirements and request technical information or a quotation from DIWAN.</v>
      </c>
      <c r="M261" s="48" t="s">
        <v>2020</v>
      </c>
      <c r="N261" s="61" t="s">
        <v>2672</v>
      </c>
      <c r="O261" s="54" t="str" cm="1">
        <f t="array" ref="O261">_xlfn.LET(_xlpm.n,LOWER(E261),_xlpm.c,LOWER(B261),_xlpm.t,_xlfn.IFS(OR(ISNUMBER(SEARCH("lens",_xlpm.n)),ISNUMBER(SEARCH("optic",_xlpm.n)),ISNUMBER(SEARCH("polarizer",_xlpm.n))),"precision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"),E261&amp;" is "&amp;_xlpm.art&amp;_xlpm.t&amp;" from "&amp;C261&amp;" designed for application-specific laboratory, engineering or industrial use. It belongs to DIWAN's "&amp;B261&amp;" portfolio; final configuration must be selected against performance, integration and compliance requirements.")</f>
        <v>Scatter Communication Terminals is a space or sensing subsystem from All-Rays Satellite Technology designed for application-specific laboratory, engineering or industrial use. It belongs to DIWAN's Satellite Communication Terminals portfolio; final configuration must be selected against performance, integration and compliance requirements.</v>
      </c>
      <c r="P261" s="54" t="str">
        <f t="shared" si="62"/>
        <v>Selection should confirm the model-specific operating range, capacity, accuracy, interfaces, utilities, accessories, standards, environmental limits and service requirements. Final capabilities depend on the approved Scatter Communication Terminals configuration.</v>
      </c>
      <c r="Q261" s="54"/>
      <c r="R261" s="54" t="str">
        <f t="shared" si="63"/>
        <v>Satellite Communication Terminals applications; laboratory research, engineering development, quality control and industrial deployment where applicable. Suitability must be confirmed against the user's sample, process, environment and required standards.</v>
      </c>
      <c r="S261" s="54"/>
      <c r="T261" s="54" t="str">
        <f t="shared" si="64"/>
        <v>Scatter Communication Terminals from All-Rays Satellite Technology</v>
      </c>
      <c r="U261" s="54"/>
      <c r="V261" s="54" t="s">
        <v>2673</v>
      </c>
      <c r="W261" s="54" t="str">
        <f t="shared" si="65"/>
        <v>See other Satellite Communication Terminals products</v>
      </c>
      <c r="X261" s="54" t="str">
        <f t="shared" si="66"/>
        <v>Satellite Communication Terminals enquiry → website group enquiry form → category owner assignment</v>
      </c>
      <c r="Y261" s="54" t="str">
        <f t="shared" si="67"/>
        <v>Scatter Communication Terminals, Satellite Communication Terminals, All-Rays Satellite Technology, technical equipment, DIWAN</v>
      </c>
      <c r="Z261" s="54" t="s">
        <v>2270</v>
      </c>
      <c r="AA261" s="55">
        <v>46257</v>
      </c>
      <c r="AB261" s="54" t="s">
        <v>2465</v>
      </c>
      <c r="AC261" s="63" t="str">
        <f t="shared" si="68"/>
        <v>Content drafted - assets/specs pending</v>
      </c>
      <c r="AD261"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1" s="58"/>
      <c r="AF261" s="58"/>
      <c r="AG261" s="58" t="s">
        <v>2467</v>
      </c>
      <c r="AH261" s="58" t="s">
        <v>2468</v>
      </c>
      <c r="AI261" s="58" t="s">
        <v>2469</v>
      </c>
    </row>
    <row r="262" spans="1:35" ht="42" customHeight="1" x14ac:dyDescent="0.35">
      <c r="A262" s="69">
        <f t="shared" si="70"/>
        <v>51</v>
      </c>
      <c r="B262" s="70" t="s">
        <v>303</v>
      </c>
      <c r="C262" s="71" t="s">
        <v>13</v>
      </c>
      <c r="D262" s="72" t="s">
        <v>12</v>
      </c>
      <c r="E262" s="45" t="s">
        <v>308</v>
      </c>
      <c r="F262" s="49" t="s">
        <v>3013</v>
      </c>
      <c r="G262" s="45" t="s">
        <v>3045</v>
      </c>
      <c r="H262" s="47">
        <v>46257</v>
      </c>
      <c r="I262" s="48" t="s">
        <v>1765</v>
      </c>
      <c r="J262" s="48" t="s">
        <v>1059</v>
      </c>
      <c r="K262" s="48" t="str">
        <f t="shared" si="60"/>
        <v>Antennas in Motion is a satellite communication terminals product from All-Rays Satellite Technology for application-specific laboratory, engineering or industrial use.</v>
      </c>
      <c r="L262" s="48" t="str">
        <f t="shared" si="61"/>
        <v>Antennas in Motion from All-Rays Satellite Technology for satellite communication terminals applications. Review configuration requirements and request technical information or a quotation from DIWAN.</v>
      </c>
      <c r="M262" s="48" t="s">
        <v>2020</v>
      </c>
      <c r="N262" s="61" t="s">
        <v>2672</v>
      </c>
      <c r="O262" s="54" t="str" cm="1">
        <f t="array" ref="O262">_xlfn.LET(_xlpm.n,LOWER(E262),_xlpm.c,LOWER(B262),_xlpm.t,_xlfn.IFS(OR(ISNUMBER(SEARCH("lens",_xlpm.n)),ISNUMBER(SEARCH("optic",_xlpm.n)),ISNUMBER(SEARCH("polarizer",_xlpm.n))),"precision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"),E262&amp;" is "&amp;_xlpm.art&amp;_xlpm.t&amp;" from "&amp;C262&amp;" designed for application-specific laboratory, engineering or industrial use. It belongs to DIWAN's "&amp;B262&amp;" portfolio; final configuration must be selected against performance, integration and compliance requirements.")</f>
        <v>Antennas in Motion is a specialized satellite communication terminals product from All-Rays Satellite Technology designed for application-specific laboratory, engineering or industrial use. It belongs to DIWAN's Satellite Communication Terminals portfolio; final configuration must be selected against performance, integration and compliance requirements.</v>
      </c>
      <c r="P262" s="54" t="str">
        <f t="shared" si="62"/>
        <v>Selection should confirm the model-specific operating range, capacity, accuracy, interfaces, utilities, accessories, standards, environmental limits and service requirements. Final capabilities depend on the approved Antennas in Motion configuration.</v>
      </c>
      <c r="Q262" s="54"/>
      <c r="R262" s="54" t="str">
        <f t="shared" si="63"/>
        <v>Satellite Communication Terminals applications; laboratory research, engineering development, quality control and industrial deployment where applicable. Suitability must be confirmed against the user's sample, process, environment and required standards.</v>
      </c>
      <c r="S262" s="54"/>
      <c r="T262" s="54" t="str">
        <f t="shared" si="64"/>
        <v>Antennas in Motion from All-Rays Satellite Technology</v>
      </c>
      <c r="U262" s="54"/>
      <c r="V262" s="54" t="s">
        <v>2673</v>
      </c>
      <c r="W262" s="54" t="str">
        <f t="shared" si="65"/>
        <v>See other Satellite Communication Terminals products</v>
      </c>
      <c r="X262" s="54" t="str">
        <f t="shared" si="66"/>
        <v>Satellite Communication Terminals enquiry → website group enquiry form → category owner assignment</v>
      </c>
      <c r="Y262" s="54" t="str">
        <f t="shared" si="67"/>
        <v>Antennas in Motion, Satellite Communication Terminals, All-Rays Satellite Technology, technical equipment, DIWAN</v>
      </c>
      <c r="Z262" s="54" t="s">
        <v>2270</v>
      </c>
      <c r="AA262" s="55">
        <v>46257</v>
      </c>
      <c r="AB262" s="54" t="s">
        <v>2465</v>
      </c>
      <c r="AC262" s="63" t="str">
        <f t="shared" si="68"/>
        <v>Content drafted - assets/specs pending</v>
      </c>
      <c r="AD26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2" s="58"/>
      <c r="AF262" s="58"/>
      <c r="AG262" s="58" t="s">
        <v>2467</v>
      </c>
      <c r="AH262" s="58" t="s">
        <v>2468</v>
      </c>
      <c r="AI262" s="58" t="s">
        <v>2469</v>
      </c>
    </row>
    <row r="263" spans="1:35" ht="42" customHeight="1" thickBot="1" x14ac:dyDescent="0.4">
      <c r="A263" s="69">
        <f t="shared" si="70"/>
        <v>51</v>
      </c>
      <c r="B263" s="70" t="s">
        <v>303</v>
      </c>
      <c r="C263" s="71" t="s">
        <v>13</v>
      </c>
      <c r="D263" s="72" t="s">
        <v>12</v>
      </c>
      <c r="E263" s="45" t="s">
        <v>309</v>
      </c>
      <c r="F263" s="49" t="s">
        <v>3013</v>
      </c>
      <c r="G263" s="45" t="s">
        <v>3045</v>
      </c>
      <c r="H263" s="47">
        <v>46257</v>
      </c>
      <c r="I263" s="48" t="s">
        <v>1766</v>
      </c>
      <c r="J263" s="48" t="s">
        <v>1060</v>
      </c>
      <c r="K263" s="48" t="str">
        <f t="shared" si="60"/>
        <v>Customized Antennas is a satellite communication terminals product from All-Rays Satellite Technology for application-specific laboratory, engineering or industrial use.</v>
      </c>
      <c r="L263" s="48" t="str">
        <f t="shared" si="61"/>
        <v>Customized Antennas from All-Rays Satellite Technology for satellite communication terminals applications. Review configuration requirements and request technical information or a quotation from DIWAN.</v>
      </c>
      <c r="M263" s="48" t="s">
        <v>2020</v>
      </c>
      <c r="N263" s="61" t="s">
        <v>2672</v>
      </c>
      <c r="O263" s="54" t="str" cm="1">
        <f t="array" ref="O263">_xlfn.LET(_xlpm.n,LOWER(E263),_xlpm.c,LOWER(B263),_xlpm.t,_xlfn.IFS(OR(ISNUMBER(SEARCH("lens",_xlpm.n)),ISNUMBER(SEARCH("optic",_xlpm.n)),ISNUMBER(SEARCH("polarizer",_xlpm.n))),"precision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"),E263&amp;" is "&amp;_xlpm.art&amp;_xlpm.t&amp;" from "&amp;C263&amp;" designed for application-specific laboratory, engineering or industrial use. It belongs to DIWAN's "&amp;B263&amp;" portfolio; final configuration must be selected against performance, integration and compliance requirements.")</f>
        <v>Customized Antennas is a specialized satellite communication terminals product from All-Rays Satellite Technology designed for application-specific laboratory, engineering or industrial use. It belongs to DIWAN's Satellite Communication Terminals portfolio; final configuration must be selected against performance, integration and compliance requirements.</v>
      </c>
      <c r="P263" s="54" t="str">
        <f t="shared" si="62"/>
        <v>Selection should confirm the model-specific operating range, capacity, accuracy, interfaces, utilities, accessories, standards, environmental limits and service requirements. Final capabilities depend on the approved Customized Antennas configuration.</v>
      </c>
      <c r="Q263" s="54"/>
      <c r="R263" s="54" t="str">
        <f t="shared" si="63"/>
        <v>Satellite Communication Terminals applications; laboratory research, engineering development, quality control and industrial deployment where applicable. Suitability must be confirmed against the user's sample, process, environment and required standards.</v>
      </c>
      <c r="S263" s="54"/>
      <c r="T263" s="54" t="str">
        <f t="shared" si="64"/>
        <v>Customized Antennas from All-Rays Satellite Technology</v>
      </c>
      <c r="U263" s="54"/>
      <c r="V263" s="54" t="s">
        <v>2673</v>
      </c>
      <c r="W263" s="54" t="str">
        <f t="shared" si="65"/>
        <v>See other Satellite Communication Terminals products</v>
      </c>
      <c r="X263" s="54" t="str">
        <f t="shared" si="66"/>
        <v>Satellite Communication Terminals enquiry → website group enquiry form → category owner assignment</v>
      </c>
      <c r="Y263" s="54" t="str">
        <f t="shared" si="67"/>
        <v>Customized Antennas, Satellite Communication Terminals, All-Rays Satellite Technology, technical equipment, DIWAN</v>
      </c>
      <c r="Z263" s="54" t="s">
        <v>2270</v>
      </c>
      <c r="AA263" s="55">
        <v>46257</v>
      </c>
      <c r="AB263" s="54" t="s">
        <v>2465</v>
      </c>
      <c r="AC263" s="63" t="str">
        <f t="shared" si="68"/>
        <v>Content drafted - assets/specs pending</v>
      </c>
      <c r="AD26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3" s="58"/>
      <c r="AF263" s="58"/>
      <c r="AG263" s="58" t="s">
        <v>2467</v>
      </c>
      <c r="AH263" s="58" t="s">
        <v>2468</v>
      </c>
      <c r="AI263" s="58" t="s">
        <v>2469</v>
      </c>
    </row>
    <row r="264" spans="1:35" ht="42" customHeight="1" thickBot="1" x14ac:dyDescent="0.4">
      <c r="A264" s="69">
        <f t="shared" si="70"/>
        <v>52</v>
      </c>
      <c r="B264" s="74" t="s">
        <v>310</v>
      </c>
      <c r="C264" s="75" t="s">
        <v>13</v>
      </c>
      <c r="D264" s="76" t="s">
        <v>12</v>
      </c>
      <c r="E264" s="77" t="s">
        <v>311</v>
      </c>
      <c r="F264" s="86" t="s">
        <v>3014</v>
      </c>
      <c r="G264" s="77" t="s">
        <v>3045</v>
      </c>
      <c r="H264" s="79">
        <v>46257</v>
      </c>
      <c r="I264" s="80" t="s">
        <v>1767</v>
      </c>
      <c r="J264" s="80" t="s">
        <v>1061</v>
      </c>
      <c r="K264" s="80" t="str">
        <f t="shared" si="60"/>
        <v>Segmented Satellite Platform is a satellite platforms product from All-Rays Satellite Technology for application-specific laboratory, engineering or industrial use.</v>
      </c>
      <c r="L264" s="80" t="str">
        <f t="shared" si="61"/>
        <v>Segmented Satellite Platform from All-Rays Satellite Technology for satellite platforms applications. Review configuration requirements and request technical information or a quotation from DIWAN.</v>
      </c>
      <c r="M264" s="80" t="s">
        <v>2020</v>
      </c>
      <c r="N264" s="81" t="s">
        <v>2672</v>
      </c>
      <c r="O264" s="82" t="str" cm="1">
        <f t="array" ref="O264">_xlfn.LET(_xlpm.n,LOWER(E264),_xlpm.c,LOWER(B264),_xlpm.t,_xlfn.IFS(OR(ISNUMBER(SEARCH("lens",_xlpm.n)),ISNUMBER(SEARCH("optic",_xlpm.n)),ISNUMBER(SEARCH("polarizer",_xlpm.n))),"precision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"),E264&amp;" is "&amp;_xlpm.art&amp;_xlpm.t&amp;" from "&amp;C264&amp;" designed for application-specific laboratory, engineering or industrial use. It belongs to DIWAN's "&amp;B264&amp;" portfolio; final configuration must be selected against performance, integration and compliance requirements.")</f>
        <v>Segmented Satellite Platform is a space or sensing subsystem from All-Rays Satellite Technology designed for application-specific laboratory, engineering or industrial use. It belongs to DIWAN's Satellite Platforms portfolio; final configuration must be selected against performance, integration and compliance requirements.</v>
      </c>
      <c r="P264" s="82" t="str">
        <f t="shared" si="62"/>
        <v>Selection should confirm the model-specific operating range, capacity, accuracy, interfaces, utilities, accessories, standards, environmental limits and service requirements. Final capabilities depend on the approved Segmented Satellite Platform configuration.</v>
      </c>
      <c r="Q264" s="82"/>
      <c r="R264" s="82" t="str">
        <f t="shared" si="63"/>
        <v>Satellite Platforms applications; laboratory research, engineering development, quality control and industrial deployment where applicable. Suitability must be confirmed against the user's sample, process, environment and required standards.</v>
      </c>
      <c r="S264" s="82"/>
      <c r="T264" s="82" t="str">
        <f t="shared" si="64"/>
        <v>Segmented Satellite Platform from All-Rays Satellite Technology</v>
      </c>
      <c r="U264" s="82"/>
      <c r="V264" s="82" t="s">
        <v>2673</v>
      </c>
      <c r="W264" s="82" t="str">
        <f t="shared" si="65"/>
        <v>See other Satellite Platforms products</v>
      </c>
      <c r="X264" s="82" t="str">
        <f t="shared" si="66"/>
        <v>Satellite Platforms enquiry → website group enquiry form → category owner assignment</v>
      </c>
      <c r="Y264" s="82" t="str">
        <f t="shared" si="67"/>
        <v>Segmented Satellite Platform, Satellite Platforms, All-Rays Satellite Technology, technical equipment, DIWAN</v>
      </c>
      <c r="Z264" s="82" t="s">
        <v>2271</v>
      </c>
      <c r="AA264" s="83">
        <v>46257</v>
      </c>
      <c r="AB264" s="82" t="s">
        <v>2465</v>
      </c>
      <c r="AC264" s="84" t="str">
        <f t="shared" si="68"/>
        <v>Content drafted - assets/specs pending</v>
      </c>
      <c r="AD264"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4" s="85"/>
      <c r="AF264" s="85"/>
      <c r="AG264" s="85" t="s">
        <v>2467</v>
      </c>
      <c r="AH264" s="85" t="s">
        <v>2468</v>
      </c>
      <c r="AI264" s="85" t="s">
        <v>2469</v>
      </c>
    </row>
    <row r="265" spans="1:35" ht="42" customHeight="1" thickBot="1" x14ac:dyDescent="0.4">
      <c r="A265" s="69">
        <f t="shared" si="70"/>
        <v>53</v>
      </c>
      <c r="B265" s="74" t="s">
        <v>312</v>
      </c>
      <c r="C265" s="75" t="s">
        <v>13</v>
      </c>
      <c r="D265" s="76" t="s">
        <v>12</v>
      </c>
      <c r="E265" s="77" t="s">
        <v>313</v>
      </c>
      <c r="F265" s="86" t="s">
        <v>3015</v>
      </c>
      <c r="G265" s="77" t="s">
        <v>3045</v>
      </c>
      <c r="H265" s="79">
        <v>46257</v>
      </c>
      <c r="I265" s="80" t="s">
        <v>1768</v>
      </c>
      <c r="J265" s="80" t="s">
        <v>1062</v>
      </c>
      <c r="K265" s="80" t="str">
        <f t="shared" si="60"/>
        <v>Four-Push Integrated Resistor System is a propulsion systems product from All-Rays Satellite Technology for application-specific laboratory, engineering or industrial use.</v>
      </c>
      <c r="L265" s="80" t="str">
        <f t="shared" si="61"/>
        <v>Four-Push Integrated Resistor System from All-Rays Satellite Technology for propulsion systems applications. Review configuration requirements and request technical information or a quotation from DIWAN.</v>
      </c>
      <c r="M265" s="80" t="s">
        <v>2020</v>
      </c>
      <c r="N265" s="81" t="s">
        <v>2672</v>
      </c>
      <c r="O265" s="82" t="str" cm="1">
        <f t="array" ref="O265">_xlfn.LET(_xlpm.n,LOWER(E265),_xlpm.c,LOWER(B265),_xlpm.t,_xlfn.IFS(OR(ISNUMBER(SEARCH("lens",_xlpm.n)),ISNUMBER(SEARCH("optic",_xlpm.n)),ISNUMBER(SEARCH("polarizer",_xlpm.n))),"precision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"),E265&amp;" is "&amp;_xlpm.art&amp;_xlpm.t&amp;" from "&amp;C265&amp;" designed for application-specific laboratory, engineering or industrial use. It belongs to DIWAN's "&amp;B265&amp;" portfolio; final configuration must be selected against performance, integration and compliance requirements.")</f>
        <v>Four-Push Integrated Resistor System is a specialized propulsion systems product from All-Rays Satellite Technology designed for application-specific laboratory, engineering or industrial use. It belongs to DIWAN's Propulsion Systems portfolio; final configuration must be selected against performance, integration and compliance requirements.</v>
      </c>
      <c r="P265" s="82" t="str">
        <f t="shared" si="62"/>
        <v>Selection should confirm the model-specific operating range, capacity, accuracy, interfaces, utilities, accessories, standards, environmental limits and service requirements. Final capabilities depend on the approved Four-Push Integrated Resistor System configuration.</v>
      </c>
      <c r="Q265" s="82"/>
      <c r="R265" s="82" t="str">
        <f t="shared" si="63"/>
        <v>Propulsion Systems applications; laboratory research, engineering development, quality control and industrial deployment where applicable. Suitability must be confirmed against the user's sample, process, environment and required standards.</v>
      </c>
      <c r="S265" s="82"/>
      <c r="T265" s="82" t="str">
        <f t="shared" si="64"/>
        <v>Four-Push Integrated Resistor System from All-Rays Satellite Technology</v>
      </c>
      <c r="U265" s="82"/>
      <c r="V265" s="82" t="s">
        <v>2673</v>
      </c>
      <c r="W265" s="82" t="str">
        <f t="shared" si="65"/>
        <v>See other Propulsion Systems products</v>
      </c>
      <c r="X265" s="82" t="str">
        <f t="shared" si="66"/>
        <v>Propulsion Systems enquiry → website group enquiry form → category owner assignment</v>
      </c>
      <c r="Y265" s="82" t="str">
        <f t="shared" si="67"/>
        <v>Four-Push Integrated Resistor System, Propulsion Systems, All-Rays Satellite Technology, technical equipment, DIWAN</v>
      </c>
      <c r="Z265" s="82" t="s">
        <v>2272</v>
      </c>
      <c r="AA265" s="83">
        <v>46257</v>
      </c>
      <c r="AB265" s="82" t="s">
        <v>2465</v>
      </c>
      <c r="AC265" s="84" t="str">
        <f t="shared" si="68"/>
        <v>Content drafted - assets/specs pending</v>
      </c>
      <c r="AD265"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5" s="85"/>
      <c r="AF265" s="85"/>
      <c r="AG265" s="85" t="s">
        <v>2467</v>
      </c>
      <c r="AH265" s="85" t="s">
        <v>2468</v>
      </c>
      <c r="AI265" s="85" t="s">
        <v>2469</v>
      </c>
    </row>
    <row r="266" spans="1:35" ht="42" customHeight="1" thickBot="1" x14ac:dyDescent="0.4">
      <c r="A266" s="69">
        <f t="shared" si="70"/>
        <v>54</v>
      </c>
      <c r="B266" s="74" t="s">
        <v>314</v>
      </c>
      <c r="C266" s="75" t="s">
        <v>13</v>
      </c>
      <c r="D266" s="76" t="s">
        <v>12</v>
      </c>
      <c r="E266" s="77" t="s">
        <v>315</v>
      </c>
      <c r="F266" s="86" t="s">
        <v>3016</v>
      </c>
      <c r="G266" s="77" t="s">
        <v>3045</v>
      </c>
      <c r="H266" s="79">
        <v>46257</v>
      </c>
      <c r="I266" s="80" t="s">
        <v>1769</v>
      </c>
      <c r="J266" s="80" t="s">
        <v>1063</v>
      </c>
      <c r="K266" s="80" t="str">
        <f t="shared" si="60"/>
        <v>Optical Parts is an ultra-precision optics product from All-Rays Satellite Technology for application-specific laboratory, engineering or industrial use.</v>
      </c>
      <c r="L266" s="80" t="str">
        <f t="shared" si="61"/>
        <v>Optical Parts from All-Rays Satellite Technology for ultra-precision optics applications. Review configuration requirements and request technical information or a quotation from DIWAN.</v>
      </c>
      <c r="M266" s="80" t="s">
        <v>2020</v>
      </c>
      <c r="N266" s="81" t="s">
        <v>2672</v>
      </c>
      <c r="O266" s="82" t="str" cm="1">
        <f t="array" ref="O266">_xlfn.LET(_xlpm.n,LOWER(E266),_xlpm.c,LOWER(B266),_xlpm.t,_xlfn.IFS(OR(ISNUMBER(SEARCH("lens",_xlpm.n)),ISNUMBER(SEARCH("optic",_xlpm.n)),ISNUMBER(SEARCH("polarizer",_xlpm.n))),"precision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"),E266&amp;" is "&amp;_xlpm.art&amp;_xlpm.t&amp;" from "&amp;C266&amp;" designed for application-specific laboratory, engineering or industrial use. It belongs to DIWAN's "&amp;B266&amp;" portfolio; final configuration must be selected against performance, integration and compliance requirements.")</f>
        <v>Optical Parts is a precision optical component from All-Rays Satellite Technology designed for application-specific laboratory, engineering or industrial use. It belongs to DIWAN's Ultra-Precision Optics portfolio; final configuration must be selected against performance, integration and compliance requirements.</v>
      </c>
      <c r="P266" s="82" t="str">
        <f t="shared" si="62"/>
        <v>Selection should confirm the model-specific operating range, capacity, accuracy, interfaces, utilities, accessories, standards, environmental limits and service requirements. Final capabilities depend on the approved Optical Parts configuration.</v>
      </c>
      <c r="Q266" s="82"/>
      <c r="R266" s="82" t="str">
        <f t="shared" si="63"/>
        <v>Ultra-Precision Optics applications; laboratory research, engineering development, quality control and industrial deployment where applicable. Suitability must be confirmed against the user's sample, process, environment and required standards.</v>
      </c>
      <c r="S266" s="82"/>
      <c r="T266" s="82" t="str">
        <f t="shared" si="64"/>
        <v>Optical Parts from All-Rays Satellite Technology</v>
      </c>
      <c r="U266" s="82"/>
      <c r="V266" s="82" t="s">
        <v>2673</v>
      </c>
      <c r="W266" s="82" t="str">
        <f t="shared" si="65"/>
        <v>See other Ultra-Precision Optics products</v>
      </c>
      <c r="X266" s="82" t="str">
        <f t="shared" si="66"/>
        <v>Ultra-Precision Optics enquiry → website group enquiry form → category owner assignment</v>
      </c>
      <c r="Y266" s="82" t="str">
        <f t="shared" si="67"/>
        <v>Optical Parts, Ultra-Precision Optics, All-Rays Satellite Technology, technical equipment, DIWAN</v>
      </c>
      <c r="Z266" s="82" t="s">
        <v>2273</v>
      </c>
      <c r="AA266" s="83">
        <v>46257</v>
      </c>
      <c r="AB266" s="82" t="s">
        <v>2465</v>
      </c>
      <c r="AC266" s="84" t="str">
        <f t="shared" si="68"/>
        <v>Content drafted - assets/specs pending</v>
      </c>
      <c r="AD266"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6" s="85"/>
      <c r="AF266" s="85"/>
      <c r="AG266" s="85" t="s">
        <v>2467</v>
      </c>
      <c r="AH266" s="85" t="s">
        <v>2468</v>
      </c>
      <c r="AI266" s="85" t="s">
        <v>2469</v>
      </c>
    </row>
    <row r="267" spans="1:35" ht="42" customHeight="1" x14ac:dyDescent="0.35">
      <c r="A267" s="69">
        <f t="shared" si="70"/>
        <v>55</v>
      </c>
      <c r="B267" s="74" t="s">
        <v>316</v>
      </c>
      <c r="C267" s="75" t="s">
        <v>14</v>
      </c>
      <c r="D267" s="76" t="s">
        <v>15</v>
      </c>
      <c r="E267" s="77" t="s">
        <v>317</v>
      </c>
      <c r="F267" s="86" t="s">
        <v>3017</v>
      </c>
      <c r="G267" s="77" t="s">
        <v>3045</v>
      </c>
      <c r="H267" s="79">
        <v>46257</v>
      </c>
      <c r="I267" s="80" t="s">
        <v>1770</v>
      </c>
      <c r="J267" s="80" t="s">
        <v>1064</v>
      </c>
      <c r="K267" s="80" t="str">
        <f t="shared" si="60"/>
        <v>High Pressure and Temperature Syringe Pumps is a high-pressure syringe pumps product from Top Industrie for application-specific laboratory, engineering or industrial use.</v>
      </c>
      <c r="L267" s="80" t="str">
        <f t="shared" si="61"/>
        <v>High Pressure and Temperature Syringe Pumps from Top Industrie for high-pressure syringe pumps applications. Review configuration requirements and request technical information or a quotation from DIWAN.</v>
      </c>
      <c r="M267" s="80" t="s">
        <v>2020</v>
      </c>
      <c r="N267" s="81" t="s">
        <v>2672</v>
      </c>
      <c r="O267" s="82" t="str" cm="1">
        <f t="array" ref="O267">_xlfn.LET(_xlpm.n,LOWER(E267),_xlpm.c,LOWER(B267),_xlpm.t,_xlfn.IFS(OR(ISNUMBER(SEARCH("lens",_xlpm.n)),ISNUMBER(SEARCH("optic",_xlpm.n)),ISNUMBER(SEARCH("polarizer",_xlpm.n))),"precision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"),E267&amp;" is "&amp;_xlpm.art&amp;_xlpm.t&amp;" from "&amp;C267&amp;" designed for application-specific laboratory, engineering or industrial use. It belongs to DIWAN's "&amp;B267&amp;" portfolio; final configuration must be selected against performance, integration and compliance requirements.")</f>
        <v>High Pressure and Temperature Syringe Pumps is a precision fluid-delivery system from Top Industrie designed for application-specific laboratory, engineering or industrial use. It belongs to DIWAN's High-Pressure Syringe Pumps portfolio; final configuration must be selected against performance, integration and compliance requirements.</v>
      </c>
      <c r="P267" s="82" t="str">
        <f t="shared" si="62"/>
        <v>Selection should confirm the model-specific operating range, capacity, accuracy, interfaces, utilities, accessories, standards, environmental limits and service requirements. Final capabilities depend on the approved High Pressure and Temperature Syringe Pumps configuration.</v>
      </c>
      <c r="Q267" s="82"/>
      <c r="R267" s="82" t="str">
        <f t="shared" si="63"/>
        <v>High-Pressure Syringe Pumps applications; laboratory research, engineering development, quality control and industrial deployment where applicable. Suitability must be confirmed against the user's sample, process, environment and required standards.</v>
      </c>
      <c r="S267" s="82"/>
      <c r="T267" s="82" t="str">
        <f t="shared" si="64"/>
        <v>High Pressure and Temperature Syringe Pumps from Top Industrie</v>
      </c>
      <c r="U267" s="82"/>
      <c r="V267" s="82" t="s">
        <v>2673</v>
      </c>
      <c r="W267" s="82" t="str">
        <f t="shared" si="65"/>
        <v>See other High-Pressure Syringe Pumps products</v>
      </c>
      <c r="X267" s="82" t="str">
        <f t="shared" si="66"/>
        <v>High-Pressure Syringe Pumps enquiry → website group enquiry form → category owner assignment</v>
      </c>
      <c r="Y267" s="82" t="str">
        <f t="shared" si="67"/>
        <v>High Pressure and Temperature Syringe Pumps, High-Pressure Syringe Pumps, Top Industrie, technical equipment, DIWAN</v>
      </c>
      <c r="Z267" s="82" t="s">
        <v>2274</v>
      </c>
      <c r="AA267" s="83">
        <v>46257</v>
      </c>
      <c r="AB267" s="82" t="s">
        <v>2465</v>
      </c>
      <c r="AC267" s="84" t="str">
        <f t="shared" si="68"/>
        <v>Content drafted - assets/specs pending</v>
      </c>
      <c r="AD267"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7" s="85"/>
      <c r="AF267" s="85"/>
      <c r="AG267" s="85" t="s">
        <v>2467</v>
      </c>
      <c r="AH267" s="85" t="s">
        <v>2468</v>
      </c>
      <c r="AI267" s="85" t="s">
        <v>2469</v>
      </c>
    </row>
    <row r="268" spans="1:35" ht="42" customHeight="1" x14ac:dyDescent="0.35">
      <c r="A268" s="69">
        <f t="shared" si="70"/>
        <v>55</v>
      </c>
      <c r="B268" s="70" t="s">
        <v>316</v>
      </c>
      <c r="C268" s="71" t="s">
        <v>14</v>
      </c>
      <c r="D268" s="72" t="s">
        <v>15</v>
      </c>
      <c r="E268" s="45" t="s">
        <v>318</v>
      </c>
      <c r="F268" s="49" t="s">
        <v>3017</v>
      </c>
      <c r="G268" s="45" t="s">
        <v>3045</v>
      </c>
      <c r="H268" s="47">
        <v>46257</v>
      </c>
      <c r="I268" s="48" t="s">
        <v>1771</v>
      </c>
      <c r="J268" s="48" t="s">
        <v>1065</v>
      </c>
      <c r="K268" s="48" t="str">
        <f t="shared" si="60"/>
        <v>Computerized Integrated Syringe Pumps is a high-pressure syringe pumps product from Top Industrie for application-specific laboratory, engineering or industrial use.</v>
      </c>
      <c r="L268" s="48" t="str">
        <f t="shared" si="61"/>
        <v>Computerized Integrated Syringe Pumps from Top Industrie for high-pressure syringe pumps applications. Review configuration requirements and request technical information or a quotation from DIWAN.</v>
      </c>
      <c r="M268" s="48" t="s">
        <v>2020</v>
      </c>
      <c r="N268" s="61" t="s">
        <v>2672</v>
      </c>
      <c r="O268" s="54" t="str" cm="1">
        <f t="array" ref="O268">_xlfn.LET(_xlpm.n,LOWER(E268),_xlpm.c,LOWER(B268),_xlpm.t,_xlfn.IFS(OR(ISNUMBER(SEARCH("lens",_xlpm.n)),ISNUMBER(SEARCH("optic",_xlpm.n)),ISNUMBER(SEARCH("polarizer",_xlpm.n))),"precision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"),E268&amp;" is "&amp;_xlpm.art&amp;_xlpm.t&amp;" from "&amp;C268&amp;" designed for application-specific laboratory, engineering or industrial use. It belongs to DIWAN's "&amp;B268&amp;" portfolio; final configuration must be selected against performance, integration and compliance requirements.")</f>
        <v>Computerized Integrated Syringe Pumps is a precision fluid-delivery system from Top Industrie designed for application-specific laboratory, engineering or industrial use. It belongs to DIWAN's High-Pressure Syringe Pumps portfolio; final configuration must be selected against performance, integration and compliance requirements.</v>
      </c>
      <c r="P268" s="54" t="str">
        <f t="shared" si="62"/>
        <v>Selection should confirm the model-specific operating range, capacity, accuracy, interfaces, utilities, accessories, standards, environmental limits and service requirements. Final capabilities depend on the approved Computerized Integrated Syringe Pumps configuration.</v>
      </c>
      <c r="Q268" s="54"/>
      <c r="R268" s="54" t="str">
        <f t="shared" si="63"/>
        <v>High-Pressure Syringe Pumps applications; laboratory research, engineering development, quality control and industrial deployment where applicable. Suitability must be confirmed against the user's sample, process, environment and required standards.</v>
      </c>
      <c r="S268" s="54"/>
      <c r="T268" s="54" t="str">
        <f t="shared" si="64"/>
        <v>Computerized Integrated Syringe Pumps from Top Industrie</v>
      </c>
      <c r="U268" s="54"/>
      <c r="V268" s="54" t="s">
        <v>2673</v>
      </c>
      <c r="W268" s="54" t="str">
        <f t="shared" si="65"/>
        <v>See other High-Pressure Syringe Pumps products</v>
      </c>
      <c r="X268" s="54" t="str">
        <f t="shared" si="66"/>
        <v>High-Pressure Syringe Pumps enquiry → website group enquiry form → category owner assignment</v>
      </c>
      <c r="Y268" s="54" t="str">
        <f t="shared" si="67"/>
        <v>Computerized Integrated Syringe Pumps, High-Pressure Syringe Pumps, Top Industrie, technical equipment, DIWAN</v>
      </c>
      <c r="Z268" s="54" t="s">
        <v>2274</v>
      </c>
      <c r="AA268" s="55">
        <v>46257</v>
      </c>
      <c r="AB268" s="54" t="s">
        <v>2465</v>
      </c>
      <c r="AC268" s="63" t="str">
        <f t="shared" si="68"/>
        <v>Content drafted - assets/specs pending</v>
      </c>
      <c r="AD268"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8" s="58"/>
      <c r="AF268" s="58"/>
      <c r="AG268" s="58" t="s">
        <v>2467</v>
      </c>
      <c r="AH268" s="58" t="s">
        <v>2468</v>
      </c>
      <c r="AI268" s="58" t="s">
        <v>2469</v>
      </c>
    </row>
    <row r="269" spans="1:35" ht="42" customHeight="1" x14ac:dyDescent="0.35">
      <c r="A269" s="69">
        <f t="shared" si="70"/>
        <v>55</v>
      </c>
      <c r="B269" s="70" t="s">
        <v>316</v>
      </c>
      <c r="C269" s="71" t="s">
        <v>14</v>
      </c>
      <c r="D269" s="72" t="s">
        <v>15</v>
      </c>
      <c r="E269" s="45" t="s">
        <v>319</v>
      </c>
      <c r="F269" s="49" t="s">
        <v>3017</v>
      </c>
      <c r="G269" s="45" t="s">
        <v>3045</v>
      </c>
      <c r="H269" s="47">
        <v>46257</v>
      </c>
      <c r="I269" s="48" t="s">
        <v>1772</v>
      </c>
      <c r="J269" s="48" t="s">
        <v>1066</v>
      </c>
      <c r="K269" s="48" t="str">
        <f t="shared" si="60"/>
        <v>Manual Syringe Pumps is a high-pressure syringe pumps product from Top Industrie for application-specific laboratory, engineering or industrial use.</v>
      </c>
      <c r="L269" s="48" t="str">
        <f t="shared" si="61"/>
        <v>Manual Syringe Pumps from Top Industrie for high-pressure syringe pumps applications. Review configuration requirements and request technical information or a quotation from DIWAN.</v>
      </c>
      <c r="M269" s="48" t="s">
        <v>2020</v>
      </c>
      <c r="N269" s="61" t="s">
        <v>2672</v>
      </c>
      <c r="O269" s="54" t="str" cm="1">
        <f t="array" ref="O269">_xlfn.LET(_xlpm.n,LOWER(E269),_xlpm.c,LOWER(B269),_xlpm.t,_xlfn.IFS(OR(ISNUMBER(SEARCH("lens",_xlpm.n)),ISNUMBER(SEARCH("optic",_xlpm.n)),ISNUMBER(SEARCH("polarizer",_xlpm.n))),"precision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"),E269&amp;" is "&amp;_xlpm.art&amp;_xlpm.t&amp;" from "&amp;C269&amp;" designed for application-specific laboratory, engineering or industrial use. It belongs to DIWAN's "&amp;B269&amp;" portfolio; final configuration must be selected against performance, integration and compliance requirements.")</f>
        <v>Manual Syringe Pumps is a precision fluid-delivery system from Top Industrie designed for application-specific laboratory, engineering or industrial use. It belongs to DIWAN's High-Pressure Syringe Pumps portfolio; final configuration must be selected against performance, integration and compliance requirements.</v>
      </c>
      <c r="P269" s="54" t="str">
        <f t="shared" si="62"/>
        <v>Selection should confirm the model-specific operating range, capacity, accuracy, interfaces, utilities, accessories, standards, environmental limits and service requirements. Final capabilities depend on the approved Manual Syringe Pumps configuration.</v>
      </c>
      <c r="Q269" s="54"/>
      <c r="R269" s="54" t="str">
        <f t="shared" si="63"/>
        <v>High-Pressure Syringe Pumps applications; laboratory research, engineering development, quality control and industrial deployment where applicable. Suitability must be confirmed against the user's sample, process, environment and required standards.</v>
      </c>
      <c r="S269" s="54"/>
      <c r="T269" s="54" t="str">
        <f t="shared" si="64"/>
        <v>Manual Syringe Pumps from Top Industrie</v>
      </c>
      <c r="U269" s="54"/>
      <c r="V269" s="54" t="s">
        <v>2673</v>
      </c>
      <c r="W269" s="54" t="str">
        <f t="shared" si="65"/>
        <v>See other High-Pressure Syringe Pumps products</v>
      </c>
      <c r="X269" s="54" t="str">
        <f t="shared" si="66"/>
        <v>High-Pressure Syringe Pumps enquiry → website group enquiry form → category owner assignment</v>
      </c>
      <c r="Y269" s="54" t="str">
        <f t="shared" si="67"/>
        <v>Manual Syringe Pumps, High-Pressure Syringe Pumps, Top Industrie, technical equipment, DIWAN</v>
      </c>
      <c r="Z269" s="54" t="s">
        <v>2274</v>
      </c>
      <c r="AA269" s="55">
        <v>46257</v>
      </c>
      <c r="AB269" s="54" t="s">
        <v>2465</v>
      </c>
      <c r="AC269" s="63" t="str">
        <f t="shared" si="68"/>
        <v>Content drafted - assets/specs pending</v>
      </c>
      <c r="AD269"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69" s="58"/>
      <c r="AF269" s="58"/>
      <c r="AG269" s="58" t="s">
        <v>2467</v>
      </c>
      <c r="AH269" s="58" t="s">
        <v>2468</v>
      </c>
      <c r="AI269" s="58" t="s">
        <v>2469</v>
      </c>
    </row>
    <row r="270" spans="1:35" ht="42" customHeight="1" thickBot="1" x14ac:dyDescent="0.4">
      <c r="A270" s="69">
        <f t="shared" si="70"/>
        <v>55</v>
      </c>
      <c r="B270" s="70" t="s">
        <v>316</v>
      </c>
      <c r="C270" s="71" t="s">
        <v>14</v>
      </c>
      <c r="D270" s="72" t="s">
        <v>15</v>
      </c>
      <c r="E270" s="45" t="s">
        <v>320</v>
      </c>
      <c r="F270" s="49" t="s">
        <v>3017</v>
      </c>
      <c r="G270" s="45" t="s">
        <v>3045</v>
      </c>
      <c r="H270" s="47">
        <v>46257</v>
      </c>
      <c r="I270" s="48" t="s">
        <v>1773</v>
      </c>
      <c r="J270" s="48" t="s">
        <v>1067</v>
      </c>
      <c r="K270" s="48" t="str">
        <f t="shared" si="60"/>
        <v>Membrane Accumulators is a high-pressure syringe pumps product from Top Industrie for application-specific laboratory, engineering or industrial use.</v>
      </c>
      <c r="L270" s="48" t="str">
        <f t="shared" si="61"/>
        <v>Membrane Accumulators from Top Industrie for high-pressure syringe pumps applications. Review configuration requirements and request technical information or a quotation from DIWAN.</v>
      </c>
      <c r="M270" s="48" t="s">
        <v>2020</v>
      </c>
      <c r="N270" s="61" t="s">
        <v>2672</v>
      </c>
      <c r="O270" s="54" t="str" cm="1">
        <f t="array" ref="O270">_xlfn.LET(_xlpm.n,LOWER(E270),_xlpm.c,LOWER(B270),_xlpm.t,_xlfn.IFS(OR(ISNUMBER(SEARCH("lens",_xlpm.n)),ISNUMBER(SEARCH("optic",_xlpm.n)),ISNUMBER(SEARCH("polarizer",_xlpm.n))),"precision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"),E270&amp;" is "&amp;_xlpm.art&amp;_xlpm.t&amp;" from "&amp;C270&amp;" designed for application-specific laboratory, engineering or industrial use. It belongs to DIWAN's "&amp;B270&amp;" portfolio; final configuration must be selected against performance, integration and compliance requirements.")</f>
        <v>Membrane Accumulators is a specialized high-pressure syringe pumps product from Top Industrie designed for application-specific laboratory, engineering or industrial use. It belongs to DIWAN's High-Pressure Syringe Pumps portfolio; final configuration must be selected against performance, integration and compliance requirements.</v>
      </c>
      <c r="P270" s="54" t="str">
        <f t="shared" si="62"/>
        <v>Selection should confirm the model-specific operating range, capacity, accuracy, interfaces, utilities, accessories, standards, environmental limits and service requirements. Final capabilities depend on the approved Membrane Accumulators configuration.</v>
      </c>
      <c r="Q270" s="54"/>
      <c r="R270" s="54" t="str">
        <f t="shared" si="63"/>
        <v>High-Pressure Syringe Pumps applications; laboratory research, engineering development, quality control and industrial deployment where applicable. Suitability must be confirmed against the user's sample, process, environment and required standards.</v>
      </c>
      <c r="S270" s="54"/>
      <c r="T270" s="54" t="str">
        <f t="shared" si="64"/>
        <v>Membrane Accumulators from Top Industrie</v>
      </c>
      <c r="U270" s="54"/>
      <c r="V270" s="54" t="s">
        <v>2673</v>
      </c>
      <c r="W270" s="54" t="str">
        <f t="shared" si="65"/>
        <v>See other High-Pressure Syringe Pumps products</v>
      </c>
      <c r="X270" s="54" t="str">
        <f t="shared" si="66"/>
        <v>High-Pressure Syringe Pumps enquiry → website group enquiry form → category owner assignment</v>
      </c>
      <c r="Y270" s="54" t="str">
        <f t="shared" si="67"/>
        <v>Membrane Accumulators, High-Pressure Syringe Pumps, Top Industrie, technical equipment, DIWAN</v>
      </c>
      <c r="Z270" s="54" t="s">
        <v>2274</v>
      </c>
      <c r="AA270" s="55">
        <v>46257</v>
      </c>
      <c r="AB270" s="54" t="s">
        <v>2465</v>
      </c>
      <c r="AC270" s="63" t="str">
        <f t="shared" si="68"/>
        <v>Content drafted - assets/specs pending</v>
      </c>
      <c r="AD27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0" s="58"/>
      <c r="AF270" s="58"/>
      <c r="AG270" s="58" t="s">
        <v>2467</v>
      </c>
      <c r="AH270" s="58" t="s">
        <v>2468</v>
      </c>
      <c r="AI270" s="58" t="s">
        <v>2469</v>
      </c>
    </row>
    <row r="271" spans="1:35" ht="42" customHeight="1" x14ac:dyDescent="0.35">
      <c r="A271" s="69">
        <f t="shared" si="70"/>
        <v>56</v>
      </c>
      <c r="B271" s="74" t="s">
        <v>321</v>
      </c>
      <c r="C271" s="75" t="s">
        <v>14</v>
      </c>
      <c r="D271" s="76" t="s">
        <v>15</v>
      </c>
      <c r="E271" s="77" t="s">
        <v>322</v>
      </c>
      <c r="F271" s="86" t="s">
        <v>3018</v>
      </c>
      <c r="G271" s="77" t="s">
        <v>3045</v>
      </c>
      <c r="H271" s="79">
        <v>46257</v>
      </c>
      <c r="I271" s="80" t="s">
        <v>1774</v>
      </c>
      <c r="J271" s="80" t="s">
        <v>1068</v>
      </c>
      <c r="K271" s="80" t="str">
        <f t="shared" si="60"/>
        <v>Autoclave is an autoclaves, reactors &amp; pilot plants product from Top Industrie for application-specific laboratory, engineering or industrial use.</v>
      </c>
      <c r="L271" s="80" t="str">
        <f t="shared" si="61"/>
        <v>Autoclave from Top Industrie for autoclaves, reactors &amp; pilot plants applications. Review configuration requirements and request technical information or a quotation from DIWAN.</v>
      </c>
      <c r="M271" s="80" t="s">
        <v>2020</v>
      </c>
      <c r="N271" s="81" t="s">
        <v>2672</v>
      </c>
      <c r="O271" s="82" t="str" cm="1">
        <f t="array" ref="O271">_xlfn.LET(_xlpm.n,LOWER(E271),_xlpm.c,LOWER(B271),_xlpm.t,_xlfn.IFS(OR(ISNUMBER(SEARCH("lens",_xlpm.n)),ISNUMBER(SEARCH("optic",_xlpm.n)),ISNUMBER(SEARCH("polarizer",_xlpm.n))),"precision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"),E271&amp;" is "&amp;_xlpm.art&amp;_xlpm.t&amp;" from "&amp;C271&amp;" designed for application-specific laboratory, engineering or industrial use. It belongs to DIWAN's "&amp;B271&amp;" portfolio; final configuration must be selected against performance, integration and compliance requirements.")</f>
        <v>Autoclave is a laboratory or pilot-process system from Top Industrie designed for application-specific laboratory, engineering or industrial use. It belongs to DIWAN's Autoclaves, Reactors &amp; Pilot Plants portfolio; final configuration must be selected against performance, integration and compliance requirements.</v>
      </c>
      <c r="P271" s="82" t="str">
        <f t="shared" si="62"/>
        <v>Selection should confirm the model-specific operating range, capacity, accuracy, interfaces, utilities, accessories, standards, environmental limits and service requirements. Final capabilities depend on the approved Autoclave configuration.</v>
      </c>
      <c r="Q271" s="82"/>
      <c r="R271" s="82"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1" s="82"/>
      <c r="T271" s="82" t="str">
        <f t="shared" si="64"/>
        <v>Autoclave from Top Industrie</v>
      </c>
      <c r="U271" s="82"/>
      <c r="V271" s="82" t="s">
        <v>2673</v>
      </c>
      <c r="W271" s="82" t="str">
        <f t="shared" si="65"/>
        <v>See other Autoclaves, Reactors &amp; Pilot Plants products</v>
      </c>
      <c r="X271" s="82" t="str">
        <f t="shared" si="66"/>
        <v>Autoclaves, Reactors &amp; Pilot Plants enquiry → website group enquiry form → category owner assignment</v>
      </c>
      <c r="Y271" s="82" t="str">
        <f t="shared" si="67"/>
        <v>Autoclave, Autoclaves, Reactors &amp; Pilot Plants, Top Industrie, technical equipment, DIWAN</v>
      </c>
      <c r="Z271" s="82" t="s">
        <v>2275</v>
      </c>
      <c r="AA271" s="83">
        <v>46257</v>
      </c>
      <c r="AB271" s="82" t="s">
        <v>2465</v>
      </c>
      <c r="AC271" s="84" t="str">
        <f t="shared" si="68"/>
        <v>Content drafted - assets/specs pending</v>
      </c>
      <c r="AD271"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1" s="85"/>
      <c r="AF271" s="85"/>
      <c r="AG271" s="85" t="s">
        <v>2467</v>
      </c>
      <c r="AH271" s="85" t="s">
        <v>2468</v>
      </c>
      <c r="AI271" s="85" t="s">
        <v>2469</v>
      </c>
    </row>
    <row r="272" spans="1:35" ht="42" customHeight="1" x14ac:dyDescent="0.35">
      <c r="A272" s="69">
        <f t="shared" si="70"/>
        <v>56</v>
      </c>
      <c r="B272" s="70" t="s">
        <v>321</v>
      </c>
      <c r="C272" s="71" t="s">
        <v>14</v>
      </c>
      <c r="D272" s="72" t="s">
        <v>15</v>
      </c>
      <c r="E272" s="45" t="s">
        <v>323</v>
      </c>
      <c r="F272" s="49" t="s">
        <v>3018</v>
      </c>
      <c r="G272" s="45" t="s">
        <v>3045</v>
      </c>
      <c r="H272" s="47">
        <v>46257</v>
      </c>
      <c r="I272" s="48" t="s">
        <v>1775</v>
      </c>
      <c r="J272" s="48" t="s">
        <v>1069</v>
      </c>
      <c r="K272" s="48" t="str">
        <f t="shared" si="60"/>
        <v>Chemical Reactors is an autoclaves, reactors &amp; pilot plants product from Top Industrie for application-specific laboratory, engineering or industrial use.</v>
      </c>
      <c r="L272" s="48" t="str">
        <f t="shared" si="61"/>
        <v>Chemical Reactors from Top Industrie for autoclaves, reactors &amp; pilot plants applications. Review configuration requirements and request technical information or a quotation from DIWAN.</v>
      </c>
      <c r="M272" s="48" t="s">
        <v>2020</v>
      </c>
      <c r="N272" s="61" t="s">
        <v>2672</v>
      </c>
      <c r="O272" s="54" t="str" cm="1">
        <f t="array" ref="O272">_xlfn.LET(_xlpm.n,LOWER(E272),_xlpm.c,LOWER(B272),_xlpm.t,_xlfn.IFS(OR(ISNUMBER(SEARCH("lens",_xlpm.n)),ISNUMBER(SEARCH("optic",_xlpm.n)),ISNUMBER(SEARCH("polarizer",_xlpm.n))),"precision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"),E272&amp;" is "&amp;_xlpm.art&amp;_xlpm.t&amp;" from "&amp;C272&amp;" designed for application-specific laboratory, engineering or industrial use. It belongs to DIWAN's "&amp;B272&amp;" portfolio; final configuration must be selected against performance, integration and compliance requirements.")</f>
        <v>Chemical Reactors is a laboratory or pilot-process system from Top Industrie designed for application-specific laboratory, engineering or industrial use. It belongs to DIWAN's Autoclaves, Reactors &amp; Pilot Plants portfolio; final configuration must be selected against performance, integration and compliance requirements.</v>
      </c>
      <c r="P272" s="54" t="str">
        <f t="shared" si="62"/>
        <v>Selection should confirm the model-specific operating range, capacity, accuracy, interfaces, utilities, accessories, standards, environmental limits and service requirements. Final capabilities depend on the approved Chemical Reactors configuration.</v>
      </c>
      <c r="Q272" s="54"/>
      <c r="R272"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2" s="54"/>
      <c r="T272" s="54" t="str">
        <f t="shared" si="64"/>
        <v>Chemical Reactors from Top Industrie</v>
      </c>
      <c r="U272" s="54"/>
      <c r="V272" s="54" t="s">
        <v>2673</v>
      </c>
      <c r="W272" s="54" t="str">
        <f t="shared" si="65"/>
        <v>See other Autoclaves, Reactors &amp; Pilot Plants products</v>
      </c>
      <c r="X272" s="54" t="str">
        <f t="shared" si="66"/>
        <v>Autoclaves, Reactors &amp; Pilot Plants enquiry → website group enquiry form → category owner assignment</v>
      </c>
      <c r="Y272" s="54" t="str">
        <f t="shared" si="67"/>
        <v>Chemical Reactors, Autoclaves, Reactors &amp; Pilot Plants, Top Industrie, technical equipment, DIWAN</v>
      </c>
      <c r="Z272" s="54" t="s">
        <v>2275</v>
      </c>
      <c r="AA272" s="55">
        <v>46257</v>
      </c>
      <c r="AB272" s="54" t="s">
        <v>2465</v>
      </c>
      <c r="AC272" s="63" t="str">
        <f t="shared" si="68"/>
        <v>Content drafted - assets/specs pending</v>
      </c>
      <c r="AD27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2" s="58"/>
      <c r="AF272" s="58"/>
      <c r="AG272" s="58" t="s">
        <v>2467</v>
      </c>
      <c r="AH272" s="58" t="s">
        <v>2468</v>
      </c>
      <c r="AI272" s="58" t="s">
        <v>2469</v>
      </c>
    </row>
    <row r="273" spans="1:35" ht="42" customHeight="1" x14ac:dyDescent="0.35">
      <c r="A273" s="69">
        <f t="shared" si="70"/>
        <v>56</v>
      </c>
      <c r="B273" s="70" t="s">
        <v>321</v>
      </c>
      <c r="C273" s="71" t="s">
        <v>14</v>
      </c>
      <c r="D273" s="72" t="s">
        <v>15</v>
      </c>
      <c r="E273" s="45" t="s">
        <v>324</v>
      </c>
      <c r="F273" s="49" t="s">
        <v>3018</v>
      </c>
      <c r="G273" s="45" t="s">
        <v>3045</v>
      </c>
      <c r="H273" s="47">
        <v>46257</v>
      </c>
      <c r="I273" s="48" t="s">
        <v>1776</v>
      </c>
      <c r="J273" s="48" t="s">
        <v>1070</v>
      </c>
      <c r="K273" s="48" t="str">
        <f t="shared" si="60"/>
        <v>Automated Pilot Plants is an autoclaves, reactors &amp; pilot plants product from Top Industrie for application-specific laboratory, engineering or industrial use.</v>
      </c>
      <c r="L273" s="48" t="str">
        <f t="shared" si="61"/>
        <v>Automated Pilot Plants from Top Industrie for autoclaves, reactors &amp; pilot plants applications. Review configuration requirements and request technical information or a quotation from DIWAN.</v>
      </c>
      <c r="M273" s="48" t="s">
        <v>2020</v>
      </c>
      <c r="N273" s="61" t="s">
        <v>2672</v>
      </c>
      <c r="O273" s="54" t="str" cm="1">
        <f t="array" ref="O273">_xlfn.LET(_xlpm.n,LOWER(E273),_xlpm.c,LOWER(B273),_xlpm.t,_xlfn.IFS(OR(ISNUMBER(SEARCH("lens",_xlpm.n)),ISNUMBER(SEARCH("optic",_xlpm.n)),ISNUMBER(SEARCH("polarizer",_xlpm.n))),"precision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"),E273&amp;" is "&amp;_xlpm.art&amp;_xlpm.t&amp;" from "&amp;C273&amp;" designed for application-specific laboratory, engineering or industrial use. It belongs to DIWAN's "&amp;B273&amp;" portfolio; final configuration must be selected against performance, integration and compliance requirements.")</f>
        <v>Automated Pilot Plants is a laboratory or pilot-process system from Top Industrie designed for application-specific laboratory, engineering or industrial use. It belongs to DIWAN's Autoclaves, Reactors &amp; Pilot Plants portfolio; final configuration must be selected against performance, integration and compliance requirements.</v>
      </c>
      <c r="P273" s="54" t="str">
        <f t="shared" si="62"/>
        <v>Selection should confirm the model-specific operating range, capacity, accuracy, interfaces, utilities, accessories, standards, environmental limits and service requirements. Final capabilities depend on the approved Automated Pilot Plants configuration.</v>
      </c>
      <c r="Q273" s="54"/>
      <c r="R273"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3" s="54"/>
      <c r="T273" s="54" t="str">
        <f t="shared" si="64"/>
        <v>Automated Pilot Plants from Top Industrie</v>
      </c>
      <c r="U273" s="54"/>
      <c r="V273" s="54" t="s">
        <v>2673</v>
      </c>
      <c r="W273" s="54" t="str">
        <f t="shared" si="65"/>
        <v>See other Autoclaves, Reactors &amp; Pilot Plants products</v>
      </c>
      <c r="X273" s="54" t="str">
        <f t="shared" si="66"/>
        <v>Autoclaves, Reactors &amp; Pilot Plants enquiry → website group enquiry form → category owner assignment</v>
      </c>
      <c r="Y273" s="54" t="str">
        <f t="shared" si="67"/>
        <v>Automated Pilot Plants, Autoclaves, Reactors &amp; Pilot Plants, Top Industrie, technical equipment, DIWAN</v>
      </c>
      <c r="Z273" s="54" t="s">
        <v>2275</v>
      </c>
      <c r="AA273" s="55">
        <v>46257</v>
      </c>
      <c r="AB273" s="54" t="s">
        <v>2465</v>
      </c>
      <c r="AC273" s="63" t="str">
        <f t="shared" si="68"/>
        <v>Content drafted - assets/specs pending</v>
      </c>
      <c r="AD27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3" s="58"/>
      <c r="AF273" s="58"/>
      <c r="AG273" s="58" t="s">
        <v>2467</v>
      </c>
      <c r="AH273" s="58" t="s">
        <v>2468</v>
      </c>
      <c r="AI273" s="58" t="s">
        <v>2469</v>
      </c>
    </row>
    <row r="274" spans="1:35" ht="42" customHeight="1" x14ac:dyDescent="0.35">
      <c r="A274" s="69">
        <f t="shared" si="70"/>
        <v>56</v>
      </c>
      <c r="B274" s="70" t="s">
        <v>321</v>
      </c>
      <c r="C274" s="71" t="s">
        <v>14</v>
      </c>
      <c r="D274" s="72" t="s">
        <v>15</v>
      </c>
      <c r="E274" s="45" t="s">
        <v>325</v>
      </c>
      <c r="F274" s="49" t="s">
        <v>3018</v>
      </c>
      <c r="G274" s="45" t="s">
        <v>3045</v>
      </c>
      <c r="H274" s="47">
        <v>46257</v>
      </c>
      <c r="I274" s="48" t="s">
        <v>1777</v>
      </c>
      <c r="J274" s="48" t="s">
        <v>1071</v>
      </c>
      <c r="K274" s="48" t="str">
        <f t="shared" si="60"/>
        <v>High Pressure Cell is an autoclaves, reactors &amp; pilot plants product from Top Industrie for application-specific laboratory, engineering or industrial use.</v>
      </c>
      <c r="L274" s="48" t="str">
        <f t="shared" si="61"/>
        <v>High Pressure Cell from Top Industrie for autoclaves, reactors &amp; pilot plants applications. Review configuration requirements and request technical information or a quotation from DIWAN.</v>
      </c>
      <c r="M274" s="48" t="s">
        <v>2020</v>
      </c>
      <c r="N274" s="61" t="s">
        <v>2672</v>
      </c>
      <c r="O274" s="54" t="str" cm="1">
        <f t="array" ref="O274">_xlfn.LET(_xlpm.n,LOWER(E274),_xlpm.c,LOWER(B274),_xlpm.t,_xlfn.IFS(OR(ISNUMBER(SEARCH("lens",_xlpm.n)),ISNUMBER(SEARCH("optic",_xlpm.n)),ISNUMBER(SEARCH("polarizer",_xlpm.n))),"precision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"),E274&amp;" is "&amp;_xlpm.art&amp;_xlpm.t&amp;" from "&amp;C274&amp;" designed for application-specific laboratory, engineering or industrial use. It belongs to DIWAN's "&amp;B274&amp;" portfolio; final configuration must be selected against performance, integration and compliance requirements.")</f>
        <v>High Pressure Cell is a specialized autoclaves, reactors &amp; pilot plants product from Top Industrie designed for application-specific laboratory, engineering or industrial use. It belongs to DIWAN's Autoclaves, Reactors &amp; Pilot Plants portfolio; final configuration must be selected against performance, integration and compliance requirements.</v>
      </c>
      <c r="P274" s="54" t="str">
        <f t="shared" si="62"/>
        <v>Selection should confirm the model-specific operating range, capacity, accuracy, interfaces, utilities, accessories, standards, environmental limits and service requirements. Final capabilities depend on the approved High Pressure Cell configuration.</v>
      </c>
      <c r="Q274" s="54"/>
      <c r="R274"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4" s="54"/>
      <c r="T274" s="54" t="str">
        <f t="shared" si="64"/>
        <v>High Pressure Cell from Top Industrie</v>
      </c>
      <c r="U274" s="54"/>
      <c r="V274" s="54" t="s">
        <v>2673</v>
      </c>
      <c r="W274" s="54" t="str">
        <f t="shared" si="65"/>
        <v>See other Autoclaves, Reactors &amp; Pilot Plants products</v>
      </c>
      <c r="X274" s="54" t="str">
        <f t="shared" si="66"/>
        <v>Autoclaves, Reactors &amp; Pilot Plants enquiry → website group enquiry form → category owner assignment</v>
      </c>
      <c r="Y274" s="54" t="str">
        <f t="shared" si="67"/>
        <v>High Pressure Cell, Autoclaves, Reactors &amp; Pilot Plants, Top Industrie, technical equipment, DIWAN</v>
      </c>
      <c r="Z274" s="54" t="s">
        <v>2275</v>
      </c>
      <c r="AA274" s="55">
        <v>46257</v>
      </c>
      <c r="AB274" s="54" t="s">
        <v>2465</v>
      </c>
      <c r="AC274" s="63" t="str">
        <f t="shared" si="68"/>
        <v>Content drafted - assets/specs pending</v>
      </c>
      <c r="AD274"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4" s="58"/>
      <c r="AF274" s="58"/>
      <c r="AG274" s="58" t="s">
        <v>2467</v>
      </c>
      <c r="AH274" s="58" t="s">
        <v>2468</v>
      </c>
      <c r="AI274" s="58" t="s">
        <v>2469</v>
      </c>
    </row>
    <row r="275" spans="1:35" ht="42" customHeight="1" x14ac:dyDescent="0.35">
      <c r="A275" s="69">
        <f t="shared" si="70"/>
        <v>56</v>
      </c>
      <c r="B275" s="70" t="s">
        <v>321</v>
      </c>
      <c r="C275" s="71" t="s">
        <v>14</v>
      </c>
      <c r="D275" s="72" t="s">
        <v>15</v>
      </c>
      <c r="E275" s="45" t="s">
        <v>326</v>
      </c>
      <c r="F275" s="49" t="s">
        <v>3018</v>
      </c>
      <c r="G275" s="45" t="s">
        <v>3045</v>
      </c>
      <c r="H275" s="47">
        <v>46257</v>
      </c>
      <c r="I275" s="48" t="s">
        <v>1778</v>
      </c>
      <c r="J275" s="48" t="s">
        <v>1072</v>
      </c>
      <c r="K275" s="48" t="str">
        <f t="shared" si="60"/>
        <v>Chemical Process Equipment is an autoclaves, reactors &amp; pilot plants product from Top Industrie for application-specific laboratory, engineering or industrial use.</v>
      </c>
      <c r="L275" s="48" t="str">
        <f t="shared" si="61"/>
        <v>Chemical Process Equipment from Top Industrie for autoclaves, reactors &amp; pilot plants applications. Review configuration requirements and request technical information or a quotation from DIWAN.</v>
      </c>
      <c r="M275" s="48" t="s">
        <v>2020</v>
      </c>
      <c r="N275" s="61" t="s">
        <v>2672</v>
      </c>
      <c r="O275" s="54" t="str" cm="1">
        <f t="array" ref="O275">_xlfn.LET(_xlpm.n,LOWER(E275),_xlpm.c,LOWER(B275),_xlpm.t,_xlfn.IFS(OR(ISNUMBER(SEARCH("lens",_xlpm.n)),ISNUMBER(SEARCH("optic",_xlpm.n)),ISNUMBER(SEARCH("polarizer",_xlpm.n))),"precision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"),E275&amp;" is "&amp;_xlpm.art&amp;_xlpm.t&amp;" from "&amp;C275&amp;" designed for application-specific laboratory, engineering or industrial use. It belongs to DIWAN's "&amp;B275&amp;" portfolio; final configuration must be selected against performance, integration and compliance requirements.")</f>
        <v>Chemical Process Equipment is a specialized autoclaves, reactors &amp; pilot plants product from Top Industrie designed for application-specific laboratory, engineering or industrial use. It belongs to DIWAN's Autoclaves, Reactors &amp; Pilot Plants portfolio; final configuration must be selected against performance, integration and compliance requirements.</v>
      </c>
      <c r="P275" s="54" t="str">
        <f t="shared" si="62"/>
        <v>Selection should confirm the model-specific operating range, capacity, accuracy, interfaces, utilities, accessories, standards, environmental limits and service requirements. Final capabilities depend on the approved Chemical Process Equipment configuration.</v>
      </c>
      <c r="Q275" s="54"/>
      <c r="R275"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5" s="54"/>
      <c r="T275" s="54" t="str">
        <f t="shared" si="64"/>
        <v>Chemical Process Equipment from Top Industrie</v>
      </c>
      <c r="U275" s="54"/>
      <c r="V275" s="54" t="s">
        <v>2673</v>
      </c>
      <c r="W275" s="54" t="str">
        <f t="shared" si="65"/>
        <v>See other Autoclaves, Reactors &amp; Pilot Plants products</v>
      </c>
      <c r="X275" s="54" t="str">
        <f t="shared" si="66"/>
        <v>Autoclaves, Reactors &amp; Pilot Plants enquiry → website group enquiry form → category owner assignment</v>
      </c>
      <c r="Y275" s="54" t="str">
        <f t="shared" si="67"/>
        <v>Chemical Process Equipment, Autoclaves, Reactors &amp; Pilot Plants, Top Industrie, technical equipment, DIWAN</v>
      </c>
      <c r="Z275" s="54" t="s">
        <v>2275</v>
      </c>
      <c r="AA275" s="55">
        <v>46257</v>
      </c>
      <c r="AB275" s="54" t="s">
        <v>2465</v>
      </c>
      <c r="AC275" s="63" t="str">
        <f t="shared" si="68"/>
        <v>Content drafted - assets/specs pending</v>
      </c>
      <c r="AD275"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5" s="58"/>
      <c r="AF275" s="58"/>
      <c r="AG275" s="58" t="s">
        <v>2467</v>
      </c>
      <c r="AH275" s="58" t="s">
        <v>2468</v>
      </c>
      <c r="AI275" s="58" t="s">
        <v>2469</v>
      </c>
    </row>
    <row r="276" spans="1:35" ht="42" customHeight="1" x14ac:dyDescent="0.35">
      <c r="A276" s="69">
        <f t="shared" si="70"/>
        <v>56</v>
      </c>
      <c r="B276" s="70" t="s">
        <v>321</v>
      </c>
      <c r="C276" s="71" t="s">
        <v>14</v>
      </c>
      <c r="D276" s="72" t="s">
        <v>15</v>
      </c>
      <c r="E276" s="45" t="s">
        <v>327</v>
      </c>
      <c r="F276" s="49" t="s">
        <v>3018</v>
      </c>
      <c r="G276" s="45" t="s">
        <v>3045</v>
      </c>
      <c r="H276" s="47">
        <v>46257</v>
      </c>
      <c r="I276" s="48" t="s">
        <v>1779</v>
      </c>
      <c r="J276" s="48" t="s">
        <v>1073</v>
      </c>
      <c r="K276" s="48" t="str">
        <f t="shared" si="60"/>
        <v>SFE Systems is an autoclaves, reactors &amp; pilot plants product from Top Industrie for application-specific laboratory, engineering or industrial use.</v>
      </c>
      <c r="L276" s="48" t="str">
        <f t="shared" si="61"/>
        <v>SFE Systems from Top Industrie for autoclaves, reactors &amp; pilot plants applications. Review configuration requirements and request technical information or a quotation from DIWAN.</v>
      </c>
      <c r="M276" s="48" t="s">
        <v>2020</v>
      </c>
      <c r="N276" s="61" t="s">
        <v>2672</v>
      </c>
      <c r="O276" s="54" t="str" cm="1">
        <f t="array" ref="O276">_xlfn.LET(_xlpm.n,LOWER(E276),_xlpm.c,LOWER(B276),_xlpm.t,_xlfn.IFS(OR(ISNUMBER(SEARCH("lens",_xlpm.n)),ISNUMBER(SEARCH("optic",_xlpm.n)),ISNUMBER(SEARCH("polarizer",_xlpm.n))),"precision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"),E276&amp;" is "&amp;_xlpm.art&amp;_xlpm.t&amp;" from "&amp;C276&amp;" designed for application-specific laboratory, engineering or industrial use. It belongs to DIWAN's "&amp;B276&amp;" portfolio; final configuration must be selected against performance, integration and compliance requirements.")</f>
        <v>SFE Systems is a specialized autoclaves, reactors &amp; pilot plants product from Top Industrie designed for application-specific laboratory, engineering or industrial use. It belongs to DIWAN's Autoclaves, Reactors &amp; Pilot Plants portfolio; final configuration must be selected against performance, integration and compliance requirements.</v>
      </c>
      <c r="P276" s="54" t="str">
        <f t="shared" si="62"/>
        <v>Selection should confirm the model-specific operating range, capacity, accuracy, interfaces, utilities, accessories, standards, environmental limits and service requirements. Final capabilities depend on the approved SFE Systems configuration.</v>
      </c>
      <c r="Q276" s="54"/>
      <c r="R276"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6" s="54"/>
      <c r="T276" s="54" t="str">
        <f t="shared" si="64"/>
        <v>SFE Systems from Top Industrie</v>
      </c>
      <c r="U276" s="54"/>
      <c r="V276" s="54" t="s">
        <v>2673</v>
      </c>
      <c r="W276" s="54" t="str">
        <f t="shared" si="65"/>
        <v>See other Autoclaves, Reactors &amp; Pilot Plants products</v>
      </c>
      <c r="X276" s="54" t="str">
        <f t="shared" si="66"/>
        <v>Autoclaves, Reactors &amp; Pilot Plants enquiry → website group enquiry form → category owner assignment</v>
      </c>
      <c r="Y276" s="54" t="str">
        <f t="shared" si="67"/>
        <v>SFE Systems, Autoclaves, Reactors &amp; Pilot Plants, Top Industrie, technical equipment, DIWAN</v>
      </c>
      <c r="Z276" s="54" t="s">
        <v>2275</v>
      </c>
      <c r="AA276" s="55">
        <v>46257</v>
      </c>
      <c r="AB276" s="54" t="s">
        <v>2465</v>
      </c>
      <c r="AC276" s="63" t="str">
        <f t="shared" si="68"/>
        <v>Content drafted - assets/specs pending</v>
      </c>
      <c r="AD27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6" s="58"/>
      <c r="AF276" s="58"/>
      <c r="AG276" s="58" t="s">
        <v>2467</v>
      </c>
      <c r="AH276" s="58" t="s">
        <v>2468</v>
      </c>
      <c r="AI276" s="58" t="s">
        <v>2469</v>
      </c>
    </row>
    <row r="277" spans="1:35" ht="42" customHeight="1" x14ac:dyDescent="0.35">
      <c r="A277" s="69">
        <f t="shared" si="70"/>
        <v>56</v>
      </c>
      <c r="B277" s="70" t="s">
        <v>321</v>
      </c>
      <c r="C277" s="71" t="s">
        <v>14</v>
      </c>
      <c r="D277" s="72" t="s">
        <v>15</v>
      </c>
      <c r="E277" s="45" t="s">
        <v>328</v>
      </c>
      <c r="F277" s="49" t="s">
        <v>3018</v>
      </c>
      <c r="G277" s="45" t="s">
        <v>3045</v>
      </c>
      <c r="H277" s="47">
        <v>46257</v>
      </c>
      <c r="I277" s="48" t="s">
        <v>1780</v>
      </c>
      <c r="J277" s="48" t="s">
        <v>1074</v>
      </c>
      <c r="K277" s="48" t="str">
        <f t="shared" si="60"/>
        <v>SAS Systems is an autoclaves, reactors &amp; pilot plants product from Top Industrie for application-specific laboratory, engineering or industrial use.</v>
      </c>
      <c r="L277" s="48" t="str">
        <f t="shared" si="61"/>
        <v>SAS Systems from Top Industrie for autoclaves, reactors &amp; pilot plants applications. Review configuration requirements and request technical information or a quotation from DIWAN.</v>
      </c>
      <c r="M277" s="48" t="s">
        <v>2020</v>
      </c>
      <c r="N277" s="61" t="s">
        <v>2672</v>
      </c>
      <c r="O277" s="54" t="str" cm="1">
        <f t="array" ref="O277">_xlfn.LET(_xlpm.n,LOWER(E277),_xlpm.c,LOWER(B277),_xlpm.t,_xlfn.IFS(OR(ISNUMBER(SEARCH("lens",_xlpm.n)),ISNUMBER(SEARCH("optic",_xlpm.n)),ISNUMBER(SEARCH("polarizer",_xlpm.n))),"precision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"),E277&amp;" is "&amp;_xlpm.art&amp;_xlpm.t&amp;" from "&amp;C277&amp;" designed for application-specific laboratory, engineering or industrial use. It belongs to DIWAN's "&amp;B277&amp;" portfolio; final configuration must be selected against performance, integration and compliance requirements.")</f>
        <v>SAS Systems is a specialized autoclaves, reactors &amp; pilot plants product from Top Industrie designed for application-specific laboratory, engineering or industrial use. It belongs to DIWAN's Autoclaves, Reactors &amp; Pilot Plants portfolio; final configuration must be selected against performance, integration and compliance requirements.</v>
      </c>
      <c r="P277" s="54" t="str">
        <f t="shared" si="62"/>
        <v>Selection should confirm the model-specific operating range, capacity, accuracy, interfaces, utilities, accessories, standards, environmental limits and service requirements. Final capabilities depend on the approved SAS Systems configuration.</v>
      </c>
      <c r="Q277" s="54"/>
      <c r="R277"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7" s="54"/>
      <c r="T277" s="54" t="str">
        <f t="shared" si="64"/>
        <v>SAS Systems from Top Industrie</v>
      </c>
      <c r="U277" s="54"/>
      <c r="V277" s="54" t="s">
        <v>2673</v>
      </c>
      <c r="W277" s="54" t="str">
        <f t="shared" si="65"/>
        <v>See other Autoclaves, Reactors &amp; Pilot Plants products</v>
      </c>
      <c r="X277" s="54" t="str">
        <f t="shared" si="66"/>
        <v>Autoclaves, Reactors &amp; Pilot Plants enquiry → website group enquiry form → category owner assignment</v>
      </c>
      <c r="Y277" s="54" t="str">
        <f t="shared" si="67"/>
        <v>SAS Systems, Autoclaves, Reactors &amp; Pilot Plants, Top Industrie, technical equipment, DIWAN</v>
      </c>
      <c r="Z277" s="54" t="s">
        <v>2275</v>
      </c>
      <c r="AA277" s="55">
        <v>46257</v>
      </c>
      <c r="AB277" s="54" t="s">
        <v>2465</v>
      </c>
      <c r="AC277" s="63" t="str">
        <f t="shared" si="68"/>
        <v>Content drafted - assets/specs pending</v>
      </c>
      <c r="AD277"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7" s="58"/>
      <c r="AF277" s="58"/>
      <c r="AG277" s="58" t="s">
        <v>2467</v>
      </c>
      <c r="AH277" s="58" t="s">
        <v>2468</v>
      </c>
      <c r="AI277" s="58" t="s">
        <v>2469</v>
      </c>
    </row>
    <row r="278" spans="1:35" ht="42" customHeight="1" thickBot="1" x14ac:dyDescent="0.4">
      <c r="A278" s="69">
        <f t="shared" si="70"/>
        <v>56</v>
      </c>
      <c r="B278" s="70" t="s">
        <v>321</v>
      </c>
      <c r="C278" s="71" t="s">
        <v>14</v>
      </c>
      <c r="D278" s="72" t="s">
        <v>15</v>
      </c>
      <c r="E278" s="45" t="s">
        <v>329</v>
      </c>
      <c r="F278" s="49" t="s">
        <v>3018</v>
      </c>
      <c r="G278" s="45" t="s">
        <v>3045</v>
      </c>
      <c r="H278" s="47">
        <v>46257</v>
      </c>
      <c r="I278" s="48" t="s">
        <v>1781</v>
      </c>
      <c r="J278" s="48" t="s">
        <v>1075</v>
      </c>
      <c r="K278" s="48" t="str">
        <f t="shared" si="60"/>
        <v>Hydrothermal Synthesis is an autoclaves, reactors &amp; pilot plants product from Top Industrie for application-specific laboratory, engineering or industrial use.</v>
      </c>
      <c r="L278" s="48" t="str">
        <f t="shared" si="61"/>
        <v>Hydrothermal Synthesis from Top Industrie for autoclaves, reactors &amp; pilot plants applications. Review configuration requirements and request technical information or a quotation from DIWAN.</v>
      </c>
      <c r="M278" s="48" t="s">
        <v>2020</v>
      </c>
      <c r="N278" s="61" t="s">
        <v>2672</v>
      </c>
      <c r="O278" s="54" t="str" cm="1">
        <f t="array" ref="O278">_xlfn.LET(_xlpm.n,LOWER(E278),_xlpm.c,LOWER(B278),_xlpm.t,_xlfn.IFS(OR(ISNUMBER(SEARCH("lens",_xlpm.n)),ISNUMBER(SEARCH("optic",_xlpm.n)),ISNUMBER(SEARCH("polarizer",_xlpm.n))),"precision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"),E278&amp;" is "&amp;_xlpm.art&amp;_xlpm.t&amp;" from "&amp;C278&amp;" designed for application-specific laboratory, engineering or industrial use. It belongs to DIWAN's "&amp;B278&amp;" portfolio; final configuration must be selected against performance, integration and compliance requirements.")</f>
        <v>Hydrothermal Synthesis is a specialized autoclaves, reactors &amp; pilot plants product from Top Industrie designed for application-specific laboratory, engineering or industrial use. It belongs to DIWAN's Autoclaves, Reactors &amp; Pilot Plants portfolio; final configuration must be selected against performance, integration and compliance requirements.</v>
      </c>
      <c r="P278" s="54" t="str">
        <f t="shared" si="62"/>
        <v>Selection should confirm the model-specific operating range, capacity, accuracy, interfaces, utilities, accessories, standards, environmental limits and service requirements. Final capabilities depend on the approved Hydrothermal Synthesis configuration.</v>
      </c>
      <c r="Q278" s="54"/>
      <c r="R278" s="54" t="str">
        <f t="shared" si="63"/>
        <v>Autoclaves, Reactors &amp; Pilot Plants applications; laboratory research, engineering development, quality control and industrial deployment where applicable. Suitability must be confirmed against the user's sample, process, environment and required standards.</v>
      </c>
      <c r="S278" s="54"/>
      <c r="T278" s="54" t="str">
        <f t="shared" si="64"/>
        <v>Hydrothermal Synthesis from Top Industrie</v>
      </c>
      <c r="U278" s="54"/>
      <c r="V278" s="54" t="s">
        <v>2673</v>
      </c>
      <c r="W278" s="54" t="str">
        <f t="shared" si="65"/>
        <v>See other Autoclaves, Reactors &amp; Pilot Plants products</v>
      </c>
      <c r="X278" s="54" t="str">
        <f t="shared" si="66"/>
        <v>Autoclaves, Reactors &amp; Pilot Plants enquiry → website group enquiry form → category owner assignment</v>
      </c>
      <c r="Y278" s="54" t="str">
        <f t="shared" si="67"/>
        <v>Hydrothermal Synthesis, Autoclaves, Reactors &amp; Pilot Plants, Top Industrie, technical equipment, DIWAN</v>
      </c>
      <c r="Z278" s="54" t="s">
        <v>2275</v>
      </c>
      <c r="AA278" s="55">
        <v>46257</v>
      </c>
      <c r="AB278" s="54" t="s">
        <v>2465</v>
      </c>
      <c r="AC278" s="63" t="str">
        <f t="shared" si="68"/>
        <v>Content drafted - assets/specs pending</v>
      </c>
      <c r="AD278"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8" s="58"/>
      <c r="AF278" s="58"/>
      <c r="AG278" s="58" t="s">
        <v>2467</v>
      </c>
      <c r="AH278" s="58" t="s">
        <v>2468</v>
      </c>
      <c r="AI278" s="58" t="s">
        <v>2469</v>
      </c>
    </row>
    <row r="279" spans="1:35" ht="42" customHeight="1" x14ac:dyDescent="0.35">
      <c r="A279" s="69">
        <f t="shared" si="70"/>
        <v>57</v>
      </c>
      <c r="B279" s="74" t="s">
        <v>330</v>
      </c>
      <c r="C279" s="75" t="s">
        <v>14</v>
      </c>
      <c r="D279" s="76" t="s">
        <v>15</v>
      </c>
      <c r="E279" s="77" t="s">
        <v>331</v>
      </c>
      <c r="F279" s="86" t="s">
        <v>3019</v>
      </c>
      <c r="G279" s="77" t="s">
        <v>3045</v>
      </c>
      <c r="H279" s="79">
        <v>46257</v>
      </c>
      <c r="I279" s="80" t="s">
        <v>1782</v>
      </c>
      <c r="J279" s="80" t="s">
        <v>1076</v>
      </c>
      <c r="K279" s="80" t="str">
        <f t="shared" si="60"/>
        <v>High Pressure Autoclaves is a high-pressure equipment product from Top Industrie for application-specific laboratory, engineering or industrial use.</v>
      </c>
      <c r="L279" s="80" t="str">
        <f t="shared" si="61"/>
        <v>High Pressure Autoclaves from Top Industrie for high-pressure equipment applications. Review configuration requirements and request technical information or a quotation from DIWAN.</v>
      </c>
      <c r="M279" s="80" t="s">
        <v>2020</v>
      </c>
      <c r="N279" s="81" t="s">
        <v>2672</v>
      </c>
      <c r="O279" s="82" t="str" cm="1">
        <f t="array" ref="O279">_xlfn.LET(_xlpm.n,LOWER(E279),_xlpm.c,LOWER(B279),_xlpm.t,_xlfn.IFS(OR(ISNUMBER(SEARCH("lens",_xlpm.n)),ISNUMBER(SEARCH("optic",_xlpm.n)),ISNUMBER(SEARCH("polarizer",_xlpm.n))),"precision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"),E279&amp;" is "&amp;_xlpm.art&amp;_xlpm.t&amp;" from "&amp;C279&amp;" designed for application-specific laboratory, engineering or industrial use. It belongs to DIWAN's "&amp;B279&amp;" portfolio; final configuration must be selected against performance, integration and compliance requirements.")</f>
        <v>High Pressure Autoclaves is a laboratory or pilot-process system from Top Industrie designed for application-specific laboratory, engineering or industrial use. It belongs to DIWAN's High-Pressure Equipment portfolio; final configuration must be selected against performance, integration and compliance requirements.</v>
      </c>
      <c r="P279" s="82" t="str">
        <f t="shared" si="62"/>
        <v>Selection should confirm the model-specific operating range, capacity, accuracy, interfaces, utilities, accessories, standards, environmental limits and service requirements. Final capabilities depend on the approved High Pressure Autoclaves configuration.</v>
      </c>
      <c r="Q279" s="82"/>
      <c r="R279" s="82" t="str">
        <f t="shared" si="63"/>
        <v>High-Pressure Equipment applications; laboratory research, engineering development, quality control and industrial deployment where applicable. Suitability must be confirmed against the user's sample, process, environment and required standards.</v>
      </c>
      <c r="S279" s="82"/>
      <c r="T279" s="82" t="str">
        <f t="shared" si="64"/>
        <v>High Pressure Autoclaves from Top Industrie</v>
      </c>
      <c r="U279" s="82"/>
      <c r="V279" s="82" t="s">
        <v>2673</v>
      </c>
      <c r="W279" s="82" t="str">
        <f t="shared" si="65"/>
        <v>See other High-Pressure Equipment products</v>
      </c>
      <c r="X279" s="82" t="str">
        <f t="shared" si="66"/>
        <v>High-Pressure Equipment enquiry → website group enquiry form → category owner assignment</v>
      </c>
      <c r="Y279" s="82" t="str">
        <f t="shared" si="67"/>
        <v>High Pressure Autoclaves, High-Pressure Equipment, Top Industrie, technical equipment, DIWAN</v>
      </c>
      <c r="Z279" s="82" t="s">
        <v>2276</v>
      </c>
      <c r="AA279" s="83">
        <v>46257</v>
      </c>
      <c r="AB279" s="82" t="s">
        <v>2465</v>
      </c>
      <c r="AC279" s="84" t="str">
        <f t="shared" si="68"/>
        <v>Content drafted - assets/specs pending</v>
      </c>
      <c r="AD279"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79" s="85"/>
      <c r="AF279" s="85"/>
      <c r="AG279" s="85" t="s">
        <v>2467</v>
      </c>
      <c r="AH279" s="85" t="s">
        <v>2468</v>
      </c>
      <c r="AI279" s="85" t="s">
        <v>2469</v>
      </c>
    </row>
    <row r="280" spans="1:35" ht="42" customHeight="1" x14ac:dyDescent="0.35">
      <c r="A280" s="69">
        <f t="shared" si="70"/>
        <v>57</v>
      </c>
      <c r="B280" s="70" t="s">
        <v>330</v>
      </c>
      <c r="C280" s="71" t="s">
        <v>14</v>
      </c>
      <c r="D280" s="72" t="s">
        <v>15</v>
      </c>
      <c r="E280" s="45" t="s">
        <v>332</v>
      </c>
      <c r="F280" s="49" t="s">
        <v>3019</v>
      </c>
      <c r="G280" s="45" t="s">
        <v>3045</v>
      </c>
      <c r="H280" s="47">
        <v>46257</v>
      </c>
      <c r="I280" s="48" t="s">
        <v>1783</v>
      </c>
      <c r="J280" s="48" t="s">
        <v>1077</v>
      </c>
      <c r="K280" s="48" t="str">
        <f t="shared" si="60"/>
        <v>High Pressure Cells is a high-pressure equipment product from Top Industrie for application-specific laboratory, engineering or industrial use.</v>
      </c>
      <c r="L280" s="48" t="str">
        <f t="shared" si="61"/>
        <v>High Pressure Cells from Top Industrie for high-pressure equipment applications. Review configuration requirements and request technical information or a quotation from DIWAN.</v>
      </c>
      <c r="M280" s="48" t="s">
        <v>2020</v>
      </c>
      <c r="N280" s="61" t="s">
        <v>2672</v>
      </c>
      <c r="O280" s="54" t="str" cm="1">
        <f t="array" ref="O280">_xlfn.LET(_xlpm.n,LOWER(E280),_xlpm.c,LOWER(B280),_xlpm.t,_xlfn.IFS(OR(ISNUMBER(SEARCH("lens",_xlpm.n)),ISNUMBER(SEARCH("optic",_xlpm.n)),ISNUMBER(SEARCH("polarizer",_xlpm.n))),"precision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"),E280&amp;" is "&amp;_xlpm.art&amp;_xlpm.t&amp;" from "&amp;C280&amp;" designed for application-specific laboratory, engineering or industrial use. It belongs to DIWAN's "&amp;B280&amp;" portfolio; final configuration must be selected against performance, integration and compliance requirements.")</f>
        <v>High Pressure Cells is a specialized high-pressure equipment product from Top Industrie designed for application-specific laboratory, engineering or industrial use. It belongs to DIWAN's High-Pressure Equipment portfolio; final configuration must be selected against performance, integration and compliance requirements.</v>
      </c>
      <c r="P280" s="54" t="str">
        <f t="shared" si="62"/>
        <v>Selection should confirm the model-specific operating range, capacity, accuracy, interfaces, utilities, accessories, standards, environmental limits and service requirements. Final capabilities depend on the approved High Pressure Cells configuration.</v>
      </c>
      <c r="Q280" s="54"/>
      <c r="R280" s="54" t="str">
        <f t="shared" si="63"/>
        <v>High-Pressure Equipment applications; laboratory research, engineering development, quality control and industrial deployment where applicable. Suitability must be confirmed against the user's sample, process, environment and required standards.</v>
      </c>
      <c r="S280" s="54"/>
      <c r="T280" s="54" t="str">
        <f t="shared" si="64"/>
        <v>High Pressure Cells from Top Industrie</v>
      </c>
      <c r="U280" s="54"/>
      <c r="V280" s="54" t="s">
        <v>2673</v>
      </c>
      <c r="W280" s="54" t="str">
        <f t="shared" si="65"/>
        <v>See other High-Pressure Equipment products</v>
      </c>
      <c r="X280" s="54" t="str">
        <f t="shared" si="66"/>
        <v>High-Pressure Equipment enquiry → website group enquiry form → category owner assignment</v>
      </c>
      <c r="Y280" s="54" t="str">
        <f t="shared" si="67"/>
        <v>High Pressure Cells, High-Pressure Equipment, Top Industrie, technical equipment, DIWAN</v>
      </c>
      <c r="Z280" s="54" t="s">
        <v>2276</v>
      </c>
      <c r="AA280" s="55">
        <v>46257</v>
      </c>
      <c r="AB280" s="54" t="s">
        <v>2465</v>
      </c>
      <c r="AC280" s="63" t="str">
        <f t="shared" si="68"/>
        <v>Content drafted - assets/specs pending</v>
      </c>
      <c r="AD280"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0" s="58"/>
      <c r="AF280" s="58"/>
      <c r="AG280" s="58" t="s">
        <v>2467</v>
      </c>
      <c r="AH280" s="58" t="s">
        <v>2468</v>
      </c>
      <c r="AI280" s="58" t="s">
        <v>2469</v>
      </c>
    </row>
    <row r="281" spans="1:35" ht="42" customHeight="1" x14ac:dyDescent="0.35">
      <c r="A281" s="69">
        <f t="shared" si="70"/>
        <v>57</v>
      </c>
      <c r="B281" s="70" t="s">
        <v>330</v>
      </c>
      <c r="C281" s="71" t="s">
        <v>14</v>
      </c>
      <c r="D281" s="72" t="s">
        <v>15</v>
      </c>
      <c r="E281" s="45" t="s">
        <v>333</v>
      </c>
      <c r="F281" s="49" t="s">
        <v>3019</v>
      </c>
      <c r="G281" s="45" t="s">
        <v>3045</v>
      </c>
      <c r="H281" s="47">
        <v>46257</v>
      </c>
      <c r="I281" s="48" t="s">
        <v>1784</v>
      </c>
      <c r="J281" s="48" t="s">
        <v>1078</v>
      </c>
      <c r="K281" s="48" t="str">
        <f t="shared" si="60"/>
        <v>Isostatic Pressing is a high-pressure equipment product from Top Industrie for application-specific laboratory, engineering or industrial use.</v>
      </c>
      <c r="L281" s="48" t="str">
        <f t="shared" si="61"/>
        <v>Isostatic Pressing from Top Industrie for high-pressure equipment applications. Review configuration requirements and request technical information or a quotation from DIWAN.</v>
      </c>
      <c r="M281" s="48" t="s">
        <v>2020</v>
      </c>
      <c r="N281" s="61" t="s">
        <v>2672</v>
      </c>
      <c r="O281" s="54" t="str" cm="1">
        <f t="array" ref="O281">_xlfn.LET(_xlpm.n,LOWER(E281),_xlpm.c,LOWER(B281),_xlpm.t,_xlfn.IFS(OR(ISNUMBER(SEARCH("lens",_xlpm.n)),ISNUMBER(SEARCH("optic",_xlpm.n)),ISNUMBER(SEARCH("polarizer",_xlpm.n))),"precision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"),E281&amp;" is "&amp;_xlpm.art&amp;_xlpm.t&amp;" from "&amp;C281&amp;" designed for application-specific laboratory, engineering or industrial use. It belongs to DIWAN's "&amp;B281&amp;" portfolio; final configuration must be selected against performance, integration and compliance requirements.")</f>
        <v>Isostatic Pressing is a specialized high-pressure equipment product from Top Industrie designed for application-specific laboratory, engineering or industrial use. It belongs to DIWAN's High-Pressure Equipment portfolio; final configuration must be selected against performance, integration and compliance requirements.</v>
      </c>
      <c r="P281" s="54" t="str">
        <f t="shared" si="62"/>
        <v>Selection should confirm the model-specific operating range, capacity, accuracy, interfaces, utilities, accessories, standards, environmental limits and service requirements. Final capabilities depend on the approved Isostatic Pressing configuration.</v>
      </c>
      <c r="Q281" s="54"/>
      <c r="R281" s="54" t="str">
        <f t="shared" si="63"/>
        <v>High-Pressure Equipment applications; laboratory research, engineering development, quality control and industrial deployment where applicable. Suitability must be confirmed against the user's sample, process, environment and required standards.</v>
      </c>
      <c r="S281" s="54"/>
      <c r="T281" s="54" t="str">
        <f t="shared" si="64"/>
        <v>Isostatic Pressing from Top Industrie</v>
      </c>
      <c r="U281" s="54"/>
      <c r="V281" s="54" t="s">
        <v>2673</v>
      </c>
      <c r="W281" s="54" t="str">
        <f t="shared" si="65"/>
        <v>See other High-Pressure Equipment products</v>
      </c>
      <c r="X281" s="54" t="str">
        <f t="shared" si="66"/>
        <v>High-Pressure Equipment enquiry → website group enquiry form → category owner assignment</v>
      </c>
      <c r="Y281" s="54" t="str">
        <f t="shared" si="67"/>
        <v>Isostatic Pressing, High-Pressure Equipment, Top Industrie, technical equipment, DIWAN</v>
      </c>
      <c r="Z281" s="54" t="s">
        <v>2276</v>
      </c>
      <c r="AA281" s="55">
        <v>46257</v>
      </c>
      <c r="AB281" s="54" t="s">
        <v>2465</v>
      </c>
      <c r="AC281" s="63" t="str">
        <f t="shared" si="68"/>
        <v>Content drafted - assets/specs pending</v>
      </c>
      <c r="AD281"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1" s="58"/>
      <c r="AF281" s="58"/>
      <c r="AG281" s="58" t="s">
        <v>2467</v>
      </c>
      <c r="AH281" s="58" t="s">
        <v>2468</v>
      </c>
      <c r="AI281" s="58" t="s">
        <v>2469</v>
      </c>
    </row>
    <row r="282" spans="1:35" ht="42" customHeight="1" x14ac:dyDescent="0.35">
      <c r="A282" s="69">
        <f t="shared" si="70"/>
        <v>57</v>
      </c>
      <c r="B282" s="70" t="s">
        <v>330</v>
      </c>
      <c r="C282" s="71" t="s">
        <v>14</v>
      </c>
      <c r="D282" s="72" t="s">
        <v>15</v>
      </c>
      <c r="E282" s="45" t="s">
        <v>334</v>
      </c>
      <c r="F282" s="49" t="s">
        <v>3019</v>
      </c>
      <c r="G282" s="45" t="s">
        <v>3045</v>
      </c>
      <c r="H282" s="47">
        <v>46257</v>
      </c>
      <c r="I282" s="48" t="s">
        <v>1785</v>
      </c>
      <c r="J282" s="48" t="s">
        <v>1079</v>
      </c>
      <c r="K282" s="48" t="str">
        <f t="shared" si="60"/>
        <v>Surface and Thermal Treatment is a high-pressure equipment product from Top Industrie for application-specific laboratory, engineering or industrial use.</v>
      </c>
      <c r="L282" s="48" t="str">
        <f t="shared" si="61"/>
        <v>Surface and Thermal Treatment from Top Industrie for high-pressure equipment applications. Review configuration requirements and request technical information or a quotation from DIWAN.</v>
      </c>
      <c r="M282" s="48" t="s">
        <v>2020</v>
      </c>
      <c r="N282" s="61" t="s">
        <v>2672</v>
      </c>
      <c r="O282" s="54" t="str" cm="1">
        <f t="array" ref="O282">_xlfn.LET(_xlpm.n,LOWER(E282),_xlpm.c,LOWER(B282),_xlpm.t,_xlfn.IFS(OR(ISNUMBER(SEARCH("lens",_xlpm.n)),ISNUMBER(SEARCH("optic",_xlpm.n)),ISNUMBER(SEARCH("polarizer",_xlpm.n))),"precision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"),E282&amp;" is "&amp;_xlpm.art&amp;_xlpm.t&amp;" from "&amp;C282&amp;" designed for application-specific laboratory, engineering or industrial use. It belongs to DIWAN's "&amp;B282&amp;" portfolio; final configuration must be selected against performance, integration and compliance requirements.")</f>
        <v>Surface and Thermal Treatment is a specialized high-pressure equipment product from Top Industrie designed for application-specific laboratory, engineering or industrial use. It belongs to DIWAN's High-Pressure Equipment portfolio; final configuration must be selected against performance, integration and compliance requirements.</v>
      </c>
      <c r="P282" s="54" t="str">
        <f t="shared" si="62"/>
        <v>Selection should confirm the model-specific operating range, capacity, accuracy, interfaces, utilities, accessories, standards, environmental limits and service requirements. Final capabilities depend on the approved Surface and Thermal Treatment configuration.</v>
      </c>
      <c r="Q282" s="54"/>
      <c r="R282" s="54" t="str">
        <f t="shared" si="63"/>
        <v>High-Pressure Equipment applications; laboratory research, engineering development, quality control and industrial deployment where applicable. Suitability must be confirmed against the user's sample, process, environment and required standards.</v>
      </c>
      <c r="S282" s="54"/>
      <c r="T282" s="54" t="str">
        <f t="shared" si="64"/>
        <v>Surface and Thermal Treatment from Top Industrie</v>
      </c>
      <c r="U282" s="54"/>
      <c r="V282" s="54" t="s">
        <v>2673</v>
      </c>
      <c r="W282" s="54" t="str">
        <f t="shared" si="65"/>
        <v>See other High-Pressure Equipment products</v>
      </c>
      <c r="X282" s="54" t="str">
        <f t="shared" si="66"/>
        <v>High-Pressure Equipment enquiry → website group enquiry form → category owner assignment</v>
      </c>
      <c r="Y282" s="54" t="str">
        <f t="shared" si="67"/>
        <v>Surface and Thermal Treatment, High-Pressure Equipment, Top Industrie, technical equipment, DIWAN</v>
      </c>
      <c r="Z282" s="54" t="s">
        <v>2276</v>
      </c>
      <c r="AA282" s="55">
        <v>46257</v>
      </c>
      <c r="AB282" s="54" t="s">
        <v>2465</v>
      </c>
      <c r="AC282" s="63" t="str">
        <f t="shared" si="68"/>
        <v>Content drafted - assets/specs pending</v>
      </c>
      <c r="AD282"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2" s="58"/>
      <c r="AF282" s="58"/>
      <c r="AG282" s="58" t="s">
        <v>2467</v>
      </c>
      <c r="AH282" s="58" t="s">
        <v>2468</v>
      </c>
      <c r="AI282" s="58" t="s">
        <v>2469</v>
      </c>
    </row>
    <row r="283" spans="1:35" ht="42" customHeight="1" thickBot="1" x14ac:dyDescent="0.4">
      <c r="A283" s="69">
        <f t="shared" si="70"/>
        <v>57</v>
      </c>
      <c r="B283" s="70" t="s">
        <v>330</v>
      </c>
      <c r="C283" s="71" t="s">
        <v>14</v>
      </c>
      <c r="D283" s="72" t="s">
        <v>15</v>
      </c>
      <c r="E283" s="45" t="s">
        <v>335</v>
      </c>
      <c r="F283" s="49" t="s">
        <v>3019</v>
      </c>
      <c r="G283" s="45" t="s">
        <v>3045</v>
      </c>
      <c r="H283" s="47">
        <v>46257</v>
      </c>
      <c r="I283" s="48" t="s">
        <v>1786</v>
      </c>
      <c r="J283" s="48" t="s">
        <v>1080</v>
      </c>
      <c r="K283" s="48" t="str">
        <f t="shared" si="60"/>
        <v>High Pressure Generator / Booster Compressor is a high-pressure equipment product from Top Industrie for application-specific laboratory, engineering or industrial use.</v>
      </c>
      <c r="L283" s="48" t="str">
        <f t="shared" si="61"/>
        <v>High Pressure Generator / Booster Compressor from Top Industrie for high-pressure equipment applications. Review configuration requirements and request technical information or a quotation from DIWAN.</v>
      </c>
      <c r="M283" s="48" t="s">
        <v>2020</v>
      </c>
      <c r="N283" s="61" t="s">
        <v>2672</v>
      </c>
      <c r="O283" s="54" t="str" cm="1">
        <f t="array" ref="O283">_xlfn.LET(_xlpm.n,LOWER(E283),_xlpm.c,LOWER(B283),_xlpm.t,_xlfn.IFS(OR(ISNUMBER(SEARCH("lens",_xlpm.n)),ISNUMBER(SEARCH("optic",_xlpm.n)),ISNUMBER(SEARCH("polarizer",_xlpm.n))),"precision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"),E283&amp;" is "&amp;_xlpm.art&amp;_xlpm.t&amp;" from "&amp;C283&amp;" designed for application-specific laboratory, engineering or industrial use. It belongs to DIWAN's "&amp;B283&amp;" portfolio; final configuration must be selected against performance, integration and compliance requirements.")</f>
        <v>High Pressure Generator / Booster Compressor is a specialized high-pressure equipment product from Top Industrie designed for application-specific laboratory, engineering or industrial use. It belongs to DIWAN's High-Pressure Equipment portfolio; final configuration must be selected against performance, integration and compliance requirements.</v>
      </c>
      <c r="P283" s="54" t="str">
        <f t="shared" si="62"/>
        <v>Selection should confirm the model-specific operating range, capacity, accuracy, interfaces, utilities, accessories, standards, environmental limits and service requirements. Final capabilities depend on the approved High Pressure Generator / Booster Compressor configuration.</v>
      </c>
      <c r="Q283" s="54"/>
      <c r="R283" s="54" t="str">
        <f t="shared" si="63"/>
        <v>High-Pressure Equipment applications; laboratory research, engineering development, quality control and industrial deployment where applicable. Suitability must be confirmed against the user's sample, process, environment and required standards.</v>
      </c>
      <c r="S283" s="54"/>
      <c r="T283" s="54" t="str">
        <f t="shared" si="64"/>
        <v>High Pressure Generator / Booster Compressor from Top Industrie</v>
      </c>
      <c r="U283" s="54"/>
      <c r="V283" s="54" t="s">
        <v>2673</v>
      </c>
      <c r="W283" s="54" t="str">
        <f t="shared" si="65"/>
        <v>See other High-Pressure Equipment products</v>
      </c>
      <c r="X283" s="54" t="str">
        <f t="shared" si="66"/>
        <v>High-Pressure Equipment enquiry → website group enquiry form → category owner assignment</v>
      </c>
      <c r="Y283" s="54" t="str">
        <f t="shared" si="67"/>
        <v>High Pressure Generator / Booster Compressor, High-Pressure Equipment, Top Industrie, technical equipment, DIWAN</v>
      </c>
      <c r="Z283" s="54" t="s">
        <v>2276</v>
      </c>
      <c r="AA283" s="55">
        <v>46257</v>
      </c>
      <c r="AB283" s="54" t="s">
        <v>2465</v>
      </c>
      <c r="AC283" s="63" t="str">
        <f t="shared" si="68"/>
        <v>Content drafted - assets/specs pending</v>
      </c>
      <c r="AD283"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3" s="58"/>
      <c r="AF283" s="58"/>
      <c r="AG283" s="58" t="s">
        <v>2467</v>
      </c>
      <c r="AH283" s="58" t="s">
        <v>2468</v>
      </c>
      <c r="AI283" s="58" t="s">
        <v>2469</v>
      </c>
    </row>
    <row r="284" spans="1:35" ht="42" customHeight="1" thickBot="1" x14ac:dyDescent="0.4">
      <c r="A284" s="69">
        <f t="shared" si="70"/>
        <v>58</v>
      </c>
      <c r="B284" s="74" t="s">
        <v>336</v>
      </c>
      <c r="C284" s="75" t="s">
        <v>14</v>
      </c>
      <c r="D284" s="76" t="s">
        <v>15</v>
      </c>
      <c r="E284" s="77" t="s">
        <v>337</v>
      </c>
      <c r="F284" s="86" t="s">
        <v>3020</v>
      </c>
      <c r="G284" s="77" t="s">
        <v>3045</v>
      </c>
      <c r="H284" s="79">
        <v>46257</v>
      </c>
      <c r="I284" s="80" t="s">
        <v>1787</v>
      </c>
      <c r="J284" s="80" t="s">
        <v>1081</v>
      </c>
      <c r="K284" s="80" t="str">
        <f t="shared" si="60"/>
        <v>High Pressure Hydrogen Gas Rigs is a hydrogen test systems product from Top Industrie for application-specific laboratory, engineering or industrial use.</v>
      </c>
      <c r="L284" s="80" t="str">
        <f t="shared" si="61"/>
        <v>High Pressure Hydrogen Gas Rigs from Top Industrie for hydrogen test systems applications. Review configuration requirements and request technical information or a quotation from DIWAN.</v>
      </c>
      <c r="M284" s="80" t="s">
        <v>2020</v>
      </c>
      <c r="N284" s="81" t="s">
        <v>2672</v>
      </c>
      <c r="O284" s="82" t="str" cm="1">
        <f t="array" ref="O284">_xlfn.LET(_xlpm.n,LOWER(E284),_xlpm.c,LOWER(B284),_xlpm.t,_xlfn.IFS(OR(ISNUMBER(SEARCH("lens",_xlpm.n)),ISNUMBER(SEARCH("optic",_xlpm.n)),ISNUMBER(SEARCH("polarizer",_xlpm.n))),"precision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"),E284&amp;" is "&amp;_xlpm.art&amp;_xlpm.t&amp;" from "&amp;C284&amp;" designed for application-specific laboratory, engineering or industrial use. It belongs to DIWAN's "&amp;B284&amp;" portfolio; final configuration must be selected against performance, integration and compliance requirements.")</f>
        <v>High Pressure Hydrogen Gas Rigs is a specialized hydrogen test systems product from Top Industrie designed for application-specific laboratory, engineering or industrial use. It belongs to DIWAN's Hydrogen Test Systems portfolio; final configuration must be selected against performance, integration and compliance requirements.</v>
      </c>
      <c r="P284" s="82" t="str">
        <f t="shared" si="62"/>
        <v>Selection should confirm the model-specific operating range, capacity, accuracy, interfaces, utilities, accessories, standards, environmental limits and service requirements. Final capabilities depend on the approved High Pressure Hydrogen Gas Rigs configuration.</v>
      </c>
      <c r="Q284" s="82"/>
      <c r="R284" s="82" t="str">
        <f t="shared" si="63"/>
        <v>Hydrogen Test Systems applications; laboratory research, engineering development, quality control and industrial deployment where applicable. Suitability must be confirmed against the user's sample, process, environment and required standards.</v>
      </c>
      <c r="S284" s="82"/>
      <c r="T284" s="82" t="str">
        <f t="shared" si="64"/>
        <v>High Pressure Hydrogen Gas Rigs from Top Industrie</v>
      </c>
      <c r="U284" s="82"/>
      <c r="V284" s="82" t="s">
        <v>2673</v>
      </c>
      <c r="W284" s="82" t="str">
        <f t="shared" si="65"/>
        <v>See other Hydrogen Test Systems products</v>
      </c>
      <c r="X284" s="82" t="str">
        <f t="shared" si="66"/>
        <v>Hydrogen Test Systems enquiry → website group enquiry form → category owner assignment</v>
      </c>
      <c r="Y284" s="82" t="str">
        <f t="shared" si="67"/>
        <v>High Pressure Hydrogen Gas Rigs, Hydrogen Test Systems, Top Industrie, technical equipment, DIWAN</v>
      </c>
      <c r="Z284" s="82" t="s">
        <v>2277</v>
      </c>
      <c r="AA284" s="83">
        <v>46257</v>
      </c>
      <c r="AB284" s="82" t="s">
        <v>2465</v>
      </c>
      <c r="AC284" s="84" t="str">
        <f t="shared" si="68"/>
        <v>Content drafted - assets/specs pending</v>
      </c>
      <c r="AD284"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4" s="85"/>
      <c r="AF284" s="85"/>
      <c r="AG284" s="85" t="s">
        <v>2467</v>
      </c>
      <c r="AH284" s="85" t="s">
        <v>2468</v>
      </c>
      <c r="AI284" s="85" t="s">
        <v>2469</v>
      </c>
    </row>
    <row r="285" spans="1:35" ht="42" customHeight="1" x14ac:dyDescent="0.35">
      <c r="A285" s="69">
        <f t="shared" si="70"/>
        <v>59</v>
      </c>
      <c r="B285" s="74" t="s">
        <v>338</v>
      </c>
      <c r="C285" s="75" t="s">
        <v>14</v>
      </c>
      <c r="D285" s="76" t="s">
        <v>15</v>
      </c>
      <c r="E285" s="77" t="s">
        <v>339</v>
      </c>
      <c r="F285" s="86" t="s">
        <v>3021</v>
      </c>
      <c r="G285" s="77" t="s">
        <v>3045</v>
      </c>
      <c r="H285" s="79">
        <v>46257</v>
      </c>
      <c r="I285" s="80" t="s">
        <v>1788</v>
      </c>
      <c r="J285" s="80" t="s">
        <v>1082</v>
      </c>
      <c r="K285" s="80" t="str">
        <f t="shared" si="60"/>
        <v>Core Holder is a porous media &amp; geomechanics product from Top Industrie for application-specific laboratory, engineering or industrial use.</v>
      </c>
      <c r="L285" s="80" t="str">
        <f t="shared" si="61"/>
        <v>Core Holder from Top Industrie for porous media &amp; geomechanics applications. Review configuration requirements and request technical information or a quotation from DIWAN.</v>
      </c>
      <c r="M285" s="80" t="s">
        <v>2020</v>
      </c>
      <c r="N285" s="81" t="s">
        <v>2672</v>
      </c>
      <c r="O285" s="82" t="str" cm="1">
        <f t="array" ref="O285">_xlfn.LET(_xlpm.n,LOWER(E285),_xlpm.c,LOWER(B285),_xlpm.t,_xlfn.IFS(OR(ISNUMBER(SEARCH("lens",_xlpm.n)),ISNUMBER(SEARCH("optic",_xlpm.n)),ISNUMBER(SEARCH("polarizer",_xlpm.n))),"precision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"),E285&amp;" is "&amp;_xlpm.art&amp;_xlpm.t&amp;" from "&amp;C285&amp;" designed for application-specific laboratory, engineering or industrial use. It belongs to DIWAN's "&amp;B285&amp;" portfolio; final configuration must be selected against performance, integration and compliance requirements.")</f>
        <v>Core Holder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85" s="82" t="str">
        <f t="shared" si="62"/>
        <v>Selection should confirm the model-specific operating range, capacity, accuracy, interfaces, utilities, accessories, standards, environmental limits and service requirements. Final capabilities depend on the approved Core Holder configuration.</v>
      </c>
      <c r="Q285" s="82"/>
      <c r="R285" s="82" t="str">
        <f t="shared" si="63"/>
        <v>Porous Media &amp; Geomechanics applications; laboratory research, engineering development, quality control and industrial deployment where applicable. Suitability must be confirmed against the user's sample, process, environment and required standards.</v>
      </c>
      <c r="S285" s="82"/>
      <c r="T285" s="82" t="str">
        <f t="shared" si="64"/>
        <v>Core Holder from Top Industrie</v>
      </c>
      <c r="U285" s="82"/>
      <c r="V285" s="82" t="s">
        <v>2673</v>
      </c>
      <c r="W285" s="82" t="str">
        <f t="shared" si="65"/>
        <v>See other Porous Media &amp; Geomechanics products</v>
      </c>
      <c r="X285" s="82" t="str">
        <f t="shared" si="66"/>
        <v>Porous Media &amp; Geomechanics enquiry → website group enquiry form → category owner assignment</v>
      </c>
      <c r="Y285" s="82" t="str">
        <f t="shared" si="67"/>
        <v>Core Holder, Porous Media &amp; Geomechanics, Top Industrie, technical equipment, DIWAN</v>
      </c>
      <c r="Z285" s="82" t="s">
        <v>2278</v>
      </c>
      <c r="AA285" s="83">
        <v>46257</v>
      </c>
      <c r="AB285" s="82" t="s">
        <v>2465</v>
      </c>
      <c r="AC285" s="84" t="str">
        <f t="shared" si="68"/>
        <v>Content drafted - assets/specs pending</v>
      </c>
      <c r="AD285" s="82"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5" s="85"/>
      <c r="AF285" s="85"/>
      <c r="AG285" s="85" t="s">
        <v>2467</v>
      </c>
      <c r="AH285" s="85" t="s">
        <v>2468</v>
      </c>
      <c r="AI285" s="85" t="s">
        <v>2469</v>
      </c>
    </row>
    <row r="286" spans="1:35" ht="42" customHeight="1" x14ac:dyDescent="0.35">
      <c r="A286" s="69">
        <f t="shared" si="70"/>
        <v>59</v>
      </c>
      <c r="B286" s="70" t="s">
        <v>338</v>
      </c>
      <c r="C286" s="71" t="s">
        <v>14</v>
      </c>
      <c r="D286" s="72" t="s">
        <v>15</v>
      </c>
      <c r="E286" s="45" t="s">
        <v>340</v>
      </c>
      <c r="F286" s="49" t="s">
        <v>3021</v>
      </c>
      <c r="G286" s="45" t="s">
        <v>3045</v>
      </c>
      <c r="H286" s="47">
        <v>46257</v>
      </c>
      <c r="I286" s="48" t="s">
        <v>1789</v>
      </c>
      <c r="J286" s="48" t="s">
        <v>1083</v>
      </c>
      <c r="K286" s="48" t="str">
        <f t="shared" si="60"/>
        <v>Gas Permeability is a porous media &amp; geomechanics product from Top Industrie for application-specific laboratory, engineering or industrial use.</v>
      </c>
      <c r="L286" s="48" t="str">
        <f t="shared" si="61"/>
        <v>Gas Permeability from Top Industrie for porous media &amp; geomechanics applications. Review configuration requirements and request technical information or a quotation from DIWAN.</v>
      </c>
      <c r="M286" s="48" t="s">
        <v>2020</v>
      </c>
      <c r="N286" s="61" t="s">
        <v>2672</v>
      </c>
      <c r="O286" s="54" t="str" cm="1">
        <f t="array" ref="O286">_xlfn.LET(_xlpm.n,LOWER(E286),_xlpm.c,LOWER(B286),_xlpm.t,_xlfn.IFS(OR(ISNUMBER(SEARCH("lens",_xlpm.n)),ISNUMBER(SEARCH("optic",_xlpm.n)),ISNUMBER(SEARCH("polarizer",_xlpm.n))),"precision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"),E286&amp;" is "&amp;_xlpm.art&amp;_xlpm.t&amp;" from "&amp;C286&amp;" designed for application-specific laboratory, engineering or industrial use. It belongs to DIWAN's "&amp;B286&amp;" portfolio; final configuration must be selected against performance, integration and compliance requirements.")</f>
        <v>Gas Permeability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86" s="54" t="str">
        <f t="shared" si="62"/>
        <v>Selection should confirm the model-specific operating range, capacity, accuracy, interfaces, utilities, accessories, standards, environmental limits and service requirements. Final capabilities depend on the approved Gas Permeability configuration.</v>
      </c>
      <c r="Q286" s="54"/>
      <c r="R286" s="54" t="str">
        <f t="shared" si="63"/>
        <v>Porous Media &amp; Geomechanics applications; laboratory research, engineering development, quality control and industrial deployment where applicable. Suitability must be confirmed against the user's sample, process, environment and required standards.</v>
      </c>
      <c r="S286" s="54"/>
      <c r="T286" s="54" t="str">
        <f t="shared" si="64"/>
        <v>Gas Permeability from Top Industrie</v>
      </c>
      <c r="U286" s="54"/>
      <c r="V286" s="54" t="s">
        <v>2673</v>
      </c>
      <c r="W286" s="54" t="str">
        <f t="shared" si="65"/>
        <v>See other Porous Media &amp; Geomechanics products</v>
      </c>
      <c r="X286" s="54" t="str">
        <f t="shared" si="66"/>
        <v>Porous Media &amp; Geomechanics enquiry → website group enquiry form → category owner assignment</v>
      </c>
      <c r="Y286" s="54" t="str">
        <f t="shared" si="67"/>
        <v>Gas Permeability, Porous Media &amp; Geomechanics, Top Industrie, technical equipment, DIWAN</v>
      </c>
      <c r="Z286" s="54" t="s">
        <v>2278</v>
      </c>
      <c r="AA286" s="55">
        <v>46257</v>
      </c>
      <c r="AB286" s="54" t="s">
        <v>2465</v>
      </c>
      <c r="AC286" s="63" t="str">
        <f t="shared" si="68"/>
        <v>Content drafted - assets/specs pending</v>
      </c>
      <c r="AD286"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6" s="58"/>
      <c r="AF286" s="58"/>
      <c r="AG286" s="58" t="s">
        <v>2467</v>
      </c>
      <c r="AH286" s="58" t="s">
        <v>2468</v>
      </c>
      <c r="AI286" s="58" t="s">
        <v>2469</v>
      </c>
    </row>
    <row r="287" spans="1:35" ht="42" customHeight="1" x14ac:dyDescent="0.35">
      <c r="A287" s="69">
        <f t="shared" si="70"/>
        <v>59</v>
      </c>
      <c r="B287" s="70" t="s">
        <v>338</v>
      </c>
      <c r="C287" s="71" t="s">
        <v>14</v>
      </c>
      <c r="D287" s="72" t="s">
        <v>15</v>
      </c>
      <c r="E287" s="45" t="s">
        <v>341</v>
      </c>
      <c r="F287" s="49" t="s">
        <v>3021</v>
      </c>
      <c r="G287" s="45" t="s">
        <v>3045</v>
      </c>
      <c r="H287" s="47">
        <v>46257</v>
      </c>
      <c r="I287" s="48" t="s">
        <v>1790</v>
      </c>
      <c r="J287" s="48" t="s">
        <v>1084</v>
      </c>
      <c r="K287" s="48" t="str">
        <f t="shared" si="60"/>
        <v>Mercury-Free Porosimeter is a porous media &amp; geomechanics product from Top Industrie for application-specific laboratory, engineering or industrial use.</v>
      </c>
      <c r="L287" s="48" t="str">
        <f t="shared" si="61"/>
        <v>Mercury-Free Porosimeter from Top Industrie for porous media &amp; geomechanics applications. Review configuration requirements and request technical information or a quotation from DIWAN.</v>
      </c>
      <c r="M287" s="48" t="s">
        <v>2020</v>
      </c>
      <c r="N287" s="61" t="s">
        <v>2672</v>
      </c>
      <c r="O287" s="54" t="str" cm="1">
        <f t="array" ref="O287">_xlfn.LET(_xlpm.n,LOWER(E287),_xlpm.c,LOWER(B287),_xlpm.t,_xlfn.IFS(OR(ISNUMBER(SEARCH("lens",_xlpm.n)),ISNUMBER(SEARCH("optic",_xlpm.n)),ISNUMBER(SEARCH("polarizer",_xlpm.n))),"precision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"),E287&amp;" is "&amp;_xlpm.art&amp;_xlpm.t&amp;" from "&amp;C287&amp;" designed for application-specific laboratory, engineering or industrial use. It belongs to DIWAN's "&amp;B287&amp;" portfolio; final configuration must be selected against performance, integration and compliance requirements.")</f>
        <v>Mercury-Free Porosimeter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87" s="54" t="str">
        <f t="shared" si="62"/>
        <v>Selection should confirm the model-specific operating range, capacity, accuracy, interfaces, utilities, accessories, standards, environmental limits and service requirements. Final capabilities depend on the approved Mercury-Free Porosimeter configuration.</v>
      </c>
      <c r="Q287" s="54"/>
      <c r="R287" s="54" t="str">
        <f t="shared" si="63"/>
        <v>Porous Media &amp; Geomechanics applications; laboratory research, engineering development, quality control and industrial deployment where applicable. Suitability must be confirmed against the user's sample, process, environment and required standards.</v>
      </c>
      <c r="S287" s="54"/>
      <c r="T287" s="54" t="str">
        <f t="shared" si="64"/>
        <v>Mercury-Free Porosimeter from Top Industrie</v>
      </c>
      <c r="U287" s="54"/>
      <c r="V287" s="54" t="s">
        <v>2673</v>
      </c>
      <c r="W287" s="54" t="str">
        <f t="shared" si="65"/>
        <v>See other Porous Media &amp; Geomechanics products</v>
      </c>
      <c r="X287" s="54" t="str">
        <f t="shared" si="66"/>
        <v>Porous Media &amp; Geomechanics enquiry → website group enquiry form → category owner assignment</v>
      </c>
      <c r="Y287" s="54" t="str">
        <f t="shared" si="67"/>
        <v>Mercury-Free Porosimeter, Porous Media &amp; Geomechanics, Top Industrie, technical equipment, DIWAN</v>
      </c>
      <c r="Z287" s="54" t="s">
        <v>2278</v>
      </c>
      <c r="AA287" s="55">
        <v>46257</v>
      </c>
      <c r="AB287" s="54" t="s">
        <v>2465</v>
      </c>
      <c r="AC287" s="63" t="str">
        <f t="shared" si="68"/>
        <v>Content drafted - assets/specs pending</v>
      </c>
      <c r="AD287" s="54" t="str">
        <f t="shared" si="69"/>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7" s="58"/>
      <c r="AF287" s="58"/>
      <c r="AG287" s="58" t="s">
        <v>2467</v>
      </c>
      <c r="AH287" s="58" t="s">
        <v>2468</v>
      </c>
      <c r="AI287" s="58" t="s">
        <v>2469</v>
      </c>
    </row>
    <row r="288" spans="1:35" ht="42" customHeight="1" x14ac:dyDescent="0.35">
      <c r="A288" s="69">
        <f t="shared" si="70"/>
        <v>59</v>
      </c>
      <c r="B288" s="70" t="s">
        <v>338</v>
      </c>
      <c r="C288" s="71" t="s">
        <v>14</v>
      </c>
      <c r="D288" s="72" t="s">
        <v>15</v>
      </c>
      <c r="E288" s="45" t="s">
        <v>342</v>
      </c>
      <c r="F288" s="49" t="s">
        <v>3021</v>
      </c>
      <c r="G288" s="45" t="s">
        <v>3045</v>
      </c>
      <c r="H288" s="47">
        <v>46257</v>
      </c>
      <c r="I288" s="48" t="s">
        <v>1791</v>
      </c>
      <c r="J288" s="48" t="s">
        <v>1085</v>
      </c>
      <c r="K288" s="48" t="str">
        <f t="shared" ref="K288:K351" si="71">E288&amp;" is "&amp;IF(ISNUMBER(SEARCH(LEFT(LOWER(B288),1),"aeiou")),"an ","a ")&amp;LOWER(B288)&amp;" product from "&amp;C288&amp;" for application-specific laboratory, engineering or industrial use."</f>
        <v>Fluid Characterization PVT is a porous media &amp; geomechanics product from Top Industrie for application-specific laboratory, engineering or industrial use.</v>
      </c>
      <c r="L288" s="48" t="str">
        <f t="shared" ref="L288:L351" si="72">E288&amp;" from "&amp;C288&amp;" for "&amp;LOWER(B288)&amp;" applications. Review configuration requirements and request technical information or a quotation from DIWAN."</f>
        <v>Fluid Characterization PVT from Top Industrie for porous media &amp; geomechanics applications. Review configuration requirements and request technical information or a quotation from DIWAN.</v>
      </c>
      <c r="M288" s="48" t="s">
        <v>2020</v>
      </c>
      <c r="N288" s="61" t="s">
        <v>2672</v>
      </c>
      <c r="O288" s="54" t="str" cm="1">
        <f t="array" ref="O288">_xlfn.LET(_xlpm.n,LOWER(E288),_xlpm.c,LOWER(B288),_xlpm.t,_xlfn.IFS(OR(ISNUMBER(SEARCH("lens",_xlpm.n)),ISNUMBER(SEARCH("optic",_xlpm.n)),ISNUMBER(SEARCH("polarizer",_xlpm.n))),"precision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"),E288&amp;" is "&amp;_xlpm.art&amp;_xlpm.t&amp;" from "&amp;C288&amp;" designed for application-specific laboratory, engineering or industrial use. It belongs to DIWAN's "&amp;B288&amp;" portfolio; final configuration must be selected against performance, integration and compliance requirements.")</f>
        <v>Fluid Characterization PVT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88" s="54" t="str">
        <f t="shared" ref="P288:P351" si="73">"Selection should confirm the model-specific operating range, capacity, accuracy, interfaces, utilities, accessories, standards, environmental limits and service requirements. Final capabilities depend on the approved "&amp;E288&amp;" configuration."</f>
        <v>Selection should confirm the model-specific operating range, capacity, accuracy, interfaces, utilities, accessories, standards, environmental limits and service requirements. Final capabilities depend on the approved Fluid Characterization PVT configuration.</v>
      </c>
      <c r="Q288" s="54"/>
      <c r="R288" s="54" t="str">
        <f t="shared" ref="R288:R351" si="74">B288&amp;" applications; laboratory research, engineering development, quality control and industrial deployment where applicable. Suitability must be confirmed against the user's sample, process, environment and required standards."</f>
        <v>Porous Media &amp; Geomechanics applications; laboratory research, engineering development, quality control and industrial deployment where applicable. Suitability must be confirmed against the user's sample, process, environment and required standards.</v>
      </c>
      <c r="S288" s="54"/>
      <c r="T288" s="54" t="str">
        <f t="shared" ref="T288:T351" si="75">E288&amp;" from "&amp;C288</f>
        <v>Fluid Characterization PVT from Top Industrie</v>
      </c>
      <c r="U288" s="54"/>
      <c r="V288" s="54" t="s">
        <v>2673</v>
      </c>
      <c r="W288" s="54" t="str">
        <f t="shared" ref="W288:W351" si="76">"See other "&amp;B288&amp;" products"</f>
        <v>See other Porous Media &amp; Geomechanics products</v>
      </c>
      <c r="X288" s="54" t="str">
        <f t="shared" ref="X288:X351" si="77">B288&amp;" enquiry → website group enquiry form → category owner assignment"</f>
        <v>Porous Media &amp; Geomechanics enquiry → website group enquiry form → category owner assignment</v>
      </c>
      <c r="Y288" s="54" t="str">
        <f t="shared" ref="Y288:Y351" si="78">E288&amp;", "&amp;B288&amp;", "&amp;C288&amp;", technical equipment, DIWAN"</f>
        <v>Fluid Characterization PVT, Porous Media &amp; Geomechanics, Top Industrie, technical equipment, DIWAN</v>
      </c>
      <c r="Z288" s="54" t="s">
        <v>2278</v>
      </c>
      <c r="AA288" s="55">
        <v>46257</v>
      </c>
      <c r="AB288" s="54" t="s">
        <v>2465</v>
      </c>
      <c r="AC288" s="63" t="str">
        <f t="shared" ref="AC288:AC351" si="79">IF(AND(O288&lt;&gt;"",P288&lt;&gt;"",R288&lt;&gt;"",T288&lt;&gt;"",X288&lt;&gt;"",Y288&lt;&gt;"",Z288&lt;&gt;"",AA288&lt;&gt;"",AB288&lt;&gt;""),IF(AND(Q288&lt;&gt;"",S288&lt;&gt;"",U288&lt;&gt;""),"Ready for approval","Content drafted - assets/specs pending"),IF(COUNTA(O288:AB288)=0,"Not started","In progress"))</f>
        <v>Content drafted - assets/specs pending</v>
      </c>
      <c r="AD288" s="54" t="str">
        <f t="shared" ref="AD288:AD351" si="80">"Baseline definition created from the official catalog name, partner and category classification ("&amp;G288&amp;").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8" s="58"/>
      <c r="AF288" s="58"/>
      <c r="AG288" s="58" t="s">
        <v>2467</v>
      </c>
      <c r="AH288" s="58" t="s">
        <v>2468</v>
      </c>
      <c r="AI288" s="58" t="s">
        <v>2469</v>
      </c>
    </row>
    <row r="289" spans="1:35" ht="42" customHeight="1" x14ac:dyDescent="0.35">
      <c r="A289" s="69">
        <f t="shared" si="70"/>
        <v>59</v>
      </c>
      <c r="B289" s="70" t="s">
        <v>338</v>
      </c>
      <c r="C289" s="71" t="s">
        <v>14</v>
      </c>
      <c r="D289" s="72" t="s">
        <v>15</v>
      </c>
      <c r="E289" s="45" t="s">
        <v>343</v>
      </c>
      <c r="F289" s="49" t="s">
        <v>3021</v>
      </c>
      <c r="G289" s="45" t="s">
        <v>3045</v>
      </c>
      <c r="H289" s="47">
        <v>46257</v>
      </c>
      <c r="I289" s="48" t="s">
        <v>1792</v>
      </c>
      <c r="J289" s="48" t="s">
        <v>1086</v>
      </c>
      <c r="K289" s="48" t="str">
        <f t="shared" si="71"/>
        <v>Microfluidics is a porous media &amp; geomechanics product from Top Industrie for application-specific laboratory, engineering or industrial use.</v>
      </c>
      <c r="L289" s="48" t="str">
        <f t="shared" si="72"/>
        <v>Microfluidics from Top Industrie for porous media &amp; geomechanics applications. Review configuration requirements and request technical information or a quotation from DIWAN.</v>
      </c>
      <c r="M289" s="48" t="s">
        <v>2020</v>
      </c>
      <c r="N289" s="61" t="s">
        <v>2672</v>
      </c>
      <c r="O289" s="54" t="str" cm="1">
        <f t="array" ref="O289">_xlfn.LET(_xlpm.n,LOWER(E289),_xlpm.c,LOWER(B289),_xlpm.t,_xlfn.IFS(OR(ISNUMBER(SEARCH("lens",_xlpm.n)),ISNUMBER(SEARCH("optic",_xlpm.n)),ISNUMBER(SEARCH("polarizer",_xlpm.n))),"precision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"),E289&amp;" is "&amp;_xlpm.art&amp;_xlpm.t&amp;" from "&amp;C289&amp;" designed for application-specific laboratory, engineering or industrial use. It belongs to DIWAN's "&amp;B289&amp;" portfolio; final configuration must be selected against performance, integration and compliance requirements.")</f>
        <v>Microfluidics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89" s="54" t="str">
        <f t="shared" si="73"/>
        <v>Selection should confirm the model-specific operating range, capacity, accuracy, interfaces, utilities, accessories, standards, environmental limits and service requirements. Final capabilities depend on the approved Microfluidics configuration.</v>
      </c>
      <c r="Q289" s="54"/>
      <c r="R289" s="54" t="str">
        <f t="shared" si="74"/>
        <v>Porous Media &amp; Geomechanics applications; laboratory research, engineering development, quality control and industrial deployment where applicable. Suitability must be confirmed against the user's sample, process, environment and required standards.</v>
      </c>
      <c r="S289" s="54"/>
      <c r="T289" s="54" t="str">
        <f t="shared" si="75"/>
        <v>Microfluidics from Top Industrie</v>
      </c>
      <c r="U289" s="54"/>
      <c r="V289" s="54" t="s">
        <v>2673</v>
      </c>
      <c r="W289" s="54" t="str">
        <f t="shared" si="76"/>
        <v>See other Porous Media &amp; Geomechanics products</v>
      </c>
      <c r="X289" s="54" t="str">
        <f t="shared" si="77"/>
        <v>Porous Media &amp; Geomechanics enquiry → website group enquiry form → category owner assignment</v>
      </c>
      <c r="Y289" s="54" t="str">
        <f t="shared" si="78"/>
        <v>Microfluidics, Porous Media &amp; Geomechanics, Top Industrie, technical equipment, DIWAN</v>
      </c>
      <c r="Z289" s="54" t="s">
        <v>2278</v>
      </c>
      <c r="AA289" s="55">
        <v>46257</v>
      </c>
      <c r="AB289" s="54" t="s">
        <v>2465</v>
      </c>
      <c r="AC289" s="63" t="str">
        <f t="shared" si="79"/>
        <v>Content drafted - assets/specs pending</v>
      </c>
      <c r="AD28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89" s="58"/>
      <c r="AF289" s="58"/>
      <c r="AG289" s="58" t="s">
        <v>2467</v>
      </c>
      <c r="AH289" s="58" t="s">
        <v>2468</v>
      </c>
      <c r="AI289" s="58" t="s">
        <v>2469</v>
      </c>
    </row>
    <row r="290" spans="1:35" ht="42" customHeight="1" x14ac:dyDescent="0.35">
      <c r="A290" s="69">
        <f t="shared" si="70"/>
        <v>59</v>
      </c>
      <c r="B290" s="70" t="s">
        <v>338</v>
      </c>
      <c r="C290" s="71" t="s">
        <v>14</v>
      </c>
      <c r="D290" s="72" t="s">
        <v>15</v>
      </c>
      <c r="E290" s="45" t="s">
        <v>344</v>
      </c>
      <c r="F290" s="49" t="s">
        <v>3021</v>
      </c>
      <c r="G290" s="45" t="s">
        <v>3045</v>
      </c>
      <c r="H290" s="47">
        <v>46257</v>
      </c>
      <c r="I290" s="48" t="s">
        <v>1793</v>
      </c>
      <c r="J290" s="48" t="s">
        <v>1087</v>
      </c>
      <c r="K290" s="48" t="str">
        <f t="shared" si="71"/>
        <v>Rock Acoustics is a porous media &amp; geomechanics product from Top Industrie for application-specific laboratory, engineering or industrial use.</v>
      </c>
      <c r="L290" s="48" t="str">
        <f t="shared" si="72"/>
        <v>Rock Acoustics from Top Industrie for porous media &amp; geomechanics applications. Review configuration requirements and request technical information or a quotation from DIWAN.</v>
      </c>
      <c r="M290" s="48" t="s">
        <v>2020</v>
      </c>
      <c r="N290" s="61" t="s">
        <v>2672</v>
      </c>
      <c r="O290" s="54" t="str" cm="1">
        <f t="array" ref="O290">_xlfn.LET(_xlpm.n,LOWER(E290),_xlpm.c,LOWER(B290),_xlpm.t,_xlfn.IFS(OR(ISNUMBER(SEARCH("lens",_xlpm.n)),ISNUMBER(SEARCH("optic",_xlpm.n)),ISNUMBER(SEARCH("polarizer",_xlpm.n))),"precision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"),E290&amp;" is "&amp;_xlpm.art&amp;_xlpm.t&amp;" from "&amp;C290&amp;" designed for application-specific laboratory, engineering or industrial use. It belongs to DIWAN's "&amp;B290&amp;" portfolio; final configuration must be selected against performance, integration and compliance requirements.")</f>
        <v>Rock Acoustics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0" s="54" t="str">
        <f t="shared" si="73"/>
        <v>Selection should confirm the model-specific operating range, capacity, accuracy, interfaces, utilities, accessories, standards, environmental limits and service requirements. Final capabilities depend on the approved Rock Acoustics configuration.</v>
      </c>
      <c r="Q290" s="54"/>
      <c r="R290" s="54" t="str">
        <f t="shared" si="74"/>
        <v>Porous Media &amp; Geomechanics applications; laboratory research, engineering development, quality control and industrial deployment where applicable. Suitability must be confirmed against the user's sample, process, environment and required standards.</v>
      </c>
      <c r="S290" s="54"/>
      <c r="T290" s="54" t="str">
        <f t="shared" si="75"/>
        <v>Rock Acoustics from Top Industrie</v>
      </c>
      <c r="U290" s="54"/>
      <c r="V290" s="54" t="s">
        <v>2673</v>
      </c>
      <c r="W290" s="54" t="str">
        <f t="shared" si="76"/>
        <v>See other Porous Media &amp; Geomechanics products</v>
      </c>
      <c r="X290" s="54" t="str">
        <f t="shared" si="77"/>
        <v>Porous Media &amp; Geomechanics enquiry → website group enquiry form → category owner assignment</v>
      </c>
      <c r="Y290" s="54" t="str">
        <f t="shared" si="78"/>
        <v>Rock Acoustics, Porous Media &amp; Geomechanics, Top Industrie, technical equipment, DIWAN</v>
      </c>
      <c r="Z290" s="54" t="s">
        <v>2278</v>
      </c>
      <c r="AA290" s="55">
        <v>46257</v>
      </c>
      <c r="AB290" s="54" t="s">
        <v>2465</v>
      </c>
      <c r="AC290" s="63" t="str">
        <f t="shared" si="79"/>
        <v>Content drafted - assets/specs pending</v>
      </c>
      <c r="AD29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0" s="58"/>
      <c r="AF290" s="58"/>
      <c r="AG290" s="58" t="s">
        <v>2467</v>
      </c>
      <c r="AH290" s="58" t="s">
        <v>2468</v>
      </c>
      <c r="AI290" s="58" t="s">
        <v>2469</v>
      </c>
    </row>
    <row r="291" spans="1:35" ht="42" customHeight="1" x14ac:dyDescent="0.35">
      <c r="A291" s="69">
        <f t="shared" si="70"/>
        <v>59</v>
      </c>
      <c r="B291" s="70" t="s">
        <v>338</v>
      </c>
      <c r="C291" s="71" t="s">
        <v>14</v>
      </c>
      <c r="D291" s="72" t="s">
        <v>15</v>
      </c>
      <c r="E291" s="45" t="s">
        <v>345</v>
      </c>
      <c r="F291" s="49" t="s">
        <v>3021</v>
      </c>
      <c r="G291" s="45" t="s">
        <v>3045</v>
      </c>
      <c r="H291" s="47">
        <v>46257</v>
      </c>
      <c r="I291" s="48" t="s">
        <v>1794</v>
      </c>
      <c r="J291" s="48" t="s">
        <v>1088</v>
      </c>
      <c r="K291" s="48" t="str">
        <f t="shared" si="71"/>
        <v>Gas Hydrate is a porous media &amp; geomechanics product from Top Industrie for application-specific laboratory, engineering or industrial use.</v>
      </c>
      <c r="L291" s="48" t="str">
        <f t="shared" si="72"/>
        <v>Gas Hydrate from Top Industrie for porous media &amp; geomechanics applications. Review configuration requirements and request technical information or a quotation from DIWAN.</v>
      </c>
      <c r="M291" s="48" t="s">
        <v>2020</v>
      </c>
      <c r="N291" s="61" t="s">
        <v>2672</v>
      </c>
      <c r="O291" s="54" t="str" cm="1">
        <f t="array" ref="O291">_xlfn.LET(_xlpm.n,LOWER(E291),_xlpm.c,LOWER(B291),_xlpm.t,_xlfn.IFS(OR(ISNUMBER(SEARCH("lens",_xlpm.n)),ISNUMBER(SEARCH("optic",_xlpm.n)),ISNUMBER(SEARCH("polarizer",_xlpm.n))),"precision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"),E291&amp;" is "&amp;_xlpm.art&amp;_xlpm.t&amp;" from "&amp;C291&amp;" designed for application-specific laboratory, engineering or industrial use. It belongs to DIWAN's "&amp;B291&amp;" portfolio; final configuration must be selected against performance, integration and compliance requirements.")</f>
        <v>Gas Hydrate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1" s="54" t="str">
        <f t="shared" si="73"/>
        <v>Selection should confirm the model-specific operating range, capacity, accuracy, interfaces, utilities, accessories, standards, environmental limits and service requirements. Final capabilities depend on the approved Gas Hydrate configuration.</v>
      </c>
      <c r="Q291" s="54"/>
      <c r="R291" s="54" t="str">
        <f t="shared" si="74"/>
        <v>Porous Media &amp; Geomechanics applications; laboratory research, engineering development, quality control and industrial deployment where applicable. Suitability must be confirmed against the user's sample, process, environment and required standards.</v>
      </c>
      <c r="S291" s="54"/>
      <c r="T291" s="54" t="str">
        <f t="shared" si="75"/>
        <v>Gas Hydrate from Top Industrie</v>
      </c>
      <c r="U291" s="54"/>
      <c r="V291" s="54" t="s">
        <v>2673</v>
      </c>
      <c r="W291" s="54" t="str">
        <f t="shared" si="76"/>
        <v>See other Porous Media &amp; Geomechanics products</v>
      </c>
      <c r="X291" s="54" t="str">
        <f t="shared" si="77"/>
        <v>Porous Media &amp; Geomechanics enquiry → website group enquiry form → category owner assignment</v>
      </c>
      <c r="Y291" s="54" t="str">
        <f t="shared" si="78"/>
        <v>Gas Hydrate, Porous Media &amp; Geomechanics, Top Industrie, technical equipment, DIWAN</v>
      </c>
      <c r="Z291" s="54" t="s">
        <v>2278</v>
      </c>
      <c r="AA291" s="55">
        <v>46257</v>
      </c>
      <c r="AB291" s="54" t="s">
        <v>2465</v>
      </c>
      <c r="AC291" s="63" t="str">
        <f t="shared" si="79"/>
        <v>Content drafted - assets/specs pending</v>
      </c>
      <c r="AD29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1" s="58"/>
      <c r="AF291" s="58"/>
      <c r="AG291" s="58" t="s">
        <v>2467</v>
      </c>
      <c r="AH291" s="58" t="s">
        <v>2468</v>
      </c>
      <c r="AI291" s="58" t="s">
        <v>2469</v>
      </c>
    </row>
    <row r="292" spans="1:35" ht="42" customHeight="1" x14ac:dyDescent="0.35">
      <c r="A292" s="69">
        <f t="shared" si="70"/>
        <v>59</v>
      </c>
      <c r="B292" s="70" t="s">
        <v>338</v>
      </c>
      <c r="C292" s="71" t="s">
        <v>14</v>
      </c>
      <c r="D292" s="72" t="s">
        <v>15</v>
      </c>
      <c r="E292" s="45" t="s">
        <v>346</v>
      </c>
      <c r="F292" s="49" t="s">
        <v>3021</v>
      </c>
      <c r="G292" s="45" t="s">
        <v>3045</v>
      </c>
      <c r="H292" s="47">
        <v>46257</v>
      </c>
      <c r="I292" s="48" t="s">
        <v>1795</v>
      </c>
      <c r="J292" s="48" t="s">
        <v>1089</v>
      </c>
      <c r="K292" s="48" t="str">
        <f t="shared" si="71"/>
        <v>Mechanical Characterization Under High Confinement is a porous media &amp; geomechanics product from Top Industrie for application-specific laboratory, engineering or industrial use.</v>
      </c>
      <c r="L292" s="48" t="str">
        <f t="shared" si="72"/>
        <v>Mechanical Characterization Under High Confinement from Top Industrie for porous media &amp; geomechanics applications. Review configuration requirements and request technical information or a quotation from DIWAN.</v>
      </c>
      <c r="M292" s="48" t="s">
        <v>2020</v>
      </c>
      <c r="N292" s="61" t="s">
        <v>2672</v>
      </c>
      <c r="O292" s="54" t="str" cm="1">
        <f t="array" ref="O292">_xlfn.LET(_xlpm.n,LOWER(E292),_xlpm.c,LOWER(B292),_xlpm.t,_xlfn.IFS(OR(ISNUMBER(SEARCH("lens",_xlpm.n)),ISNUMBER(SEARCH("optic",_xlpm.n)),ISNUMBER(SEARCH("polarizer",_xlpm.n))),"precision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"),E292&amp;" is "&amp;_xlpm.art&amp;_xlpm.t&amp;" from "&amp;C292&amp;" designed for application-specific laboratory, engineering or industrial use. It belongs to DIWAN's "&amp;B292&amp;" portfolio; final configuration must be selected against performance, integration and compliance requirements.")</f>
        <v>Mechanical Characterization Under High Confinement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2" s="54" t="str">
        <f t="shared" si="73"/>
        <v>Selection should confirm the model-specific operating range, capacity, accuracy, interfaces, utilities, accessories, standards, environmental limits and service requirements. Final capabilities depend on the approved Mechanical Characterization Under High Confinement configuration.</v>
      </c>
      <c r="Q292" s="54"/>
      <c r="R292" s="54" t="str">
        <f t="shared" si="74"/>
        <v>Porous Media &amp; Geomechanics applications; laboratory research, engineering development, quality control and industrial deployment where applicable. Suitability must be confirmed against the user's sample, process, environment and required standards.</v>
      </c>
      <c r="S292" s="54"/>
      <c r="T292" s="54" t="str">
        <f t="shared" si="75"/>
        <v>Mechanical Characterization Under High Confinement from Top Industrie</v>
      </c>
      <c r="U292" s="54"/>
      <c r="V292" s="54" t="s">
        <v>2673</v>
      </c>
      <c r="W292" s="54" t="str">
        <f t="shared" si="76"/>
        <v>See other Porous Media &amp; Geomechanics products</v>
      </c>
      <c r="X292" s="54" t="str">
        <f t="shared" si="77"/>
        <v>Porous Media &amp; Geomechanics enquiry → website group enquiry form → category owner assignment</v>
      </c>
      <c r="Y292" s="54" t="str">
        <f t="shared" si="78"/>
        <v>Mechanical Characterization Under High Confinement, Porous Media &amp; Geomechanics, Top Industrie, technical equipment, DIWAN</v>
      </c>
      <c r="Z292" s="54" t="s">
        <v>2278</v>
      </c>
      <c r="AA292" s="55">
        <v>46257</v>
      </c>
      <c r="AB292" s="54" t="s">
        <v>2465</v>
      </c>
      <c r="AC292" s="63" t="str">
        <f t="shared" si="79"/>
        <v>Content drafted - assets/specs pending</v>
      </c>
      <c r="AD292"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2" s="58"/>
      <c r="AF292" s="58"/>
      <c r="AG292" s="58" t="s">
        <v>2467</v>
      </c>
      <c r="AH292" s="58" t="s">
        <v>2468</v>
      </c>
      <c r="AI292" s="58" t="s">
        <v>2469</v>
      </c>
    </row>
    <row r="293" spans="1:35" ht="42" customHeight="1" x14ac:dyDescent="0.35">
      <c r="A293" s="69">
        <f t="shared" si="70"/>
        <v>59</v>
      </c>
      <c r="B293" s="70" t="s">
        <v>338</v>
      </c>
      <c r="C293" s="71" t="s">
        <v>14</v>
      </c>
      <c r="D293" s="72" t="s">
        <v>15</v>
      </c>
      <c r="E293" s="45" t="s">
        <v>347</v>
      </c>
      <c r="F293" s="49" t="s">
        <v>3021</v>
      </c>
      <c r="G293" s="45" t="s">
        <v>3045</v>
      </c>
      <c r="H293" s="47">
        <v>46257</v>
      </c>
      <c r="I293" s="48" t="s">
        <v>1796</v>
      </c>
      <c r="J293" s="48" t="s">
        <v>1090</v>
      </c>
      <c r="K293" s="48" t="str">
        <f t="shared" si="71"/>
        <v>Thermal Treatment Under Pressure is a porous media &amp; geomechanics product from Top Industrie for application-specific laboratory, engineering or industrial use.</v>
      </c>
      <c r="L293" s="48" t="str">
        <f t="shared" si="72"/>
        <v>Thermal Treatment Under Pressure from Top Industrie for porous media &amp; geomechanics applications. Review configuration requirements and request technical information or a quotation from DIWAN.</v>
      </c>
      <c r="M293" s="48" t="s">
        <v>2020</v>
      </c>
      <c r="N293" s="61" t="s">
        <v>2672</v>
      </c>
      <c r="O293" s="54" t="str" cm="1">
        <f t="array" ref="O293">_xlfn.LET(_xlpm.n,LOWER(E293),_xlpm.c,LOWER(B293),_xlpm.t,_xlfn.IFS(OR(ISNUMBER(SEARCH("lens",_xlpm.n)),ISNUMBER(SEARCH("optic",_xlpm.n)),ISNUMBER(SEARCH("polarizer",_xlpm.n))),"precision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"),E293&amp;" is "&amp;_xlpm.art&amp;_xlpm.t&amp;" from "&amp;C293&amp;" designed for application-specific laboratory, engineering or industrial use. It belongs to DIWAN's "&amp;B293&amp;" portfolio; final configuration must be selected against performance, integration and compliance requirements.")</f>
        <v>Thermal Treatment Under Pressure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3" s="54" t="str">
        <f t="shared" si="73"/>
        <v>Selection should confirm the model-specific operating range, capacity, accuracy, interfaces, utilities, accessories, standards, environmental limits and service requirements. Final capabilities depend on the approved Thermal Treatment Under Pressure configuration.</v>
      </c>
      <c r="Q293" s="54"/>
      <c r="R293" s="54" t="str">
        <f t="shared" si="74"/>
        <v>Porous Media &amp; Geomechanics applications; laboratory research, engineering development, quality control and industrial deployment where applicable. Suitability must be confirmed against the user's sample, process, environment and required standards.</v>
      </c>
      <c r="S293" s="54"/>
      <c r="T293" s="54" t="str">
        <f t="shared" si="75"/>
        <v>Thermal Treatment Under Pressure from Top Industrie</v>
      </c>
      <c r="U293" s="54"/>
      <c r="V293" s="54" t="s">
        <v>2673</v>
      </c>
      <c r="W293" s="54" t="str">
        <f t="shared" si="76"/>
        <v>See other Porous Media &amp; Geomechanics products</v>
      </c>
      <c r="X293" s="54" t="str">
        <f t="shared" si="77"/>
        <v>Porous Media &amp; Geomechanics enquiry → website group enquiry form → category owner assignment</v>
      </c>
      <c r="Y293" s="54" t="str">
        <f t="shared" si="78"/>
        <v>Thermal Treatment Under Pressure, Porous Media &amp; Geomechanics, Top Industrie, technical equipment, DIWAN</v>
      </c>
      <c r="Z293" s="54" t="s">
        <v>2278</v>
      </c>
      <c r="AA293" s="55">
        <v>46257</v>
      </c>
      <c r="AB293" s="54" t="s">
        <v>2465</v>
      </c>
      <c r="AC293" s="63" t="str">
        <f t="shared" si="79"/>
        <v>Content drafted - assets/specs pending</v>
      </c>
      <c r="AD293"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3" s="58"/>
      <c r="AF293" s="58"/>
      <c r="AG293" s="58" t="s">
        <v>2467</v>
      </c>
      <c r="AH293" s="58" t="s">
        <v>2468</v>
      </c>
      <c r="AI293" s="58" t="s">
        <v>2469</v>
      </c>
    </row>
    <row r="294" spans="1:35" ht="42" customHeight="1" x14ac:dyDescent="0.35">
      <c r="A294" s="69">
        <f t="shared" si="70"/>
        <v>59</v>
      </c>
      <c r="B294" s="70" t="s">
        <v>338</v>
      </c>
      <c r="C294" s="71" t="s">
        <v>14</v>
      </c>
      <c r="D294" s="72" t="s">
        <v>15</v>
      </c>
      <c r="E294" s="45" t="s">
        <v>348</v>
      </c>
      <c r="F294" s="49" t="s">
        <v>3021</v>
      </c>
      <c r="G294" s="45" t="s">
        <v>3045</v>
      </c>
      <c r="H294" s="47">
        <v>46257</v>
      </c>
      <c r="I294" s="48" t="s">
        <v>1797</v>
      </c>
      <c r="J294" s="48" t="s">
        <v>1091</v>
      </c>
      <c r="K294" s="48" t="str">
        <f t="shared" si="71"/>
        <v>CO2 Geological Storage is a porous media &amp; geomechanics product from Top Industrie for application-specific laboratory, engineering or industrial use.</v>
      </c>
      <c r="L294" s="48" t="str">
        <f t="shared" si="72"/>
        <v>CO2 Geological Storage from Top Industrie for porous media &amp; geomechanics applications. Review configuration requirements and request technical information or a quotation from DIWAN.</v>
      </c>
      <c r="M294" s="48" t="s">
        <v>2020</v>
      </c>
      <c r="N294" s="61" t="s">
        <v>2672</v>
      </c>
      <c r="O294" s="54" t="str" cm="1">
        <f t="array" ref="O294">_xlfn.LET(_xlpm.n,LOWER(E294),_xlpm.c,LOWER(B294),_xlpm.t,_xlfn.IFS(OR(ISNUMBER(SEARCH("lens",_xlpm.n)),ISNUMBER(SEARCH("optic",_xlpm.n)),ISNUMBER(SEARCH("polarizer",_xlpm.n))),"precision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"),E294&amp;" is "&amp;_xlpm.art&amp;_xlpm.t&amp;" from "&amp;C294&amp;" designed for application-specific laboratory, engineering or industrial use. It belongs to DIWAN's "&amp;B294&amp;" portfolio; final configuration must be selected against performance, integration and compliance requirements.")</f>
        <v>CO2 Geological Storage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4" s="54" t="str">
        <f t="shared" si="73"/>
        <v>Selection should confirm the model-specific operating range, capacity, accuracy, interfaces, utilities, accessories, standards, environmental limits and service requirements. Final capabilities depend on the approved CO2 Geological Storage configuration.</v>
      </c>
      <c r="Q294" s="54"/>
      <c r="R294" s="54" t="str">
        <f t="shared" si="74"/>
        <v>Porous Media &amp; Geomechanics applications; laboratory research, engineering development, quality control and industrial deployment where applicable. Suitability must be confirmed against the user's sample, process, environment and required standards.</v>
      </c>
      <c r="S294" s="54"/>
      <c r="T294" s="54" t="str">
        <f t="shared" si="75"/>
        <v>CO2 Geological Storage from Top Industrie</v>
      </c>
      <c r="U294" s="54"/>
      <c r="V294" s="54" t="s">
        <v>2673</v>
      </c>
      <c r="W294" s="54" t="str">
        <f t="shared" si="76"/>
        <v>See other Porous Media &amp; Geomechanics products</v>
      </c>
      <c r="X294" s="54" t="str">
        <f t="shared" si="77"/>
        <v>Porous Media &amp; Geomechanics enquiry → website group enquiry form → category owner assignment</v>
      </c>
      <c r="Y294" s="54" t="str">
        <f t="shared" si="78"/>
        <v>CO2 Geological Storage, Porous Media &amp; Geomechanics, Top Industrie, technical equipment, DIWAN</v>
      </c>
      <c r="Z294" s="54" t="s">
        <v>2278</v>
      </c>
      <c r="AA294" s="55">
        <v>46257</v>
      </c>
      <c r="AB294" s="54" t="s">
        <v>2465</v>
      </c>
      <c r="AC294" s="63" t="str">
        <f t="shared" si="79"/>
        <v>Content drafted - assets/specs pending</v>
      </c>
      <c r="AD29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4" s="58"/>
      <c r="AF294" s="58"/>
      <c r="AG294" s="58" t="s">
        <v>2467</v>
      </c>
      <c r="AH294" s="58" t="s">
        <v>2468</v>
      </c>
      <c r="AI294" s="58" t="s">
        <v>2469</v>
      </c>
    </row>
    <row r="295" spans="1:35" ht="42" customHeight="1" x14ac:dyDescent="0.35">
      <c r="A295" s="69">
        <f t="shared" si="70"/>
        <v>59</v>
      </c>
      <c r="B295" s="70" t="s">
        <v>338</v>
      </c>
      <c r="C295" s="71" t="s">
        <v>14</v>
      </c>
      <c r="D295" s="72" t="s">
        <v>15</v>
      </c>
      <c r="E295" s="45" t="s">
        <v>349</v>
      </c>
      <c r="F295" s="49" t="s">
        <v>3021</v>
      </c>
      <c r="G295" s="45" t="s">
        <v>3045</v>
      </c>
      <c r="H295" s="47">
        <v>46257</v>
      </c>
      <c r="I295" s="48" t="s">
        <v>1798</v>
      </c>
      <c r="J295" s="48" t="s">
        <v>1092</v>
      </c>
      <c r="K295" s="48" t="str">
        <f t="shared" si="71"/>
        <v>Salt Core Method is a porous media &amp; geomechanics product from Top Industrie for application-specific laboratory, engineering or industrial use.</v>
      </c>
      <c r="L295" s="48" t="str">
        <f t="shared" si="72"/>
        <v>Salt Core Method from Top Industrie for porous media &amp; geomechanics applications. Review configuration requirements and request technical information or a quotation from DIWAN.</v>
      </c>
      <c r="M295" s="48" t="s">
        <v>2020</v>
      </c>
      <c r="N295" s="61" t="s">
        <v>2672</v>
      </c>
      <c r="O295" s="54" t="str" cm="1">
        <f t="array" ref="O295">_xlfn.LET(_xlpm.n,LOWER(E295),_xlpm.c,LOWER(B295),_xlpm.t,_xlfn.IFS(OR(ISNUMBER(SEARCH("lens",_xlpm.n)),ISNUMBER(SEARCH("optic",_xlpm.n)),ISNUMBER(SEARCH("polarizer",_xlpm.n))),"precision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"),E295&amp;" is "&amp;_xlpm.art&amp;_xlpm.t&amp;" from "&amp;C295&amp;" designed for application-specific laboratory, engineering or industrial use. It belongs to DIWAN's "&amp;B295&amp;" portfolio; final configuration must be selected against performance, integration and compliance requirements.")</f>
        <v>Salt Core Method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5" s="54" t="str">
        <f t="shared" si="73"/>
        <v>Selection should confirm the model-specific operating range, capacity, accuracy, interfaces, utilities, accessories, standards, environmental limits and service requirements. Final capabilities depend on the approved Salt Core Method configuration.</v>
      </c>
      <c r="Q295" s="54"/>
      <c r="R295" s="54" t="str">
        <f t="shared" si="74"/>
        <v>Porous Media &amp; Geomechanics applications; laboratory research, engineering development, quality control and industrial deployment where applicable. Suitability must be confirmed against the user's sample, process, environment and required standards.</v>
      </c>
      <c r="S295" s="54"/>
      <c r="T295" s="54" t="str">
        <f t="shared" si="75"/>
        <v>Salt Core Method from Top Industrie</v>
      </c>
      <c r="U295" s="54"/>
      <c r="V295" s="54" t="s">
        <v>2673</v>
      </c>
      <c r="W295" s="54" t="str">
        <f t="shared" si="76"/>
        <v>See other Porous Media &amp; Geomechanics products</v>
      </c>
      <c r="X295" s="54" t="str">
        <f t="shared" si="77"/>
        <v>Porous Media &amp; Geomechanics enquiry → website group enquiry form → category owner assignment</v>
      </c>
      <c r="Y295" s="54" t="str">
        <f t="shared" si="78"/>
        <v>Salt Core Method, Porous Media &amp; Geomechanics, Top Industrie, technical equipment, DIWAN</v>
      </c>
      <c r="Z295" s="54" t="s">
        <v>2278</v>
      </c>
      <c r="AA295" s="55">
        <v>46257</v>
      </c>
      <c r="AB295" s="54" t="s">
        <v>2465</v>
      </c>
      <c r="AC295" s="63" t="str">
        <f t="shared" si="79"/>
        <v>Content drafted - assets/specs pending</v>
      </c>
      <c r="AD29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5" s="58"/>
      <c r="AF295" s="58"/>
      <c r="AG295" s="58" t="s">
        <v>2467</v>
      </c>
      <c r="AH295" s="58" t="s">
        <v>2468</v>
      </c>
      <c r="AI295" s="58" t="s">
        <v>2469</v>
      </c>
    </row>
    <row r="296" spans="1:35" ht="42" customHeight="1" x14ac:dyDescent="0.35">
      <c r="A296" s="69">
        <f t="shared" si="70"/>
        <v>59</v>
      </c>
      <c r="B296" s="70" t="s">
        <v>338</v>
      </c>
      <c r="C296" s="71" t="s">
        <v>14</v>
      </c>
      <c r="D296" s="72" t="s">
        <v>15</v>
      </c>
      <c r="E296" s="45" t="s">
        <v>350</v>
      </c>
      <c r="F296" s="49" t="s">
        <v>3021</v>
      </c>
      <c r="G296" s="45" t="s">
        <v>3045</v>
      </c>
      <c r="H296" s="47">
        <v>46257</v>
      </c>
      <c r="I296" s="48" t="s">
        <v>1799</v>
      </c>
      <c r="J296" s="48" t="s">
        <v>1093</v>
      </c>
      <c r="K296" s="48" t="str">
        <f t="shared" si="71"/>
        <v>Desorption and Diffusion is a porous media &amp; geomechanics product from Top Industrie for application-specific laboratory, engineering or industrial use.</v>
      </c>
      <c r="L296" s="48" t="str">
        <f t="shared" si="72"/>
        <v>Desorption and Diffusion from Top Industrie for porous media &amp; geomechanics applications. Review configuration requirements and request technical information or a quotation from DIWAN.</v>
      </c>
      <c r="M296" s="48" t="s">
        <v>2020</v>
      </c>
      <c r="N296" s="61" t="s">
        <v>2672</v>
      </c>
      <c r="O296" s="54" t="str" cm="1">
        <f t="array" ref="O296">_xlfn.LET(_xlpm.n,LOWER(E296),_xlpm.c,LOWER(B296),_xlpm.t,_xlfn.IFS(OR(ISNUMBER(SEARCH("lens",_xlpm.n)),ISNUMBER(SEARCH("optic",_xlpm.n)),ISNUMBER(SEARCH("polarizer",_xlpm.n))),"precision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"),E296&amp;" is "&amp;_xlpm.art&amp;_xlpm.t&amp;" from "&amp;C296&amp;" designed for application-specific laboratory, engineering or industrial use. It belongs to DIWAN's "&amp;B296&amp;" portfolio; final configuration must be selected against performance, integration and compliance requirements.")</f>
        <v>Desorption and Diffusion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6" s="54" t="str">
        <f t="shared" si="73"/>
        <v>Selection should confirm the model-specific operating range, capacity, accuracy, interfaces, utilities, accessories, standards, environmental limits and service requirements. Final capabilities depend on the approved Desorption and Diffusion configuration.</v>
      </c>
      <c r="Q296" s="54"/>
      <c r="R296" s="54" t="str">
        <f t="shared" si="74"/>
        <v>Porous Media &amp; Geomechanics applications; laboratory research, engineering development, quality control and industrial deployment where applicable. Suitability must be confirmed against the user's sample, process, environment and required standards.</v>
      </c>
      <c r="S296" s="54"/>
      <c r="T296" s="54" t="str">
        <f t="shared" si="75"/>
        <v>Desorption and Diffusion from Top Industrie</v>
      </c>
      <c r="U296" s="54"/>
      <c r="V296" s="54" t="s">
        <v>2673</v>
      </c>
      <c r="W296" s="54" t="str">
        <f t="shared" si="76"/>
        <v>See other Porous Media &amp; Geomechanics products</v>
      </c>
      <c r="X296" s="54" t="str">
        <f t="shared" si="77"/>
        <v>Porous Media &amp; Geomechanics enquiry → website group enquiry form → category owner assignment</v>
      </c>
      <c r="Y296" s="54" t="str">
        <f t="shared" si="78"/>
        <v>Desorption and Diffusion, Porous Media &amp; Geomechanics, Top Industrie, technical equipment, DIWAN</v>
      </c>
      <c r="Z296" s="54" t="s">
        <v>2278</v>
      </c>
      <c r="AA296" s="55">
        <v>46257</v>
      </c>
      <c r="AB296" s="54" t="s">
        <v>2465</v>
      </c>
      <c r="AC296" s="63" t="str">
        <f t="shared" si="79"/>
        <v>Content drafted - assets/specs pending</v>
      </c>
      <c r="AD29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6" s="58"/>
      <c r="AF296" s="58"/>
      <c r="AG296" s="58" t="s">
        <v>2467</v>
      </c>
      <c r="AH296" s="58" t="s">
        <v>2468</v>
      </c>
      <c r="AI296" s="58" t="s">
        <v>2469</v>
      </c>
    </row>
    <row r="297" spans="1:35" ht="42" customHeight="1" x14ac:dyDescent="0.35">
      <c r="A297" s="69">
        <f t="shared" si="70"/>
        <v>59</v>
      </c>
      <c r="B297" s="70" t="s">
        <v>338</v>
      </c>
      <c r="C297" s="71" t="s">
        <v>14</v>
      </c>
      <c r="D297" s="72" t="s">
        <v>15</v>
      </c>
      <c r="E297" s="45" t="s">
        <v>329</v>
      </c>
      <c r="F297" s="49" t="s">
        <v>3021</v>
      </c>
      <c r="G297" s="45" t="s">
        <v>3045</v>
      </c>
      <c r="H297" s="47">
        <v>46257</v>
      </c>
      <c r="I297" s="48" t="s">
        <v>1781</v>
      </c>
      <c r="J297" s="48" t="s">
        <v>1094</v>
      </c>
      <c r="K297" s="48" t="str">
        <f t="shared" si="71"/>
        <v>Hydrothermal Synthesis is a porous media &amp; geomechanics product from Top Industrie for application-specific laboratory, engineering or industrial use.</v>
      </c>
      <c r="L297" s="48" t="str">
        <f t="shared" si="72"/>
        <v>Hydrothermal Synthesis from Top Industrie for porous media &amp; geomechanics applications. Review configuration requirements and request technical information or a quotation from DIWAN.</v>
      </c>
      <c r="M297" s="48" t="s">
        <v>2020</v>
      </c>
      <c r="N297" s="61" t="s">
        <v>2672</v>
      </c>
      <c r="O297" s="54" t="str" cm="1">
        <f t="array" ref="O297">_xlfn.LET(_xlpm.n,LOWER(E297),_xlpm.c,LOWER(B297),_xlpm.t,_xlfn.IFS(OR(ISNUMBER(SEARCH("lens",_xlpm.n)),ISNUMBER(SEARCH("optic",_xlpm.n)),ISNUMBER(SEARCH("polarizer",_xlpm.n))),"precision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"),E297&amp;" is "&amp;_xlpm.art&amp;_xlpm.t&amp;" from "&amp;C297&amp;" designed for application-specific laboratory, engineering or industrial use. It belongs to DIWAN's "&amp;B297&amp;" portfolio; final configuration must be selected against performance, integration and compliance requirements.")</f>
        <v>Hydrothermal Synthesis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7" s="54" t="str">
        <f t="shared" si="73"/>
        <v>Selection should confirm the model-specific operating range, capacity, accuracy, interfaces, utilities, accessories, standards, environmental limits and service requirements. Final capabilities depend on the approved Hydrothermal Synthesis configuration.</v>
      </c>
      <c r="Q297" s="54"/>
      <c r="R297" s="54" t="str">
        <f t="shared" si="74"/>
        <v>Porous Media &amp; Geomechanics applications; laboratory research, engineering development, quality control and industrial deployment where applicable. Suitability must be confirmed against the user's sample, process, environment and required standards.</v>
      </c>
      <c r="S297" s="54"/>
      <c r="T297" s="54" t="str">
        <f t="shared" si="75"/>
        <v>Hydrothermal Synthesis from Top Industrie</v>
      </c>
      <c r="U297" s="54"/>
      <c r="V297" s="54" t="s">
        <v>2673</v>
      </c>
      <c r="W297" s="54" t="str">
        <f t="shared" si="76"/>
        <v>See other Porous Media &amp; Geomechanics products</v>
      </c>
      <c r="X297" s="54" t="str">
        <f t="shared" si="77"/>
        <v>Porous Media &amp; Geomechanics enquiry → website group enquiry form → category owner assignment</v>
      </c>
      <c r="Y297" s="54" t="str">
        <f t="shared" si="78"/>
        <v>Hydrothermal Synthesis, Porous Media &amp; Geomechanics, Top Industrie, technical equipment, DIWAN</v>
      </c>
      <c r="Z297" s="54" t="s">
        <v>2278</v>
      </c>
      <c r="AA297" s="55">
        <v>46257</v>
      </c>
      <c r="AB297" s="54" t="s">
        <v>2465</v>
      </c>
      <c r="AC297" s="63" t="str">
        <f t="shared" si="79"/>
        <v>Content drafted - assets/specs pending</v>
      </c>
      <c r="AD29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7" s="58"/>
      <c r="AF297" s="58"/>
      <c r="AG297" s="58" t="s">
        <v>2467</v>
      </c>
      <c r="AH297" s="58" t="s">
        <v>2468</v>
      </c>
      <c r="AI297" s="58" t="s">
        <v>2469</v>
      </c>
    </row>
    <row r="298" spans="1:35" ht="42" customHeight="1" x14ac:dyDescent="0.35">
      <c r="A298" s="69">
        <f t="shared" si="70"/>
        <v>59</v>
      </c>
      <c r="B298" s="70" t="s">
        <v>338</v>
      </c>
      <c r="C298" s="71" t="s">
        <v>14</v>
      </c>
      <c r="D298" s="72" t="s">
        <v>15</v>
      </c>
      <c r="E298" s="45" t="s">
        <v>351</v>
      </c>
      <c r="F298" s="49" t="s">
        <v>3021</v>
      </c>
      <c r="G298" s="45" t="s">
        <v>3045</v>
      </c>
      <c r="H298" s="47">
        <v>46257</v>
      </c>
      <c r="I298" s="48" t="s">
        <v>1800</v>
      </c>
      <c r="J298" s="48" t="s">
        <v>1095</v>
      </c>
      <c r="K298" s="48" t="str">
        <f t="shared" si="71"/>
        <v>Characterisation of Poro-Visco-Elastic Properties is a porous media &amp; geomechanics product from Top Industrie for application-specific laboratory, engineering or industrial use.</v>
      </c>
      <c r="L298" s="48" t="str">
        <f t="shared" si="72"/>
        <v>Characterisation of Poro-Visco-Elastic Properties from Top Industrie for porous media &amp; geomechanics applications. Review configuration requirements and request technical information or a quotation from DIWAN.</v>
      </c>
      <c r="M298" s="48" t="s">
        <v>2020</v>
      </c>
      <c r="N298" s="61" t="s">
        <v>2672</v>
      </c>
      <c r="O298" s="54" t="str" cm="1">
        <f t="array" ref="O298">_xlfn.LET(_xlpm.n,LOWER(E298),_xlpm.c,LOWER(B298),_xlpm.t,_xlfn.IFS(OR(ISNUMBER(SEARCH("lens",_xlpm.n)),ISNUMBER(SEARCH("optic",_xlpm.n)),ISNUMBER(SEARCH("polarizer",_xlpm.n))),"precision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"),E298&amp;" is "&amp;_xlpm.art&amp;_xlpm.t&amp;" from "&amp;C298&amp;" designed for application-specific laboratory, engineering or industrial use. It belongs to DIWAN's "&amp;B298&amp;" portfolio; final configuration must be selected against performance, integration and compliance requirements.")</f>
        <v>Characterisation of Poro-Visco-Elastic Properties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8" s="54" t="str">
        <f t="shared" si="73"/>
        <v>Selection should confirm the model-specific operating range, capacity, accuracy, interfaces, utilities, accessories, standards, environmental limits and service requirements. Final capabilities depend on the approved Characterisation of Poro-Visco-Elastic Properties configuration.</v>
      </c>
      <c r="Q298" s="54"/>
      <c r="R298" s="54" t="str">
        <f t="shared" si="74"/>
        <v>Porous Media &amp; Geomechanics applications; laboratory research, engineering development, quality control and industrial deployment where applicable. Suitability must be confirmed against the user's sample, process, environment and required standards.</v>
      </c>
      <c r="S298" s="54"/>
      <c r="T298" s="54" t="str">
        <f t="shared" si="75"/>
        <v>Characterisation of Poro-Visco-Elastic Properties from Top Industrie</v>
      </c>
      <c r="U298" s="54"/>
      <c r="V298" s="54" t="s">
        <v>2673</v>
      </c>
      <c r="W298" s="54" t="str">
        <f t="shared" si="76"/>
        <v>See other Porous Media &amp; Geomechanics products</v>
      </c>
      <c r="X298" s="54" t="str">
        <f t="shared" si="77"/>
        <v>Porous Media &amp; Geomechanics enquiry → website group enquiry form → category owner assignment</v>
      </c>
      <c r="Y298" s="54" t="str">
        <f t="shared" si="78"/>
        <v>Characterisation of Poro-Visco-Elastic Properties, Porous Media &amp; Geomechanics, Top Industrie, technical equipment, DIWAN</v>
      </c>
      <c r="Z298" s="54" t="s">
        <v>2278</v>
      </c>
      <c r="AA298" s="55">
        <v>46257</v>
      </c>
      <c r="AB298" s="54" t="s">
        <v>2465</v>
      </c>
      <c r="AC298" s="63" t="str">
        <f t="shared" si="79"/>
        <v>Content drafted - assets/specs pending</v>
      </c>
      <c r="AD29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8" s="58"/>
      <c r="AF298" s="58"/>
      <c r="AG298" s="58" t="s">
        <v>2467</v>
      </c>
      <c r="AH298" s="58" t="s">
        <v>2468</v>
      </c>
      <c r="AI298" s="58" t="s">
        <v>2469</v>
      </c>
    </row>
    <row r="299" spans="1:35" ht="42" customHeight="1" x14ac:dyDescent="0.35">
      <c r="A299" s="69">
        <f t="shared" si="70"/>
        <v>59</v>
      </c>
      <c r="B299" s="70" t="s">
        <v>338</v>
      </c>
      <c r="C299" s="71" t="s">
        <v>14</v>
      </c>
      <c r="D299" s="72" t="s">
        <v>15</v>
      </c>
      <c r="E299" s="45" t="s">
        <v>352</v>
      </c>
      <c r="F299" s="49" t="s">
        <v>3021</v>
      </c>
      <c r="G299" s="45" t="s">
        <v>3045</v>
      </c>
      <c r="H299" s="47">
        <v>46257</v>
      </c>
      <c r="I299" s="48" t="s">
        <v>1801</v>
      </c>
      <c r="J299" s="48" t="s">
        <v>1096</v>
      </c>
      <c r="K299" s="48" t="str">
        <f t="shared" si="71"/>
        <v>Diffusion Test is a porous media &amp; geomechanics product from Top Industrie for application-specific laboratory, engineering or industrial use.</v>
      </c>
      <c r="L299" s="48" t="str">
        <f t="shared" si="72"/>
        <v>Diffusion Test from Top Industrie for porous media &amp; geomechanics applications. Review configuration requirements and request technical information or a quotation from DIWAN.</v>
      </c>
      <c r="M299" s="48" t="s">
        <v>2020</v>
      </c>
      <c r="N299" s="61" t="s">
        <v>2672</v>
      </c>
      <c r="O299" s="54" t="str" cm="1">
        <f t="array" ref="O299">_xlfn.LET(_xlpm.n,LOWER(E299),_xlpm.c,LOWER(B299),_xlpm.t,_xlfn.IFS(OR(ISNUMBER(SEARCH("lens",_xlpm.n)),ISNUMBER(SEARCH("optic",_xlpm.n)),ISNUMBER(SEARCH("polarizer",_xlpm.n))),"precision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"),E299&amp;" is "&amp;_xlpm.art&amp;_xlpm.t&amp;" from "&amp;C299&amp;" designed for application-specific laboratory, engineering or industrial use. It belongs to DIWAN's "&amp;B299&amp;" portfolio; final configuration must be selected against performance, integration and compliance requirements.")</f>
        <v>Diffusion Test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299" s="54" t="str">
        <f t="shared" si="73"/>
        <v>Selection should confirm the model-specific operating range, capacity, accuracy, interfaces, utilities, accessories, standards, environmental limits and service requirements. Final capabilities depend on the approved Diffusion Test configuration.</v>
      </c>
      <c r="Q299" s="54"/>
      <c r="R299" s="54" t="str">
        <f t="shared" si="74"/>
        <v>Porous Media &amp; Geomechanics applications; laboratory research, engineering development, quality control and industrial deployment where applicable. Suitability must be confirmed against the user's sample, process, environment and required standards.</v>
      </c>
      <c r="S299" s="54"/>
      <c r="T299" s="54" t="str">
        <f t="shared" si="75"/>
        <v>Diffusion Test from Top Industrie</v>
      </c>
      <c r="U299" s="54"/>
      <c r="V299" s="54" t="s">
        <v>2673</v>
      </c>
      <c r="W299" s="54" t="str">
        <f t="shared" si="76"/>
        <v>See other Porous Media &amp; Geomechanics products</v>
      </c>
      <c r="X299" s="54" t="str">
        <f t="shared" si="77"/>
        <v>Porous Media &amp; Geomechanics enquiry → website group enquiry form → category owner assignment</v>
      </c>
      <c r="Y299" s="54" t="str">
        <f t="shared" si="78"/>
        <v>Diffusion Test, Porous Media &amp; Geomechanics, Top Industrie, technical equipment, DIWAN</v>
      </c>
      <c r="Z299" s="54" t="s">
        <v>2278</v>
      </c>
      <c r="AA299" s="55">
        <v>46257</v>
      </c>
      <c r="AB299" s="54" t="s">
        <v>2465</v>
      </c>
      <c r="AC299" s="63" t="str">
        <f t="shared" si="79"/>
        <v>Content drafted - assets/specs pending</v>
      </c>
      <c r="AD29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299" s="58"/>
      <c r="AF299" s="58"/>
      <c r="AG299" s="58" t="s">
        <v>2467</v>
      </c>
      <c r="AH299" s="58" t="s">
        <v>2468</v>
      </c>
      <c r="AI299" s="58" t="s">
        <v>2469</v>
      </c>
    </row>
    <row r="300" spans="1:35" ht="42" customHeight="1" x14ac:dyDescent="0.35">
      <c r="A300" s="69">
        <f t="shared" si="70"/>
        <v>59</v>
      </c>
      <c r="B300" s="70" t="s">
        <v>338</v>
      </c>
      <c r="C300" s="71" t="s">
        <v>14</v>
      </c>
      <c r="D300" s="72" t="s">
        <v>15</v>
      </c>
      <c r="E300" s="45" t="s">
        <v>353</v>
      </c>
      <c r="F300" s="49" t="s">
        <v>3021</v>
      </c>
      <c r="G300" s="45" t="s">
        <v>3045</v>
      </c>
      <c r="H300" s="47">
        <v>46257</v>
      </c>
      <c r="I300" s="48" t="s">
        <v>1802</v>
      </c>
      <c r="J300" s="48" t="s">
        <v>1097</v>
      </c>
      <c r="K300" s="48" t="str">
        <f t="shared" si="71"/>
        <v>Primary Absorption is a porous media &amp; geomechanics product from Top Industrie for application-specific laboratory, engineering or industrial use.</v>
      </c>
      <c r="L300" s="48" t="str">
        <f t="shared" si="72"/>
        <v>Primary Absorption from Top Industrie for porous media &amp; geomechanics applications. Review configuration requirements and request technical information or a quotation from DIWAN.</v>
      </c>
      <c r="M300" s="48" t="s">
        <v>2020</v>
      </c>
      <c r="N300" s="61" t="s">
        <v>2672</v>
      </c>
      <c r="O300" s="54" t="str" cm="1">
        <f t="array" ref="O300">_xlfn.LET(_xlpm.n,LOWER(E300),_xlpm.c,LOWER(B300),_xlpm.t,_xlfn.IFS(OR(ISNUMBER(SEARCH("lens",_xlpm.n)),ISNUMBER(SEARCH("optic",_xlpm.n)),ISNUMBER(SEARCH("polarizer",_xlpm.n))),"precision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"),E300&amp;" is "&amp;_xlpm.art&amp;_xlpm.t&amp;" from "&amp;C300&amp;" designed for application-specific laboratory, engineering or industrial use. It belongs to DIWAN's "&amp;B300&amp;" portfolio; final configuration must be selected against performance, integration and compliance requirements.")</f>
        <v>Primary Absorption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0" s="54" t="str">
        <f t="shared" si="73"/>
        <v>Selection should confirm the model-specific operating range, capacity, accuracy, interfaces, utilities, accessories, standards, environmental limits and service requirements. Final capabilities depend on the approved Primary Absorption configuration.</v>
      </c>
      <c r="Q300" s="54"/>
      <c r="R300" s="54" t="str">
        <f t="shared" si="74"/>
        <v>Porous Media &amp; Geomechanics applications; laboratory research, engineering development, quality control and industrial deployment where applicable. Suitability must be confirmed against the user's sample, process, environment and required standards.</v>
      </c>
      <c r="S300" s="54"/>
      <c r="T300" s="54" t="str">
        <f t="shared" si="75"/>
        <v>Primary Absorption from Top Industrie</v>
      </c>
      <c r="U300" s="54"/>
      <c r="V300" s="54" t="s">
        <v>2673</v>
      </c>
      <c r="W300" s="54" t="str">
        <f t="shared" si="76"/>
        <v>See other Porous Media &amp; Geomechanics products</v>
      </c>
      <c r="X300" s="54" t="str">
        <f t="shared" si="77"/>
        <v>Porous Media &amp; Geomechanics enquiry → website group enquiry form → category owner assignment</v>
      </c>
      <c r="Y300" s="54" t="str">
        <f t="shared" si="78"/>
        <v>Primary Absorption, Porous Media &amp; Geomechanics, Top Industrie, technical equipment, DIWAN</v>
      </c>
      <c r="Z300" s="54" t="s">
        <v>2278</v>
      </c>
      <c r="AA300" s="55">
        <v>46257</v>
      </c>
      <c r="AB300" s="54" t="s">
        <v>2465</v>
      </c>
      <c r="AC300" s="63" t="str">
        <f t="shared" si="79"/>
        <v>Content drafted - assets/specs pending</v>
      </c>
      <c r="AD30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0" s="58"/>
      <c r="AF300" s="58"/>
      <c r="AG300" s="58" t="s">
        <v>2467</v>
      </c>
      <c r="AH300" s="58" t="s">
        <v>2468</v>
      </c>
      <c r="AI300" s="58" t="s">
        <v>2469</v>
      </c>
    </row>
    <row r="301" spans="1:35" ht="42" customHeight="1" x14ac:dyDescent="0.35">
      <c r="A301" s="69">
        <f t="shared" si="70"/>
        <v>59</v>
      </c>
      <c r="B301" s="70" t="s">
        <v>338</v>
      </c>
      <c r="C301" s="71" t="s">
        <v>14</v>
      </c>
      <c r="D301" s="72" t="s">
        <v>15</v>
      </c>
      <c r="E301" s="45" t="s">
        <v>354</v>
      </c>
      <c r="F301" s="49" t="s">
        <v>3021</v>
      </c>
      <c r="G301" s="45" t="s">
        <v>3045</v>
      </c>
      <c r="H301" s="47">
        <v>46257</v>
      </c>
      <c r="I301" s="48" t="s">
        <v>1803</v>
      </c>
      <c r="J301" s="48" t="s">
        <v>1098</v>
      </c>
      <c r="K301" s="48" t="str">
        <f t="shared" si="71"/>
        <v>Dimensional Stability on Specimens is a porous media &amp; geomechanics product from Top Industrie for application-specific laboratory, engineering or industrial use.</v>
      </c>
      <c r="L301" s="48" t="str">
        <f t="shared" si="72"/>
        <v>Dimensional Stability on Specimens from Top Industrie for porous media &amp; geomechanics applications. Review configuration requirements and request technical information or a quotation from DIWAN.</v>
      </c>
      <c r="M301" s="48" t="s">
        <v>2020</v>
      </c>
      <c r="N301" s="61" t="s">
        <v>2672</v>
      </c>
      <c r="O301" s="54" t="str" cm="1">
        <f t="array" ref="O301">_xlfn.LET(_xlpm.n,LOWER(E301),_xlpm.c,LOWER(B301),_xlpm.t,_xlfn.IFS(OR(ISNUMBER(SEARCH("lens",_xlpm.n)),ISNUMBER(SEARCH("optic",_xlpm.n)),ISNUMBER(SEARCH("polarizer",_xlpm.n))),"precision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"),E301&amp;" is "&amp;_xlpm.art&amp;_xlpm.t&amp;" from "&amp;C301&amp;" designed for application-specific laboratory, engineering or industrial use. It belongs to DIWAN's "&amp;B301&amp;" portfolio; final configuration must be selected against performance, integration and compliance requirements.")</f>
        <v>Dimensional Stability on Specimens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1" s="54" t="str">
        <f t="shared" si="73"/>
        <v>Selection should confirm the model-specific operating range, capacity, accuracy, interfaces, utilities, accessories, standards, environmental limits and service requirements. Final capabilities depend on the approved Dimensional Stability on Specimens configuration.</v>
      </c>
      <c r="Q301" s="54"/>
      <c r="R301" s="54" t="str">
        <f t="shared" si="74"/>
        <v>Porous Media &amp; Geomechanics applications; laboratory research, engineering development, quality control and industrial deployment where applicable. Suitability must be confirmed against the user's sample, process, environment and required standards.</v>
      </c>
      <c r="S301" s="54"/>
      <c r="T301" s="54" t="str">
        <f t="shared" si="75"/>
        <v>Dimensional Stability on Specimens from Top Industrie</v>
      </c>
      <c r="U301" s="54"/>
      <c r="V301" s="54" t="s">
        <v>2673</v>
      </c>
      <c r="W301" s="54" t="str">
        <f t="shared" si="76"/>
        <v>See other Porous Media &amp; Geomechanics products</v>
      </c>
      <c r="X301" s="54" t="str">
        <f t="shared" si="77"/>
        <v>Porous Media &amp; Geomechanics enquiry → website group enquiry form → category owner assignment</v>
      </c>
      <c r="Y301" s="54" t="str">
        <f t="shared" si="78"/>
        <v>Dimensional Stability on Specimens, Porous Media &amp; Geomechanics, Top Industrie, technical equipment, DIWAN</v>
      </c>
      <c r="Z301" s="54" t="s">
        <v>2278</v>
      </c>
      <c r="AA301" s="55">
        <v>46257</v>
      </c>
      <c r="AB301" s="54" t="s">
        <v>2465</v>
      </c>
      <c r="AC301" s="63" t="str">
        <f t="shared" si="79"/>
        <v>Content drafted - assets/specs pending</v>
      </c>
      <c r="AD30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1" s="58"/>
      <c r="AF301" s="58"/>
      <c r="AG301" s="58" t="s">
        <v>2467</v>
      </c>
      <c r="AH301" s="58" t="s">
        <v>2468</v>
      </c>
      <c r="AI301" s="58" t="s">
        <v>2469</v>
      </c>
    </row>
    <row r="302" spans="1:35" ht="42" customHeight="1" x14ac:dyDescent="0.35">
      <c r="A302" s="69">
        <f t="shared" si="70"/>
        <v>59</v>
      </c>
      <c r="B302" s="70" t="s">
        <v>338</v>
      </c>
      <c r="C302" s="71" t="s">
        <v>14</v>
      </c>
      <c r="D302" s="72" t="s">
        <v>15</v>
      </c>
      <c r="E302" s="45" t="s">
        <v>355</v>
      </c>
      <c r="F302" s="49" t="s">
        <v>3021</v>
      </c>
      <c r="G302" s="45" t="s">
        <v>3045</v>
      </c>
      <c r="H302" s="47">
        <v>46257</v>
      </c>
      <c r="I302" s="48" t="s">
        <v>1804</v>
      </c>
      <c r="J302" s="48" t="s">
        <v>1099</v>
      </c>
      <c r="K302" s="48" t="str">
        <f t="shared" si="71"/>
        <v>High Pressure / Temperature Rotational Rheometer is a porous media &amp; geomechanics product from Top Industrie for application-specific laboratory, engineering or industrial use.</v>
      </c>
      <c r="L302" s="48" t="str">
        <f t="shared" si="72"/>
        <v>High Pressure / Temperature Rotational Rheometer from Top Industrie for porous media &amp; geomechanics applications. Review configuration requirements and request technical information or a quotation from DIWAN.</v>
      </c>
      <c r="M302" s="48" t="s">
        <v>2020</v>
      </c>
      <c r="N302" s="61" t="s">
        <v>2672</v>
      </c>
      <c r="O302" s="54" t="str" cm="1">
        <f t="array" ref="O302">_xlfn.LET(_xlpm.n,LOWER(E302),_xlpm.c,LOWER(B302),_xlpm.t,_xlfn.IFS(OR(ISNUMBER(SEARCH("lens",_xlpm.n)),ISNUMBER(SEARCH("optic",_xlpm.n)),ISNUMBER(SEARCH("polarizer",_xlpm.n))),"precision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"),E302&amp;" is "&amp;_xlpm.art&amp;_xlpm.t&amp;" from "&amp;C302&amp;" designed for application-specific laboratory, engineering or industrial use. It belongs to DIWAN's "&amp;B302&amp;" portfolio; final configuration must be selected against performance, integration and compliance requirements.")</f>
        <v>High Pressure / Temperature Rotational Rheometer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2" s="54" t="str">
        <f t="shared" si="73"/>
        <v>Selection should confirm the model-specific operating range, capacity, accuracy, interfaces, utilities, accessories, standards, environmental limits and service requirements. Final capabilities depend on the approved High Pressure / Temperature Rotational Rheometer configuration.</v>
      </c>
      <c r="Q302" s="54"/>
      <c r="R302" s="54" t="str">
        <f t="shared" si="74"/>
        <v>Porous Media &amp; Geomechanics applications; laboratory research, engineering development, quality control and industrial deployment where applicable. Suitability must be confirmed against the user's sample, process, environment and required standards.</v>
      </c>
      <c r="S302" s="54"/>
      <c r="T302" s="54" t="str">
        <f t="shared" si="75"/>
        <v>High Pressure / Temperature Rotational Rheometer from Top Industrie</v>
      </c>
      <c r="U302" s="54"/>
      <c r="V302" s="54" t="s">
        <v>2673</v>
      </c>
      <c r="W302" s="54" t="str">
        <f t="shared" si="76"/>
        <v>See other Porous Media &amp; Geomechanics products</v>
      </c>
      <c r="X302" s="54" t="str">
        <f t="shared" si="77"/>
        <v>Porous Media &amp; Geomechanics enquiry → website group enquiry form → category owner assignment</v>
      </c>
      <c r="Y302" s="54" t="str">
        <f t="shared" si="78"/>
        <v>High Pressure / Temperature Rotational Rheometer, Porous Media &amp; Geomechanics, Top Industrie, technical equipment, DIWAN</v>
      </c>
      <c r="Z302" s="54" t="s">
        <v>2278</v>
      </c>
      <c r="AA302" s="55">
        <v>46257</v>
      </c>
      <c r="AB302" s="54" t="s">
        <v>2465</v>
      </c>
      <c r="AC302" s="63" t="str">
        <f t="shared" si="79"/>
        <v>Content drafted - assets/specs pending</v>
      </c>
      <c r="AD302"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2" s="58"/>
      <c r="AF302" s="58"/>
      <c r="AG302" s="58" t="s">
        <v>2467</v>
      </c>
      <c r="AH302" s="58" t="s">
        <v>2468</v>
      </c>
      <c r="AI302" s="58" t="s">
        <v>2469</v>
      </c>
    </row>
    <row r="303" spans="1:35" ht="42" customHeight="1" x14ac:dyDescent="0.35">
      <c r="A303" s="69">
        <f t="shared" si="70"/>
        <v>59</v>
      </c>
      <c r="B303" s="70" t="s">
        <v>338</v>
      </c>
      <c r="C303" s="71" t="s">
        <v>14</v>
      </c>
      <c r="D303" s="72" t="s">
        <v>15</v>
      </c>
      <c r="E303" s="45" t="s">
        <v>356</v>
      </c>
      <c r="F303" s="49" t="s">
        <v>3021</v>
      </c>
      <c r="G303" s="45" t="s">
        <v>3045</v>
      </c>
      <c r="H303" s="47">
        <v>46257</v>
      </c>
      <c r="I303" s="48" t="s">
        <v>1805</v>
      </c>
      <c r="J303" s="48" t="s">
        <v>1100</v>
      </c>
      <c r="K303" s="48" t="str">
        <f t="shared" si="71"/>
        <v>Horizontal Triaxial Gas Apparatus is a porous media &amp; geomechanics product from Top Industrie for application-specific laboratory, engineering or industrial use.</v>
      </c>
      <c r="L303" s="48" t="str">
        <f t="shared" si="72"/>
        <v>Horizontal Triaxial Gas Apparatus from Top Industrie for porous media &amp; geomechanics applications. Review configuration requirements and request technical information or a quotation from DIWAN.</v>
      </c>
      <c r="M303" s="48" t="s">
        <v>2020</v>
      </c>
      <c r="N303" s="61" t="s">
        <v>2672</v>
      </c>
      <c r="O303" s="54" t="str" cm="1">
        <f t="array" ref="O303">_xlfn.LET(_xlpm.n,LOWER(E303),_xlpm.c,LOWER(B303),_xlpm.t,_xlfn.IFS(OR(ISNUMBER(SEARCH("lens",_xlpm.n)),ISNUMBER(SEARCH("optic",_xlpm.n)),ISNUMBER(SEARCH("polarizer",_xlpm.n))),"precision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"),E303&amp;" is "&amp;_xlpm.art&amp;_xlpm.t&amp;" from "&amp;C303&amp;" designed for application-specific laboratory, engineering or industrial use. It belongs to DIWAN's "&amp;B303&amp;" portfolio; final configuration must be selected against performance, integration and compliance requirements.")</f>
        <v>Horizontal Triaxial Gas Apparatus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3" s="54" t="str">
        <f t="shared" si="73"/>
        <v>Selection should confirm the model-specific operating range, capacity, accuracy, interfaces, utilities, accessories, standards, environmental limits and service requirements. Final capabilities depend on the approved Horizontal Triaxial Gas Apparatus configuration.</v>
      </c>
      <c r="Q303" s="54"/>
      <c r="R303" s="54" t="str">
        <f t="shared" si="74"/>
        <v>Porous Media &amp; Geomechanics applications; laboratory research, engineering development, quality control and industrial deployment where applicable. Suitability must be confirmed against the user's sample, process, environment and required standards.</v>
      </c>
      <c r="S303" s="54"/>
      <c r="T303" s="54" t="str">
        <f t="shared" si="75"/>
        <v>Horizontal Triaxial Gas Apparatus from Top Industrie</v>
      </c>
      <c r="U303" s="54"/>
      <c r="V303" s="54" t="s">
        <v>2673</v>
      </c>
      <c r="W303" s="54" t="str">
        <f t="shared" si="76"/>
        <v>See other Porous Media &amp; Geomechanics products</v>
      </c>
      <c r="X303" s="54" t="str">
        <f t="shared" si="77"/>
        <v>Porous Media &amp; Geomechanics enquiry → website group enquiry form → category owner assignment</v>
      </c>
      <c r="Y303" s="54" t="str">
        <f t="shared" si="78"/>
        <v>Horizontal Triaxial Gas Apparatus, Porous Media &amp; Geomechanics, Top Industrie, technical equipment, DIWAN</v>
      </c>
      <c r="Z303" s="54" t="s">
        <v>2278</v>
      </c>
      <c r="AA303" s="55">
        <v>46257</v>
      </c>
      <c r="AB303" s="54" t="s">
        <v>2465</v>
      </c>
      <c r="AC303" s="63" t="str">
        <f t="shared" si="79"/>
        <v>Content drafted - assets/specs pending</v>
      </c>
      <c r="AD303"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3" s="58"/>
      <c r="AF303" s="58"/>
      <c r="AG303" s="58" t="s">
        <v>2467</v>
      </c>
      <c r="AH303" s="58" t="s">
        <v>2468</v>
      </c>
      <c r="AI303" s="58" t="s">
        <v>2469</v>
      </c>
    </row>
    <row r="304" spans="1:35" ht="42" customHeight="1" x14ac:dyDescent="0.35">
      <c r="A304" s="69">
        <f t="shared" si="70"/>
        <v>59</v>
      </c>
      <c r="B304" s="70" t="s">
        <v>338</v>
      </c>
      <c r="C304" s="71" t="s">
        <v>14</v>
      </c>
      <c r="D304" s="72" t="s">
        <v>15</v>
      </c>
      <c r="E304" s="45" t="s">
        <v>357</v>
      </c>
      <c r="F304" s="49" t="s">
        <v>3021</v>
      </c>
      <c r="G304" s="45" t="s">
        <v>3045</v>
      </c>
      <c r="H304" s="47">
        <v>46257</v>
      </c>
      <c r="I304" s="48" t="s">
        <v>1806</v>
      </c>
      <c r="J304" s="48" t="s">
        <v>1101</v>
      </c>
      <c r="K304" s="48" t="str">
        <f t="shared" si="71"/>
        <v>Creep Apparatus is a porous media &amp; geomechanics product from Top Industrie for application-specific laboratory, engineering or industrial use.</v>
      </c>
      <c r="L304" s="48" t="str">
        <f t="shared" si="72"/>
        <v>Creep Apparatus from Top Industrie for porous media &amp; geomechanics applications. Review configuration requirements and request technical information or a quotation from DIWAN.</v>
      </c>
      <c r="M304" s="48" t="s">
        <v>2020</v>
      </c>
      <c r="N304" s="61" t="s">
        <v>2672</v>
      </c>
      <c r="O304" s="54" t="str" cm="1">
        <f t="array" ref="O304">_xlfn.LET(_xlpm.n,LOWER(E304),_xlpm.c,LOWER(B304),_xlpm.t,_xlfn.IFS(OR(ISNUMBER(SEARCH("lens",_xlpm.n)),ISNUMBER(SEARCH("optic",_xlpm.n)),ISNUMBER(SEARCH("polarizer",_xlpm.n))),"precision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"),E304&amp;" is "&amp;_xlpm.art&amp;_xlpm.t&amp;" from "&amp;C304&amp;" designed for application-specific laboratory, engineering or industrial use. It belongs to DIWAN's "&amp;B304&amp;" portfolio; final configuration must be selected against performance, integration and compliance requirements.")</f>
        <v>Creep Apparatus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4" s="54" t="str">
        <f t="shared" si="73"/>
        <v>Selection should confirm the model-specific operating range, capacity, accuracy, interfaces, utilities, accessories, standards, environmental limits and service requirements. Final capabilities depend on the approved Creep Apparatus configuration.</v>
      </c>
      <c r="Q304" s="54"/>
      <c r="R304" s="54" t="str">
        <f t="shared" si="74"/>
        <v>Porous Media &amp; Geomechanics applications; laboratory research, engineering development, quality control and industrial deployment where applicable. Suitability must be confirmed against the user's sample, process, environment and required standards.</v>
      </c>
      <c r="S304" s="54"/>
      <c r="T304" s="54" t="str">
        <f t="shared" si="75"/>
        <v>Creep Apparatus from Top Industrie</v>
      </c>
      <c r="U304" s="54"/>
      <c r="V304" s="54" t="s">
        <v>2673</v>
      </c>
      <c r="W304" s="54" t="str">
        <f t="shared" si="76"/>
        <v>See other Porous Media &amp; Geomechanics products</v>
      </c>
      <c r="X304" s="54" t="str">
        <f t="shared" si="77"/>
        <v>Porous Media &amp; Geomechanics enquiry → website group enquiry form → category owner assignment</v>
      </c>
      <c r="Y304" s="54" t="str">
        <f t="shared" si="78"/>
        <v>Creep Apparatus, Porous Media &amp; Geomechanics, Top Industrie, technical equipment, DIWAN</v>
      </c>
      <c r="Z304" s="54" t="s">
        <v>2278</v>
      </c>
      <c r="AA304" s="55">
        <v>46257</v>
      </c>
      <c r="AB304" s="54" t="s">
        <v>2465</v>
      </c>
      <c r="AC304" s="63" t="str">
        <f t="shared" si="79"/>
        <v>Content drafted - assets/specs pending</v>
      </c>
      <c r="AD30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4" s="58"/>
      <c r="AF304" s="58"/>
      <c r="AG304" s="58" t="s">
        <v>2467</v>
      </c>
      <c r="AH304" s="58" t="s">
        <v>2468</v>
      </c>
      <c r="AI304" s="58" t="s">
        <v>2469</v>
      </c>
    </row>
    <row r="305" spans="1:35" ht="42" customHeight="1" x14ac:dyDescent="0.35">
      <c r="A305" s="69">
        <f t="shared" si="70"/>
        <v>59</v>
      </c>
      <c r="B305" s="70" t="s">
        <v>338</v>
      </c>
      <c r="C305" s="71" t="s">
        <v>14</v>
      </c>
      <c r="D305" s="72" t="s">
        <v>15</v>
      </c>
      <c r="E305" s="45" t="s">
        <v>358</v>
      </c>
      <c r="F305" s="49" t="s">
        <v>3021</v>
      </c>
      <c r="G305" s="45" t="s">
        <v>3045</v>
      </c>
      <c r="H305" s="47">
        <v>46257</v>
      </c>
      <c r="I305" s="48" t="s">
        <v>1807</v>
      </c>
      <c r="J305" s="48" t="s">
        <v>1102</v>
      </c>
      <c r="K305" s="48" t="str">
        <f t="shared" si="71"/>
        <v>HP/HT Core Holder with Confining Pressure is a porous media &amp; geomechanics product from Top Industrie for application-specific laboratory, engineering or industrial use.</v>
      </c>
      <c r="L305" s="48" t="str">
        <f t="shared" si="72"/>
        <v>HP/HT Core Holder with Confining Pressure from Top Industrie for porous media &amp; geomechanics applications. Review configuration requirements and request technical information or a quotation from DIWAN.</v>
      </c>
      <c r="M305" s="48" t="s">
        <v>2020</v>
      </c>
      <c r="N305" s="61" t="s">
        <v>2672</v>
      </c>
      <c r="O305" s="54" t="str" cm="1">
        <f t="array" ref="O305">_xlfn.LET(_xlpm.n,LOWER(E305),_xlpm.c,LOWER(B305),_xlpm.t,_xlfn.IFS(OR(ISNUMBER(SEARCH("lens",_xlpm.n)),ISNUMBER(SEARCH("optic",_xlpm.n)),ISNUMBER(SEARCH("polarizer",_xlpm.n))),"precision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"),E305&amp;" is "&amp;_xlpm.art&amp;_xlpm.t&amp;" from "&amp;C305&amp;" designed for application-specific laboratory, engineering or industrial use. It belongs to DIWAN's "&amp;B305&amp;" portfolio; final configuration must be selected against performance, integration and compliance requirements.")</f>
        <v>HP/HT Core Holder with Confining Pressure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5" s="54" t="str">
        <f t="shared" si="73"/>
        <v>Selection should confirm the model-specific operating range, capacity, accuracy, interfaces, utilities, accessories, standards, environmental limits and service requirements. Final capabilities depend on the approved HP/HT Core Holder with Confining Pressure configuration.</v>
      </c>
      <c r="Q305" s="54"/>
      <c r="R305" s="54" t="str">
        <f t="shared" si="74"/>
        <v>Porous Media &amp; Geomechanics applications; laboratory research, engineering development, quality control and industrial deployment where applicable. Suitability must be confirmed against the user's sample, process, environment and required standards.</v>
      </c>
      <c r="S305" s="54"/>
      <c r="T305" s="54" t="str">
        <f t="shared" si="75"/>
        <v>HP/HT Core Holder with Confining Pressure from Top Industrie</v>
      </c>
      <c r="U305" s="54"/>
      <c r="V305" s="54" t="s">
        <v>2673</v>
      </c>
      <c r="W305" s="54" t="str">
        <f t="shared" si="76"/>
        <v>See other Porous Media &amp; Geomechanics products</v>
      </c>
      <c r="X305" s="54" t="str">
        <f t="shared" si="77"/>
        <v>Porous Media &amp; Geomechanics enquiry → website group enquiry form → category owner assignment</v>
      </c>
      <c r="Y305" s="54" t="str">
        <f t="shared" si="78"/>
        <v>HP/HT Core Holder with Confining Pressure, Porous Media &amp; Geomechanics, Top Industrie, technical equipment, DIWAN</v>
      </c>
      <c r="Z305" s="54" t="s">
        <v>2278</v>
      </c>
      <c r="AA305" s="55">
        <v>46257</v>
      </c>
      <c r="AB305" s="54" t="s">
        <v>2465</v>
      </c>
      <c r="AC305" s="63" t="str">
        <f t="shared" si="79"/>
        <v>Content drafted - assets/specs pending</v>
      </c>
      <c r="AD30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5" s="58"/>
      <c r="AF305" s="58"/>
      <c r="AG305" s="58" t="s">
        <v>2467</v>
      </c>
      <c r="AH305" s="58" t="s">
        <v>2468</v>
      </c>
      <c r="AI305" s="58" t="s">
        <v>2469</v>
      </c>
    </row>
    <row r="306" spans="1:35" ht="42" customHeight="1" x14ac:dyDescent="0.35">
      <c r="A306" s="69">
        <f t="shared" si="70"/>
        <v>59</v>
      </c>
      <c r="B306" s="70" t="s">
        <v>338</v>
      </c>
      <c r="C306" s="71" t="s">
        <v>14</v>
      </c>
      <c r="D306" s="72" t="s">
        <v>15</v>
      </c>
      <c r="E306" s="45" t="s">
        <v>359</v>
      </c>
      <c r="F306" s="49" t="s">
        <v>3021</v>
      </c>
      <c r="G306" s="45" t="s">
        <v>3045</v>
      </c>
      <c r="H306" s="47">
        <v>46257</v>
      </c>
      <c r="I306" s="48" t="s">
        <v>1808</v>
      </c>
      <c r="J306" s="48" t="s">
        <v>1103</v>
      </c>
      <c r="K306" s="48" t="str">
        <f t="shared" si="71"/>
        <v>Large Gas Permeameter is a porous media &amp; geomechanics product from Top Industrie for application-specific laboratory, engineering or industrial use.</v>
      </c>
      <c r="L306" s="48" t="str">
        <f t="shared" si="72"/>
        <v>Large Gas Permeameter from Top Industrie for porous media &amp; geomechanics applications. Review configuration requirements and request technical information or a quotation from DIWAN.</v>
      </c>
      <c r="M306" s="48" t="s">
        <v>2020</v>
      </c>
      <c r="N306" s="61" t="s">
        <v>2672</v>
      </c>
      <c r="O306" s="54" t="str" cm="1">
        <f t="array" ref="O306">_xlfn.LET(_xlpm.n,LOWER(E306),_xlpm.c,LOWER(B306),_xlpm.t,_xlfn.IFS(OR(ISNUMBER(SEARCH("lens",_xlpm.n)),ISNUMBER(SEARCH("optic",_xlpm.n)),ISNUMBER(SEARCH("polarizer",_xlpm.n))),"precision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"),E306&amp;" is "&amp;_xlpm.art&amp;_xlpm.t&amp;" from "&amp;C306&amp;" designed for application-specific laboratory, engineering or industrial use. It belongs to DIWAN's "&amp;B306&amp;" portfolio; final configuration must be selected against performance, integration and compliance requirements.")</f>
        <v>Large Gas Permeameter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6" s="54" t="str">
        <f t="shared" si="73"/>
        <v>Selection should confirm the model-specific operating range, capacity, accuracy, interfaces, utilities, accessories, standards, environmental limits and service requirements. Final capabilities depend on the approved Large Gas Permeameter configuration.</v>
      </c>
      <c r="Q306" s="54"/>
      <c r="R306" s="54" t="str">
        <f t="shared" si="74"/>
        <v>Porous Media &amp; Geomechanics applications; laboratory research, engineering development, quality control and industrial deployment where applicable. Suitability must be confirmed against the user's sample, process, environment and required standards.</v>
      </c>
      <c r="S306" s="54"/>
      <c r="T306" s="54" t="str">
        <f t="shared" si="75"/>
        <v>Large Gas Permeameter from Top Industrie</v>
      </c>
      <c r="U306" s="54"/>
      <c r="V306" s="54" t="s">
        <v>2673</v>
      </c>
      <c r="W306" s="54" t="str">
        <f t="shared" si="76"/>
        <v>See other Porous Media &amp; Geomechanics products</v>
      </c>
      <c r="X306" s="54" t="str">
        <f t="shared" si="77"/>
        <v>Porous Media &amp; Geomechanics enquiry → website group enquiry form → category owner assignment</v>
      </c>
      <c r="Y306" s="54" t="str">
        <f t="shared" si="78"/>
        <v>Large Gas Permeameter, Porous Media &amp; Geomechanics, Top Industrie, technical equipment, DIWAN</v>
      </c>
      <c r="Z306" s="54" t="s">
        <v>2278</v>
      </c>
      <c r="AA306" s="55">
        <v>46257</v>
      </c>
      <c r="AB306" s="54" t="s">
        <v>2465</v>
      </c>
      <c r="AC306" s="63" t="str">
        <f t="shared" si="79"/>
        <v>Content drafted - assets/specs pending</v>
      </c>
      <c r="AD30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6" s="58"/>
      <c r="AF306" s="58"/>
      <c r="AG306" s="58" t="s">
        <v>2467</v>
      </c>
      <c r="AH306" s="58" t="s">
        <v>2468</v>
      </c>
      <c r="AI306" s="58" t="s">
        <v>2469</v>
      </c>
    </row>
    <row r="307" spans="1:35" ht="42" customHeight="1" x14ac:dyDescent="0.35">
      <c r="A307" s="69">
        <f t="shared" si="70"/>
        <v>59</v>
      </c>
      <c r="B307" s="70" t="s">
        <v>338</v>
      </c>
      <c r="C307" s="71" t="s">
        <v>14</v>
      </c>
      <c r="D307" s="72" t="s">
        <v>15</v>
      </c>
      <c r="E307" s="45" t="s">
        <v>360</v>
      </c>
      <c r="F307" s="49" t="s">
        <v>3021</v>
      </c>
      <c r="G307" s="45" t="s">
        <v>3045</v>
      </c>
      <c r="H307" s="47">
        <v>46257</v>
      </c>
      <c r="I307" s="48" t="s">
        <v>1809</v>
      </c>
      <c r="J307" s="48" t="s">
        <v>1104</v>
      </c>
      <c r="K307" s="48" t="str">
        <f t="shared" si="71"/>
        <v>High Temperature Triaxial Cell is a porous media &amp; geomechanics product from Top Industrie for application-specific laboratory, engineering or industrial use.</v>
      </c>
      <c r="L307" s="48" t="str">
        <f t="shared" si="72"/>
        <v>High Temperature Triaxial Cell from Top Industrie for porous media &amp; geomechanics applications. Review configuration requirements and request technical information or a quotation from DIWAN.</v>
      </c>
      <c r="M307" s="48" t="s">
        <v>2020</v>
      </c>
      <c r="N307" s="61" t="s">
        <v>2672</v>
      </c>
      <c r="O307" s="54" t="str" cm="1">
        <f t="array" ref="O307">_xlfn.LET(_xlpm.n,LOWER(E307),_xlpm.c,LOWER(B307),_xlpm.t,_xlfn.IFS(OR(ISNUMBER(SEARCH("lens",_xlpm.n)),ISNUMBER(SEARCH("optic",_xlpm.n)),ISNUMBER(SEARCH("polarizer",_xlpm.n))),"precision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"),E307&amp;" is "&amp;_xlpm.art&amp;_xlpm.t&amp;" from "&amp;C307&amp;" designed for application-specific laboratory, engineering or industrial use. It belongs to DIWAN's "&amp;B307&amp;" portfolio; final configuration must be selected against performance, integration and compliance requirements.")</f>
        <v>High Temperature Triaxial Cell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7" s="54" t="str">
        <f t="shared" si="73"/>
        <v>Selection should confirm the model-specific operating range, capacity, accuracy, interfaces, utilities, accessories, standards, environmental limits and service requirements. Final capabilities depend on the approved High Temperature Triaxial Cell configuration.</v>
      </c>
      <c r="Q307" s="54"/>
      <c r="R307" s="54" t="str">
        <f t="shared" si="74"/>
        <v>Porous Media &amp; Geomechanics applications; laboratory research, engineering development, quality control and industrial deployment where applicable. Suitability must be confirmed against the user's sample, process, environment and required standards.</v>
      </c>
      <c r="S307" s="54"/>
      <c r="T307" s="54" t="str">
        <f t="shared" si="75"/>
        <v>High Temperature Triaxial Cell from Top Industrie</v>
      </c>
      <c r="U307" s="54"/>
      <c r="V307" s="54" t="s">
        <v>2673</v>
      </c>
      <c r="W307" s="54" t="str">
        <f t="shared" si="76"/>
        <v>See other Porous Media &amp; Geomechanics products</v>
      </c>
      <c r="X307" s="54" t="str">
        <f t="shared" si="77"/>
        <v>Porous Media &amp; Geomechanics enquiry → website group enquiry form → category owner assignment</v>
      </c>
      <c r="Y307" s="54" t="str">
        <f t="shared" si="78"/>
        <v>High Temperature Triaxial Cell, Porous Media &amp; Geomechanics, Top Industrie, technical equipment, DIWAN</v>
      </c>
      <c r="Z307" s="54" t="s">
        <v>2278</v>
      </c>
      <c r="AA307" s="55">
        <v>46257</v>
      </c>
      <c r="AB307" s="54" t="s">
        <v>2465</v>
      </c>
      <c r="AC307" s="63" t="str">
        <f t="shared" si="79"/>
        <v>Content drafted - assets/specs pending</v>
      </c>
      <c r="AD30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7" s="58"/>
      <c r="AF307" s="58"/>
      <c r="AG307" s="58" t="s">
        <v>2467</v>
      </c>
      <c r="AH307" s="58" t="s">
        <v>2468</v>
      </c>
      <c r="AI307" s="58" t="s">
        <v>2469</v>
      </c>
    </row>
    <row r="308" spans="1:35" ht="42" customHeight="1" x14ac:dyDescent="0.35">
      <c r="A308" s="69">
        <f t="shared" si="70"/>
        <v>59</v>
      </c>
      <c r="B308" s="70" t="s">
        <v>338</v>
      </c>
      <c r="C308" s="71" t="s">
        <v>14</v>
      </c>
      <c r="D308" s="72" t="s">
        <v>15</v>
      </c>
      <c r="E308" s="45" t="s">
        <v>361</v>
      </c>
      <c r="F308" s="49" t="s">
        <v>3021</v>
      </c>
      <c r="G308" s="45" t="s">
        <v>3045</v>
      </c>
      <c r="H308" s="47">
        <v>46257</v>
      </c>
      <c r="I308" s="48" t="s">
        <v>1810</v>
      </c>
      <c r="J308" s="48" t="s">
        <v>1105</v>
      </c>
      <c r="K308" s="48" t="str">
        <f t="shared" si="71"/>
        <v>Gas Permeability Coupled with Raman Spectrometer is a porous media &amp; geomechanics product from Top Industrie for application-specific laboratory, engineering or industrial use.</v>
      </c>
      <c r="L308" s="48" t="str">
        <f t="shared" si="72"/>
        <v>Gas Permeability Coupled with Raman Spectrometer from Top Industrie for porous media &amp; geomechanics applications. Review configuration requirements and request technical information or a quotation from DIWAN.</v>
      </c>
      <c r="M308" s="48" t="s">
        <v>2020</v>
      </c>
      <c r="N308" s="61" t="s">
        <v>2672</v>
      </c>
      <c r="O308" s="54" t="str" cm="1">
        <f t="array" ref="O308">_xlfn.LET(_xlpm.n,LOWER(E308),_xlpm.c,LOWER(B308),_xlpm.t,_xlfn.IFS(OR(ISNUMBER(SEARCH("lens",_xlpm.n)),ISNUMBER(SEARCH("optic",_xlpm.n)),ISNUMBER(SEARCH("polarizer",_xlpm.n))),"precision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"),E308&amp;" is "&amp;_xlpm.art&amp;_xlpm.t&amp;" from "&amp;C308&amp;" designed for application-specific laboratory, engineering or industrial use. It belongs to DIWAN's "&amp;B308&amp;" portfolio; final configuration must be selected against performance, integration and compliance requirements.")</f>
        <v>Gas Permeability Coupled with Raman Spectrometer is an analytical laboratory instrument from Top Industrie designed for application-specific laboratory, engineering or industrial use. It belongs to DIWAN's Porous Media &amp; Geomechanics portfolio; final configuration must be selected against performance, integration and compliance requirements.</v>
      </c>
      <c r="P308" s="54" t="str">
        <f t="shared" si="73"/>
        <v>Selection should confirm the model-specific operating range, capacity, accuracy, interfaces, utilities, accessories, standards, environmental limits and service requirements. Final capabilities depend on the approved Gas Permeability Coupled with Raman Spectrometer configuration.</v>
      </c>
      <c r="Q308" s="54"/>
      <c r="R308" s="54" t="str">
        <f t="shared" si="74"/>
        <v>Porous Media &amp; Geomechanics applications; laboratory research, engineering development, quality control and industrial deployment where applicable. Suitability must be confirmed against the user's sample, process, environment and required standards.</v>
      </c>
      <c r="S308" s="54"/>
      <c r="T308" s="54" t="str">
        <f t="shared" si="75"/>
        <v>Gas Permeability Coupled with Raman Spectrometer from Top Industrie</v>
      </c>
      <c r="U308" s="54"/>
      <c r="V308" s="54" t="s">
        <v>2673</v>
      </c>
      <c r="W308" s="54" t="str">
        <f t="shared" si="76"/>
        <v>See other Porous Media &amp; Geomechanics products</v>
      </c>
      <c r="X308" s="54" t="str">
        <f t="shared" si="77"/>
        <v>Porous Media &amp; Geomechanics enquiry → website group enquiry form → category owner assignment</v>
      </c>
      <c r="Y308" s="54" t="str">
        <f t="shared" si="78"/>
        <v>Gas Permeability Coupled with Raman Spectrometer, Porous Media &amp; Geomechanics, Top Industrie, technical equipment, DIWAN</v>
      </c>
      <c r="Z308" s="54" t="s">
        <v>2278</v>
      </c>
      <c r="AA308" s="55">
        <v>46257</v>
      </c>
      <c r="AB308" s="54" t="s">
        <v>2465</v>
      </c>
      <c r="AC308" s="63" t="str">
        <f t="shared" si="79"/>
        <v>Content drafted - assets/specs pending</v>
      </c>
      <c r="AD30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8" s="58"/>
      <c r="AF308" s="58"/>
      <c r="AG308" s="58" t="s">
        <v>2467</v>
      </c>
      <c r="AH308" s="58" t="s">
        <v>2468</v>
      </c>
      <c r="AI308" s="58" t="s">
        <v>2469</v>
      </c>
    </row>
    <row r="309" spans="1:35" ht="42" customHeight="1" x14ac:dyDescent="0.35">
      <c r="A309" s="69">
        <f t="shared" si="70"/>
        <v>59</v>
      </c>
      <c r="B309" s="70" t="s">
        <v>338</v>
      </c>
      <c r="C309" s="71" t="s">
        <v>14</v>
      </c>
      <c r="D309" s="72" t="s">
        <v>15</v>
      </c>
      <c r="E309" s="45" t="s">
        <v>362</v>
      </c>
      <c r="F309" s="49" t="s">
        <v>3021</v>
      </c>
      <c r="G309" s="45" t="s">
        <v>3045</v>
      </c>
      <c r="H309" s="47">
        <v>46257</v>
      </c>
      <c r="I309" s="48" t="s">
        <v>1811</v>
      </c>
      <c r="J309" s="48" t="s">
        <v>1106</v>
      </c>
      <c r="K309" s="48" t="str">
        <f t="shared" si="71"/>
        <v>Onshore Hydrocarbon Production Simulator is a porous media &amp; geomechanics product from Top Industrie for application-specific laboratory, engineering or industrial use.</v>
      </c>
      <c r="L309" s="48" t="str">
        <f t="shared" si="72"/>
        <v>Onshore Hydrocarbon Production Simulator from Top Industrie for porous media &amp; geomechanics applications. Review configuration requirements and request technical information or a quotation from DIWAN.</v>
      </c>
      <c r="M309" s="48" t="s">
        <v>2020</v>
      </c>
      <c r="N309" s="61" t="s">
        <v>2672</v>
      </c>
      <c r="O309" s="54" t="str" cm="1">
        <f t="array" ref="O309">_xlfn.LET(_xlpm.n,LOWER(E309),_xlpm.c,LOWER(B309),_xlpm.t,_xlfn.IFS(OR(ISNUMBER(SEARCH("lens",_xlpm.n)),ISNUMBER(SEARCH("optic",_xlpm.n)),ISNUMBER(SEARCH("polarizer",_xlpm.n))),"precision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"),E309&amp;" is "&amp;_xlpm.art&amp;_xlpm.t&amp;" from "&amp;C309&amp;" designed for application-specific laboratory, engineering or industrial use. It belongs to DIWAN's "&amp;B309&amp;" portfolio; final configuration must be selected against performance, integration and compliance requirements.")</f>
        <v>Onshore Hydrocarbon Production Simulator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09" s="54" t="str">
        <f t="shared" si="73"/>
        <v>Selection should confirm the model-specific operating range, capacity, accuracy, interfaces, utilities, accessories, standards, environmental limits and service requirements. Final capabilities depend on the approved Onshore Hydrocarbon Production Simulator configuration.</v>
      </c>
      <c r="Q309" s="54"/>
      <c r="R309" s="54" t="str">
        <f t="shared" si="74"/>
        <v>Porous Media &amp; Geomechanics applications; laboratory research, engineering development, quality control and industrial deployment where applicable. Suitability must be confirmed against the user's sample, process, environment and required standards.</v>
      </c>
      <c r="S309" s="54"/>
      <c r="T309" s="54" t="str">
        <f t="shared" si="75"/>
        <v>Onshore Hydrocarbon Production Simulator from Top Industrie</v>
      </c>
      <c r="U309" s="54"/>
      <c r="V309" s="54" t="s">
        <v>2673</v>
      </c>
      <c r="W309" s="54" t="str">
        <f t="shared" si="76"/>
        <v>See other Porous Media &amp; Geomechanics products</v>
      </c>
      <c r="X309" s="54" t="str">
        <f t="shared" si="77"/>
        <v>Porous Media &amp; Geomechanics enquiry → website group enquiry form → category owner assignment</v>
      </c>
      <c r="Y309" s="54" t="str">
        <f t="shared" si="78"/>
        <v>Onshore Hydrocarbon Production Simulator, Porous Media &amp; Geomechanics, Top Industrie, technical equipment, DIWAN</v>
      </c>
      <c r="Z309" s="54" t="s">
        <v>2278</v>
      </c>
      <c r="AA309" s="55">
        <v>46257</v>
      </c>
      <c r="AB309" s="54" t="s">
        <v>2465</v>
      </c>
      <c r="AC309" s="63" t="str">
        <f t="shared" si="79"/>
        <v>Content drafted - assets/specs pending</v>
      </c>
      <c r="AD30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09" s="58"/>
      <c r="AF309" s="58"/>
      <c r="AG309" s="58" t="s">
        <v>2467</v>
      </c>
      <c r="AH309" s="58" t="s">
        <v>2468</v>
      </c>
      <c r="AI309" s="58" t="s">
        <v>2469</v>
      </c>
    </row>
    <row r="310" spans="1:35" ht="42" customHeight="1" x14ac:dyDescent="0.35">
      <c r="A310" s="69">
        <f t="shared" si="70"/>
        <v>59</v>
      </c>
      <c r="B310" s="70" t="s">
        <v>338</v>
      </c>
      <c r="C310" s="71" t="s">
        <v>14</v>
      </c>
      <c r="D310" s="72" t="s">
        <v>15</v>
      </c>
      <c r="E310" s="45" t="s">
        <v>363</v>
      </c>
      <c r="F310" s="49" t="s">
        <v>3021</v>
      </c>
      <c r="G310" s="45" t="s">
        <v>3045</v>
      </c>
      <c r="H310" s="47">
        <v>46257</v>
      </c>
      <c r="I310" s="48" t="s">
        <v>1812</v>
      </c>
      <c r="J310" s="48" t="s">
        <v>1107</v>
      </c>
      <c r="K310" s="48" t="str">
        <f t="shared" si="71"/>
        <v>Electro-Mechanical Compaction of Plug / Core is a porous media &amp; geomechanics product from Top Industrie for application-specific laboratory, engineering or industrial use.</v>
      </c>
      <c r="L310" s="48" t="str">
        <f t="shared" si="72"/>
        <v>Electro-Mechanical Compaction of Plug / Core from Top Industrie for porous media &amp; geomechanics applications. Review configuration requirements and request technical information or a quotation from DIWAN.</v>
      </c>
      <c r="M310" s="48" t="s">
        <v>2020</v>
      </c>
      <c r="N310" s="61" t="s">
        <v>2672</v>
      </c>
      <c r="O310" s="54" t="str" cm="1">
        <f t="array" ref="O310">_xlfn.LET(_xlpm.n,LOWER(E310),_xlpm.c,LOWER(B310),_xlpm.t,_xlfn.IFS(OR(ISNUMBER(SEARCH("lens",_xlpm.n)),ISNUMBER(SEARCH("optic",_xlpm.n)),ISNUMBER(SEARCH("polarizer",_xlpm.n))),"precision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"),E310&amp;" is "&amp;_xlpm.art&amp;_xlpm.t&amp;" from "&amp;C310&amp;" designed for application-specific laboratory, engineering or industrial use. It belongs to DIWAN's "&amp;B310&amp;" portfolio; final configuration must be selected against performance, integration and compliance requirements.")</f>
        <v>Electro-Mechanical Compaction of Plug / Core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10" s="54" t="str">
        <f t="shared" si="73"/>
        <v>Selection should confirm the model-specific operating range, capacity, accuracy, interfaces, utilities, accessories, standards, environmental limits and service requirements. Final capabilities depend on the approved Electro-Mechanical Compaction of Plug / Core configuration.</v>
      </c>
      <c r="Q310" s="54"/>
      <c r="R310" s="54" t="str">
        <f t="shared" si="74"/>
        <v>Porous Media &amp; Geomechanics applications; laboratory research, engineering development, quality control and industrial deployment where applicable. Suitability must be confirmed against the user's sample, process, environment and required standards.</v>
      </c>
      <c r="S310" s="54"/>
      <c r="T310" s="54" t="str">
        <f t="shared" si="75"/>
        <v>Electro-Mechanical Compaction of Plug / Core from Top Industrie</v>
      </c>
      <c r="U310" s="54"/>
      <c r="V310" s="54" t="s">
        <v>2673</v>
      </c>
      <c r="W310" s="54" t="str">
        <f t="shared" si="76"/>
        <v>See other Porous Media &amp; Geomechanics products</v>
      </c>
      <c r="X310" s="54" t="str">
        <f t="shared" si="77"/>
        <v>Porous Media &amp; Geomechanics enquiry → website group enquiry form → category owner assignment</v>
      </c>
      <c r="Y310" s="54" t="str">
        <f t="shared" si="78"/>
        <v>Electro-Mechanical Compaction of Plug / Core, Porous Media &amp; Geomechanics, Top Industrie, technical equipment, DIWAN</v>
      </c>
      <c r="Z310" s="54" t="s">
        <v>2278</v>
      </c>
      <c r="AA310" s="55">
        <v>46257</v>
      </c>
      <c r="AB310" s="54" t="s">
        <v>2465</v>
      </c>
      <c r="AC310" s="63" t="str">
        <f t="shared" si="79"/>
        <v>Content drafted - assets/specs pending</v>
      </c>
      <c r="AD31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0" s="58"/>
      <c r="AF310" s="58"/>
      <c r="AG310" s="58" t="s">
        <v>2467</v>
      </c>
      <c r="AH310" s="58" t="s">
        <v>2468</v>
      </c>
      <c r="AI310" s="58" t="s">
        <v>2469</v>
      </c>
    </row>
    <row r="311" spans="1:35" ht="42" customHeight="1" x14ac:dyDescent="0.35">
      <c r="A311" s="69">
        <f t="shared" si="70"/>
        <v>59</v>
      </c>
      <c r="B311" s="70" t="s">
        <v>338</v>
      </c>
      <c r="C311" s="71" t="s">
        <v>14</v>
      </c>
      <c r="D311" s="72" t="s">
        <v>15</v>
      </c>
      <c r="E311" s="45" t="s">
        <v>364</v>
      </c>
      <c r="F311" s="49" t="s">
        <v>3021</v>
      </c>
      <c r="G311" s="45" t="s">
        <v>3045</v>
      </c>
      <c r="H311" s="47">
        <v>46257</v>
      </c>
      <c r="I311" s="48" t="s">
        <v>1813</v>
      </c>
      <c r="J311" s="48" t="s">
        <v>1108</v>
      </c>
      <c r="K311" s="48" t="str">
        <f t="shared" si="71"/>
        <v>Large-Scale Gas Permeameter with X-Ray Tomography is a porous media &amp; geomechanics product from Top Industrie for application-specific laboratory, engineering or industrial use.</v>
      </c>
      <c r="L311" s="48" t="str">
        <f t="shared" si="72"/>
        <v>Large-Scale Gas Permeameter with X-Ray Tomography from Top Industrie for porous media &amp; geomechanics applications. Review configuration requirements and request technical information or a quotation from DIWAN.</v>
      </c>
      <c r="M311" s="48" t="s">
        <v>2020</v>
      </c>
      <c r="N311" s="61" t="s">
        <v>2672</v>
      </c>
      <c r="O311" s="54" t="str" cm="1">
        <f t="array" ref="O311">_xlfn.LET(_xlpm.n,LOWER(E311),_xlpm.c,LOWER(B311),_xlpm.t,_xlfn.IFS(OR(ISNUMBER(SEARCH("lens",_xlpm.n)),ISNUMBER(SEARCH("optic",_xlpm.n)),ISNUMBER(SEARCH("polarizer",_xlpm.n))),"precision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"),E311&amp;" is "&amp;_xlpm.art&amp;_xlpm.t&amp;" from "&amp;C311&amp;" designed for application-specific laboratory, engineering or industrial use. It belongs to DIWAN's "&amp;B311&amp;" portfolio; final configuration must be selected against performance, integration and compliance requirements.")</f>
        <v>Large-Scale Gas Permeameter with X-Ray Tomography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11" s="54" t="str">
        <f t="shared" si="73"/>
        <v>Selection should confirm the model-specific operating range, capacity, accuracy, interfaces, utilities, accessories, standards, environmental limits and service requirements. Final capabilities depend on the approved Large-Scale Gas Permeameter with X-Ray Tomography configuration.</v>
      </c>
      <c r="Q311" s="54"/>
      <c r="R311" s="54" t="str">
        <f t="shared" si="74"/>
        <v>Porous Media &amp; Geomechanics applications; laboratory research, engineering development, quality control and industrial deployment where applicable. Suitability must be confirmed against the user's sample, process, environment and required standards.</v>
      </c>
      <c r="S311" s="54"/>
      <c r="T311" s="54" t="str">
        <f t="shared" si="75"/>
        <v>Large-Scale Gas Permeameter with X-Ray Tomography from Top Industrie</v>
      </c>
      <c r="U311" s="54"/>
      <c r="V311" s="54" t="s">
        <v>2673</v>
      </c>
      <c r="W311" s="54" t="str">
        <f t="shared" si="76"/>
        <v>See other Porous Media &amp; Geomechanics products</v>
      </c>
      <c r="X311" s="54" t="str">
        <f t="shared" si="77"/>
        <v>Porous Media &amp; Geomechanics enquiry → website group enquiry form → category owner assignment</v>
      </c>
      <c r="Y311" s="54" t="str">
        <f t="shared" si="78"/>
        <v>Large-Scale Gas Permeameter with X-Ray Tomography, Porous Media &amp; Geomechanics, Top Industrie, technical equipment, DIWAN</v>
      </c>
      <c r="Z311" s="54" t="s">
        <v>2278</v>
      </c>
      <c r="AA311" s="55">
        <v>46257</v>
      </c>
      <c r="AB311" s="54" t="s">
        <v>2465</v>
      </c>
      <c r="AC311" s="63" t="str">
        <f t="shared" si="79"/>
        <v>Content drafted - assets/specs pending</v>
      </c>
      <c r="AD31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1" s="58"/>
      <c r="AF311" s="58"/>
      <c r="AG311" s="58" t="s">
        <v>2467</v>
      </c>
      <c r="AH311" s="58" t="s">
        <v>2468</v>
      </c>
      <c r="AI311" s="58" t="s">
        <v>2469</v>
      </c>
    </row>
    <row r="312" spans="1:35" ht="42" customHeight="1" thickBot="1" x14ac:dyDescent="0.4">
      <c r="A312" s="69">
        <f t="shared" si="70"/>
        <v>59</v>
      </c>
      <c r="B312" s="70" t="s">
        <v>338</v>
      </c>
      <c r="C312" s="71" t="s">
        <v>14</v>
      </c>
      <c r="D312" s="72" t="s">
        <v>15</v>
      </c>
      <c r="E312" s="45" t="s">
        <v>365</v>
      </c>
      <c r="F312" s="49" t="s">
        <v>3021</v>
      </c>
      <c r="G312" s="45" t="s">
        <v>3045</v>
      </c>
      <c r="H312" s="47">
        <v>46257</v>
      </c>
      <c r="I312" s="48" t="s">
        <v>1814</v>
      </c>
      <c r="J312" s="48" t="s">
        <v>1109</v>
      </c>
      <c r="K312" s="48" t="str">
        <f t="shared" si="71"/>
        <v>Foam Qualification Cell - DFCD is a porous media &amp; geomechanics product from Top Industrie for application-specific laboratory, engineering or industrial use.</v>
      </c>
      <c r="L312" s="48" t="str">
        <f t="shared" si="72"/>
        <v>Foam Qualification Cell - DFCD from Top Industrie for porous media &amp; geomechanics applications. Review configuration requirements and request technical information or a quotation from DIWAN.</v>
      </c>
      <c r="M312" s="48" t="s">
        <v>2020</v>
      </c>
      <c r="N312" s="61" t="s">
        <v>2672</v>
      </c>
      <c r="O312" s="54" t="str" cm="1">
        <f t="array" ref="O312">_xlfn.LET(_xlpm.n,LOWER(E312),_xlpm.c,LOWER(B312),_xlpm.t,_xlfn.IFS(OR(ISNUMBER(SEARCH("lens",_xlpm.n)),ISNUMBER(SEARCH("optic",_xlpm.n)),ISNUMBER(SEARCH("polarizer",_xlpm.n))),"precision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"),E312&amp;" is "&amp;_xlpm.art&amp;_xlpm.t&amp;" from "&amp;C312&amp;" designed for application-specific laboratory, engineering or industrial use. It belongs to DIWAN's "&amp;B312&amp;" portfolio; final configuration must be selected against performance, integration and compliance requirements.")</f>
        <v>Foam Qualification Cell - DFCD is a specialized porous media &amp; geomechanics product from Top Industrie designed for application-specific laboratory, engineering or industrial use. It belongs to DIWAN's Porous Media &amp; Geomechanics portfolio; final configuration must be selected against performance, integration and compliance requirements.</v>
      </c>
      <c r="P312" s="54" t="str">
        <f t="shared" si="73"/>
        <v>Selection should confirm the model-specific operating range, capacity, accuracy, interfaces, utilities, accessories, standards, environmental limits and service requirements. Final capabilities depend on the approved Foam Qualification Cell - DFCD configuration.</v>
      </c>
      <c r="Q312" s="54"/>
      <c r="R312" s="54" t="str">
        <f t="shared" si="74"/>
        <v>Porous Media &amp; Geomechanics applications; laboratory research, engineering development, quality control and industrial deployment where applicable. Suitability must be confirmed against the user's sample, process, environment and required standards.</v>
      </c>
      <c r="S312" s="54"/>
      <c r="T312" s="54" t="str">
        <f t="shared" si="75"/>
        <v>Foam Qualification Cell - DFCD from Top Industrie</v>
      </c>
      <c r="U312" s="54"/>
      <c r="V312" s="54" t="s">
        <v>2673</v>
      </c>
      <c r="W312" s="54" t="str">
        <f t="shared" si="76"/>
        <v>See other Porous Media &amp; Geomechanics products</v>
      </c>
      <c r="X312" s="54" t="str">
        <f t="shared" si="77"/>
        <v>Porous Media &amp; Geomechanics enquiry → website group enquiry form → category owner assignment</v>
      </c>
      <c r="Y312" s="54" t="str">
        <f t="shared" si="78"/>
        <v>Foam Qualification Cell - DFCD, Porous Media &amp; Geomechanics, Top Industrie, technical equipment, DIWAN</v>
      </c>
      <c r="Z312" s="54" t="s">
        <v>2278</v>
      </c>
      <c r="AA312" s="55">
        <v>46257</v>
      </c>
      <c r="AB312" s="54" t="s">
        <v>2465</v>
      </c>
      <c r="AC312" s="63" t="str">
        <f t="shared" si="79"/>
        <v>Content drafted - assets/specs pending</v>
      </c>
      <c r="AD312"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2" s="58"/>
      <c r="AF312" s="58"/>
      <c r="AG312" s="58" t="s">
        <v>2467</v>
      </c>
      <c r="AH312" s="58" t="s">
        <v>2468</v>
      </c>
      <c r="AI312" s="58" t="s">
        <v>2469</v>
      </c>
    </row>
    <row r="313" spans="1:35" ht="42" customHeight="1" x14ac:dyDescent="0.35">
      <c r="A313" s="69">
        <f t="shared" si="70"/>
        <v>60</v>
      </c>
      <c r="B313" s="74" t="s">
        <v>366</v>
      </c>
      <c r="C313" s="75" t="s">
        <v>14</v>
      </c>
      <c r="D313" s="76" t="s">
        <v>15</v>
      </c>
      <c r="E313" s="77" t="s">
        <v>367</v>
      </c>
      <c r="F313" s="86" t="s">
        <v>3022</v>
      </c>
      <c r="G313" s="77" t="s">
        <v>3045</v>
      </c>
      <c r="H313" s="79">
        <v>46257</v>
      </c>
      <c r="I313" s="80" t="s">
        <v>1815</v>
      </c>
      <c r="J313" s="80" t="s">
        <v>1110</v>
      </c>
      <c r="K313" s="80" t="str">
        <f t="shared" si="71"/>
        <v>Corrosion Duplex Static Cyclic Salt Water is a corrosion testing product from Top Industrie for application-specific laboratory, engineering or industrial use.</v>
      </c>
      <c r="L313" s="80" t="str">
        <f t="shared" si="72"/>
        <v>Corrosion Duplex Static Cyclic Salt Water from Top Industrie for corrosion testing applications. Review configuration requirements and request technical information or a quotation from DIWAN.</v>
      </c>
      <c r="M313" s="80" t="s">
        <v>2020</v>
      </c>
      <c r="N313" s="81" t="s">
        <v>2672</v>
      </c>
      <c r="O313" s="82" t="str" cm="1">
        <f t="array" ref="O313">_xlfn.LET(_xlpm.n,LOWER(E313),_xlpm.c,LOWER(B313),_xlpm.t,_xlfn.IFS(OR(ISNUMBER(SEARCH("lens",_xlpm.n)),ISNUMBER(SEARCH("optic",_xlpm.n)),ISNUMBER(SEARCH("polarizer",_xlpm.n))),"precision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"),E313&amp;" is "&amp;_xlpm.art&amp;_xlpm.t&amp;" from "&amp;C313&amp;" designed for application-specific laboratory, engineering or industrial use. It belongs to DIWAN's "&amp;B313&amp;" portfolio; final configuration must be selected against performance, integration and compliance requirements.")</f>
        <v>Corrosion Duplex Static Cyclic Salt Water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3" s="82" t="str">
        <f t="shared" si="73"/>
        <v>Selection should confirm the model-specific operating range, capacity, accuracy, interfaces, utilities, accessories, standards, environmental limits and service requirements. Final capabilities depend on the approved Corrosion Duplex Static Cyclic Salt Water configuration.</v>
      </c>
      <c r="Q313" s="82"/>
      <c r="R313" s="82" t="str">
        <f t="shared" si="74"/>
        <v>Corrosion Testing applications; laboratory research, engineering development, quality control and industrial deployment where applicable. Suitability must be confirmed against the user's sample, process, environment and required standards.</v>
      </c>
      <c r="S313" s="82"/>
      <c r="T313" s="82" t="str">
        <f t="shared" si="75"/>
        <v>Corrosion Duplex Static Cyclic Salt Water from Top Industrie</v>
      </c>
      <c r="U313" s="82"/>
      <c r="V313" s="82" t="s">
        <v>2673</v>
      </c>
      <c r="W313" s="82" t="str">
        <f t="shared" si="76"/>
        <v>See other Corrosion Testing products</v>
      </c>
      <c r="X313" s="82" t="str">
        <f t="shared" si="77"/>
        <v>Corrosion Testing enquiry → website group enquiry form → category owner assignment</v>
      </c>
      <c r="Y313" s="82" t="str">
        <f t="shared" si="78"/>
        <v>Corrosion Duplex Static Cyclic Salt Water, Corrosion Testing, Top Industrie, technical equipment, DIWAN</v>
      </c>
      <c r="Z313" s="82" t="s">
        <v>2279</v>
      </c>
      <c r="AA313" s="83">
        <v>46257</v>
      </c>
      <c r="AB313" s="82" t="s">
        <v>2465</v>
      </c>
      <c r="AC313" s="84" t="str">
        <f t="shared" si="79"/>
        <v>Content drafted - assets/specs pending</v>
      </c>
      <c r="AD313" s="82"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3" s="85"/>
      <c r="AF313" s="85"/>
      <c r="AG313" s="85" t="s">
        <v>2467</v>
      </c>
      <c r="AH313" s="85" t="s">
        <v>2468</v>
      </c>
      <c r="AI313" s="85" t="s">
        <v>2469</v>
      </c>
    </row>
    <row r="314" spans="1:35" ht="42" customHeight="1" x14ac:dyDescent="0.35">
      <c r="A314" s="69">
        <f t="shared" si="70"/>
        <v>60</v>
      </c>
      <c r="B314" s="70" t="s">
        <v>366</v>
      </c>
      <c r="C314" s="71" t="s">
        <v>14</v>
      </c>
      <c r="D314" s="72" t="s">
        <v>15</v>
      </c>
      <c r="E314" s="45" t="s">
        <v>368</v>
      </c>
      <c r="F314" s="49" t="s">
        <v>3022</v>
      </c>
      <c r="G314" s="45" t="s">
        <v>3045</v>
      </c>
      <c r="H314" s="47">
        <v>46257</v>
      </c>
      <c r="I314" s="48" t="s">
        <v>1816</v>
      </c>
      <c r="J314" s="48" t="s">
        <v>1111</v>
      </c>
      <c r="K314" s="48" t="str">
        <f t="shared" si="71"/>
        <v>Sulfide Stress Cracking Corrosion Test Cells is a corrosion testing product from Top Industrie for application-specific laboratory, engineering or industrial use.</v>
      </c>
      <c r="L314" s="48" t="str">
        <f t="shared" si="72"/>
        <v>Sulfide Stress Cracking Corrosion Test Cells from Top Industrie for corrosion testing applications. Review configuration requirements and request technical information or a quotation from DIWAN.</v>
      </c>
      <c r="M314" s="48" t="s">
        <v>2020</v>
      </c>
      <c r="N314" s="61" t="s">
        <v>2672</v>
      </c>
      <c r="O314" s="54" t="str" cm="1">
        <f t="array" ref="O314">_xlfn.LET(_xlpm.n,LOWER(E314),_xlpm.c,LOWER(B314),_xlpm.t,_xlfn.IFS(OR(ISNUMBER(SEARCH("lens",_xlpm.n)),ISNUMBER(SEARCH("optic",_xlpm.n)),ISNUMBER(SEARCH("polarizer",_xlpm.n))),"precision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"),E314&amp;" is "&amp;_xlpm.art&amp;_xlpm.t&amp;" from "&amp;C314&amp;" designed for application-specific laboratory, engineering or industrial use. It belongs to DIWAN's "&amp;B314&amp;" portfolio; final configuration must be selected against performance, integration and compliance requirements.")</f>
        <v>Sulfide Stress Cracking Corrosion Test Cells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4" s="54" t="str">
        <f t="shared" si="73"/>
        <v>Selection should confirm the model-specific operating range, capacity, accuracy, interfaces, utilities, accessories, standards, environmental limits and service requirements. Final capabilities depend on the approved Sulfide Stress Cracking Corrosion Test Cells configuration.</v>
      </c>
      <c r="Q314" s="54"/>
      <c r="R314" s="54" t="str">
        <f t="shared" si="74"/>
        <v>Corrosion Testing applications; laboratory research, engineering development, quality control and industrial deployment where applicable. Suitability must be confirmed against the user's sample, process, environment and required standards.</v>
      </c>
      <c r="S314" s="54"/>
      <c r="T314" s="54" t="str">
        <f t="shared" si="75"/>
        <v>Sulfide Stress Cracking Corrosion Test Cells from Top Industrie</v>
      </c>
      <c r="U314" s="54"/>
      <c r="V314" s="54" t="s">
        <v>2673</v>
      </c>
      <c r="W314" s="54" t="str">
        <f t="shared" si="76"/>
        <v>See other Corrosion Testing products</v>
      </c>
      <c r="X314" s="54" t="str">
        <f t="shared" si="77"/>
        <v>Corrosion Testing enquiry → website group enquiry form → category owner assignment</v>
      </c>
      <c r="Y314" s="54" t="str">
        <f t="shared" si="78"/>
        <v>Sulfide Stress Cracking Corrosion Test Cells, Corrosion Testing, Top Industrie, technical equipment, DIWAN</v>
      </c>
      <c r="Z314" s="54" t="s">
        <v>2279</v>
      </c>
      <c r="AA314" s="55">
        <v>46257</v>
      </c>
      <c r="AB314" s="54" t="s">
        <v>2465</v>
      </c>
      <c r="AC314" s="63" t="str">
        <f t="shared" si="79"/>
        <v>Content drafted - assets/specs pending</v>
      </c>
      <c r="AD31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4" s="58"/>
      <c r="AF314" s="58"/>
      <c r="AG314" s="58" t="s">
        <v>2467</v>
      </c>
      <c r="AH314" s="58" t="s">
        <v>2468</v>
      </c>
      <c r="AI314" s="58" t="s">
        <v>2469</v>
      </c>
    </row>
    <row r="315" spans="1:35" ht="42" customHeight="1" x14ac:dyDescent="0.35">
      <c r="A315" s="69">
        <f t="shared" si="70"/>
        <v>60</v>
      </c>
      <c r="B315" s="70" t="s">
        <v>366</v>
      </c>
      <c r="C315" s="71" t="s">
        <v>14</v>
      </c>
      <c r="D315" s="72" t="s">
        <v>15</v>
      </c>
      <c r="E315" s="45" t="s">
        <v>369</v>
      </c>
      <c r="F315" s="49" t="s">
        <v>3022</v>
      </c>
      <c r="G315" s="45" t="s">
        <v>3045</v>
      </c>
      <c r="H315" s="47">
        <v>46257</v>
      </c>
      <c r="I315" s="48" t="s">
        <v>1817</v>
      </c>
      <c r="J315" s="48" t="s">
        <v>1112</v>
      </c>
      <c r="K315" s="48" t="str">
        <f t="shared" si="71"/>
        <v>Horizontal Test Vessels is a corrosion testing product from Top Industrie for application-specific laboratory, engineering or industrial use.</v>
      </c>
      <c r="L315" s="48" t="str">
        <f t="shared" si="72"/>
        <v>Horizontal Test Vessels from Top Industrie for corrosion testing applications. Review configuration requirements and request technical information or a quotation from DIWAN.</v>
      </c>
      <c r="M315" s="48" t="s">
        <v>2020</v>
      </c>
      <c r="N315" s="61" t="s">
        <v>2672</v>
      </c>
      <c r="O315" s="54" t="str" cm="1">
        <f t="array" ref="O315">_xlfn.LET(_xlpm.n,LOWER(E315),_xlpm.c,LOWER(B315),_xlpm.t,_xlfn.IFS(OR(ISNUMBER(SEARCH("lens",_xlpm.n)),ISNUMBER(SEARCH("optic",_xlpm.n)),ISNUMBER(SEARCH("polarizer",_xlpm.n))),"precision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"),E315&amp;" is "&amp;_xlpm.art&amp;_xlpm.t&amp;" from "&amp;C315&amp;" designed for application-specific laboratory, engineering or industrial use. It belongs to DIWAN's "&amp;B315&amp;" portfolio; final configuration must be selected against performance, integration and compliance requirements.")</f>
        <v>Horizontal Test Vessels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5" s="54" t="str">
        <f t="shared" si="73"/>
        <v>Selection should confirm the model-specific operating range, capacity, accuracy, interfaces, utilities, accessories, standards, environmental limits and service requirements. Final capabilities depend on the approved Horizontal Test Vessels configuration.</v>
      </c>
      <c r="Q315" s="54"/>
      <c r="R315" s="54" t="str">
        <f t="shared" si="74"/>
        <v>Corrosion Testing applications; laboratory research, engineering development, quality control and industrial deployment where applicable. Suitability must be confirmed against the user's sample, process, environment and required standards.</v>
      </c>
      <c r="S315" s="54"/>
      <c r="T315" s="54" t="str">
        <f t="shared" si="75"/>
        <v>Horizontal Test Vessels from Top Industrie</v>
      </c>
      <c r="U315" s="54"/>
      <c r="V315" s="54" t="s">
        <v>2673</v>
      </c>
      <c r="W315" s="54" t="str">
        <f t="shared" si="76"/>
        <v>See other Corrosion Testing products</v>
      </c>
      <c r="X315" s="54" t="str">
        <f t="shared" si="77"/>
        <v>Corrosion Testing enquiry → website group enquiry form → category owner assignment</v>
      </c>
      <c r="Y315" s="54" t="str">
        <f t="shared" si="78"/>
        <v>Horizontal Test Vessels, Corrosion Testing, Top Industrie, technical equipment, DIWAN</v>
      </c>
      <c r="Z315" s="54" t="s">
        <v>2279</v>
      </c>
      <c r="AA315" s="55">
        <v>46257</v>
      </c>
      <c r="AB315" s="54" t="s">
        <v>2465</v>
      </c>
      <c r="AC315" s="63" t="str">
        <f t="shared" si="79"/>
        <v>Content drafted - assets/specs pending</v>
      </c>
      <c r="AD31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5" s="58"/>
      <c r="AF315" s="58"/>
      <c r="AG315" s="58" t="s">
        <v>2467</v>
      </c>
      <c r="AH315" s="58" t="s">
        <v>2468</v>
      </c>
      <c r="AI315" s="58" t="s">
        <v>2469</v>
      </c>
    </row>
    <row r="316" spans="1:35" ht="42" customHeight="1" x14ac:dyDescent="0.35">
      <c r="A316" s="69">
        <f t="shared" si="70"/>
        <v>60</v>
      </c>
      <c r="B316" s="70" t="s">
        <v>366</v>
      </c>
      <c r="C316" s="71" t="s">
        <v>14</v>
      </c>
      <c r="D316" s="72" t="s">
        <v>15</v>
      </c>
      <c r="E316" s="45" t="s">
        <v>370</v>
      </c>
      <c r="F316" s="49" t="s">
        <v>3022</v>
      </c>
      <c r="G316" s="45" t="s">
        <v>3045</v>
      </c>
      <c r="H316" s="47">
        <v>46257</v>
      </c>
      <c r="I316" s="48" t="s">
        <v>1818</v>
      </c>
      <c r="J316" s="48" t="s">
        <v>1113</v>
      </c>
      <c r="K316" s="48" t="str">
        <f t="shared" si="71"/>
        <v>Test Loop is a corrosion testing product from Top Industrie for application-specific laboratory, engineering or industrial use.</v>
      </c>
      <c r="L316" s="48" t="str">
        <f t="shared" si="72"/>
        <v>Test Loop from Top Industrie for corrosion testing applications. Review configuration requirements and request technical information or a quotation from DIWAN.</v>
      </c>
      <c r="M316" s="48" t="s">
        <v>2020</v>
      </c>
      <c r="N316" s="61" t="s">
        <v>2672</v>
      </c>
      <c r="O316" s="54" t="str" cm="1">
        <f t="array" ref="O316">_xlfn.LET(_xlpm.n,LOWER(E316),_xlpm.c,LOWER(B316),_xlpm.t,_xlfn.IFS(OR(ISNUMBER(SEARCH("lens",_xlpm.n)),ISNUMBER(SEARCH("optic",_xlpm.n)),ISNUMBER(SEARCH("polarizer",_xlpm.n))),"precision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"),E316&amp;" is "&amp;_xlpm.art&amp;_xlpm.t&amp;" from "&amp;C316&amp;" designed for application-specific laboratory, engineering or industrial use. It belongs to DIWAN's "&amp;B316&amp;" portfolio; final configuration must be selected against performance, integration and compliance requirements.")</f>
        <v>Test Loop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6" s="54" t="str">
        <f t="shared" si="73"/>
        <v>Selection should confirm the model-specific operating range, capacity, accuracy, interfaces, utilities, accessories, standards, environmental limits and service requirements. Final capabilities depend on the approved Test Loop configuration.</v>
      </c>
      <c r="Q316" s="54"/>
      <c r="R316" s="54" t="str">
        <f t="shared" si="74"/>
        <v>Corrosion Testing applications; laboratory research, engineering development, quality control and industrial deployment where applicable. Suitability must be confirmed against the user's sample, process, environment and required standards.</v>
      </c>
      <c r="S316" s="54"/>
      <c r="T316" s="54" t="str">
        <f t="shared" si="75"/>
        <v>Test Loop from Top Industrie</v>
      </c>
      <c r="U316" s="54"/>
      <c r="V316" s="54" t="s">
        <v>2673</v>
      </c>
      <c r="W316" s="54" t="str">
        <f t="shared" si="76"/>
        <v>See other Corrosion Testing products</v>
      </c>
      <c r="X316" s="54" t="str">
        <f t="shared" si="77"/>
        <v>Corrosion Testing enquiry → website group enquiry form → category owner assignment</v>
      </c>
      <c r="Y316" s="54" t="str">
        <f t="shared" si="78"/>
        <v>Test Loop, Corrosion Testing, Top Industrie, technical equipment, DIWAN</v>
      </c>
      <c r="Z316" s="54" t="s">
        <v>2279</v>
      </c>
      <c r="AA316" s="55">
        <v>46257</v>
      </c>
      <c r="AB316" s="54" t="s">
        <v>2465</v>
      </c>
      <c r="AC316" s="63" t="str">
        <f t="shared" si="79"/>
        <v>Content drafted - assets/specs pending</v>
      </c>
      <c r="AD31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6" s="58"/>
      <c r="AF316" s="58"/>
      <c r="AG316" s="58" t="s">
        <v>2467</v>
      </c>
      <c r="AH316" s="58" t="s">
        <v>2468</v>
      </c>
      <c r="AI316" s="58" t="s">
        <v>2469</v>
      </c>
    </row>
    <row r="317" spans="1:35" ht="42" customHeight="1" x14ac:dyDescent="0.35">
      <c r="A317" s="69">
        <f t="shared" si="70"/>
        <v>60</v>
      </c>
      <c r="B317" s="70" t="s">
        <v>366</v>
      </c>
      <c r="C317" s="71" t="s">
        <v>14</v>
      </c>
      <c r="D317" s="72" t="s">
        <v>15</v>
      </c>
      <c r="E317" s="45" t="s">
        <v>371</v>
      </c>
      <c r="F317" s="49" t="s">
        <v>3022</v>
      </c>
      <c r="G317" s="45" t="s">
        <v>3045</v>
      </c>
      <c r="H317" s="47">
        <v>46257</v>
      </c>
      <c r="I317" s="48" t="s">
        <v>1819</v>
      </c>
      <c r="J317" s="48" t="s">
        <v>1114</v>
      </c>
      <c r="K317" s="48" t="str">
        <f t="shared" si="71"/>
        <v>HP/HT Scratching Device is a corrosion testing product from Top Industrie for application-specific laboratory, engineering or industrial use.</v>
      </c>
      <c r="L317" s="48" t="str">
        <f t="shared" si="72"/>
        <v>HP/HT Scratching Device from Top Industrie for corrosion testing applications. Review configuration requirements and request technical information or a quotation from DIWAN.</v>
      </c>
      <c r="M317" s="48" t="s">
        <v>2020</v>
      </c>
      <c r="N317" s="61" t="s">
        <v>2672</v>
      </c>
      <c r="O317" s="54" t="str" cm="1">
        <f t="array" ref="O317">_xlfn.LET(_xlpm.n,LOWER(E317),_xlpm.c,LOWER(B317),_xlpm.t,_xlfn.IFS(OR(ISNUMBER(SEARCH("lens",_xlpm.n)),ISNUMBER(SEARCH("optic",_xlpm.n)),ISNUMBER(SEARCH("polarizer",_xlpm.n))),"precision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"),E317&amp;" is "&amp;_xlpm.art&amp;_xlpm.t&amp;" from "&amp;C317&amp;" designed for application-specific laboratory, engineering or industrial use. It belongs to DIWAN's "&amp;B317&amp;" portfolio; final configuration must be selected against performance, integration and compliance requirements.")</f>
        <v>HP/HT Scratching Device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7" s="54" t="str">
        <f t="shared" si="73"/>
        <v>Selection should confirm the model-specific operating range, capacity, accuracy, interfaces, utilities, accessories, standards, environmental limits and service requirements. Final capabilities depend on the approved HP/HT Scratching Device configuration.</v>
      </c>
      <c r="Q317" s="54"/>
      <c r="R317" s="54" t="str">
        <f t="shared" si="74"/>
        <v>Corrosion Testing applications; laboratory research, engineering development, quality control and industrial deployment where applicable. Suitability must be confirmed against the user's sample, process, environment and required standards.</v>
      </c>
      <c r="S317" s="54"/>
      <c r="T317" s="54" t="str">
        <f t="shared" si="75"/>
        <v>HP/HT Scratching Device from Top Industrie</v>
      </c>
      <c r="U317" s="54"/>
      <c r="V317" s="54" t="s">
        <v>2673</v>
      </c>
      <c r="W317" s="54" t="str">
        <f t="shared" si="76"/>
        <v>See other Corrosion Testing products</v>
      </c>
      <c r="X317" s="54" t="str">
        <f t="shared" si="77"/>
        <v>Corrosion Testing enquiry → website group enquiry form → category owner assignment</v>
      </c>
      <c r="Y317" s="54" t="str">
        <f t="shared" si="78"/>
        <v>HP/HT Scratching Device, Corrosion Testing, Top Industrie, technical equipment, DIWAN</v>
      </c>
      <c r="Z317" s="54" t="s">
        <v>2279</v>
      </c>
      <c r="AA317" s="55">
        <v>46257</v>
      </c>
      <c r="AB317" s="54" t="s">
        <v>2465</v>
      </c>
      <c r="AC317" s="63" t="str">
        <f t="shared" si="79"/>
        <v>Content drafted - assets/specs pending</v>
      </c>
      <c r="AD31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7" s="58"/>
      <c r="AF317" s="58"/>
      <c r="AG317" s="58" t="s">
        <v>2467</v>
      </c>
      <c r="AH317" s="58" t="s">
        <v>2468</v>
      </c>
      <c r="AI317" s="58" t="s">
        <v>2469</v>
      </c>
    </row>
    <row r="318" spans="1:35" ht="42" customHeight="1" x14ac:dyDescent="0.35">
      <c r="A318" s="69">
        <f t="shared" si="70"/>
        <v>60</v>
      </c>
      <c r="B318" s="70" t="s">
        <v>366</v>
      </c>
      <c r="C318" s="71" t="s">
        <v>14</v>
      </c>
      <c r="D318" s="72" t="s">
        <v>15</v>
      </c>
      <c r="E318" s="45" t="s">
        <v>372</v>
      </c>
      <c r="F318" s="49" t="s">
        <v>3022</v>
      </c>
      <c r="G318" s="45" t="s">
        <v>3045</v>
      </c>
      <c r="H318" s="47">
        <v>46257</v>
      </c>
      <c r="I318" s="48" t="s">
        <v>1820</v>
      </c>
      <c r="J318" s="48" t="s">
        <v>1115</v>
      </c>
      <c r="K318" s="48" t="str">
        <f t="shared" si="71"/>
        <v>Basic Dynamic Loop is a corrosion testing product from Top Industrie for application-specific laboratory, engineering or industrial use.</v>
      </c>
      <c r="L318" s="48" t="str">
        <f t="shared" si="72"/>
        <v>Basic Dynamic Loop from Top Industrie for corrosion testing applications. Review configuration requirements and request technical information or a quotation from DIWAN.</v>
      </c>
      <c r="M318" s="48" t="s">
        <v>2020</v>
      </c>
      <c r="N318" s="61" t="s">
        <v>2672</v>
      </c>
      <c r="O318" s="54" t="str" cm="1">
        <f t="array" ref="O318">_xlfn.LET(_xlpm.n,LOWER(E318),_xlpm.c,LOWER(B318),_xlpm.t,_xlfn.IFS(OR(ISNUMBER(SEARCH("lens",_xlpm.n)),ISNUMBER(SEARCH("optic",_xlpm.n)),ISNUMBER(SEARCH("polarizer",_xlpm.n))),"precision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"),E318&amp;" is "&amp;_xlpm.art&amp;_xlpm.t&amp;" from "&amp;C318&amp;" designed for application-specific laboratory, engineering or industrial use. It belongs to DIWAN's "&amp;B318&amp;" portfolio; final configuration must be selected against performance, integration and compliance requirements.")</f>
        <v>Basic Dynamic Loop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8" s="54" t="str">
        <f t="shared" si="73"/>
        <v>Selection should confirm the model-specific operating range, capacity, accuracy, interfaces, utilities, accessories, standards, environmental limits and service requirements. Final capabilities depend on the approved Basic Dynamic Loop configuration.</v>
      </c>
      <c r="Q318" s="54"/>
      <c r="R318" s="54" t="str">
        <f t="shared" si="74"/>
        <v>Corrosion Testing applications; laboratory research, engineering development, quality control and industrial deployment where applicable. Suitability must be confirmed against the user's sample, process, environment and required standards.</v>
      </c>
      <c r="S318" s="54"/>
      <c r="T318" s="54" t="str">
        <f t="shared" si="75"/>
        <v>Basic Dynamic Loop from Top Industrie</v>
      </c>
      <c r="U318" s="54"/>
      <c r="V318" s="54" t="s">
        <v>2673</v>
      </c>
      <c r="W318" s="54" t="str">
        <f t="shared" si="76"/>
        <v>See other Corrosion Testing products</v>
      </c>
      <c r="X318" s="54" t="str">
        <f t="shared" si="77"/>
        <v>Corrosion Testing enquiry → website group enquiry form → category owner assignment</v>
      </c>
      <c r="Y318" s="54" t="str">
        <f t="shared" si="78"/>
        <v>Basic Dynamic Loop, Corrosion Testing, Top Industrie, technical equipment, DIWAN</v>
      </c>
      <c r="Z318" s="54" t="s">
        <v>2279</v>
      </c>
      <c r="AA318" s="55">
        <v>46257</v>
      </c>
      <c r="AB318" s="54" t="s">
        <v>2465</v>
      </c>
      <c r="AC318" s="63" t="str">
        <f t="shared" si="79"/>
        <v>Content drafted - assets/specs pending</v>
      </c>
      <c r="AD31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8" s="58"/>
      <c r="AF318" s="58"/>
      <c r="AG318" s="58" t="s">
        <v>2467</v>
      </c>
      <c r="AH318" s="58" t="s">
        <v>2468</v>
      </c>
      <c r="AI318" s="58" t="s">
        <v>2469</v>
      </c>
    </row>
    <row r="319" spans="1:35" ht="42" customHeight="1" x14ac:dyDescent="0.35">
      <c r="A319" s="69">
        <f t="shared" si="70"/>
        <v>60</v>
      </c>
      <c r="B319" s="70" t="s">
        <v>366</v>
      </c>
      <c r="C319" s="71" t="s">
        <v>14</v>
      </c>
      <c r="D319" s="72" t="s">
        <v>15</v>
      </c>
      <c r="E319" s="45" t="s">
        <v>373</v>
      </c>
      <c r="F319" s="49" t="s">
        <v>3022</v>
      </c>
      <c r="G319" s="45" t="s">
        <v>3045</v>
      </c>
      <c r="H319" s="47">
        <v>46257</v>
      </c>
      <c r="I319" s="48" t="s">
        <v>1821</v>
      </c>
      <c r="J319" s="48" t="s">
        <v>1116</v>
      </c>
      <c r="K319" s="48" t="str">
        <f t="shared" si="71"/>
        <v>Dynamic Loop with Mass Loss Device is a corrosion testing product from Top Industrie for application-specific laboratory, engineering or industrial use.</v>
      </c>
      <c r="L319" s="48" t="str">
        <f t="shared" si="72"/>
        <v>Dynamic Loop with Mass Loss Device from Top Industrie for corrosion testing applications. Review configuration requirements and request technical information or a quotation from DIWAN.</v>
      </c>
      <c r="M319" s="48" t="s">
        <v>2020</v>
      </c>
      <c r="N319" s="61" t="s">
        <v>2672</v>
      </c>
      <c r="O319" s="54" t="str" cm="1">
        <f t="array" ref="O319">_xlfn.LET(_xlpm.n,LOWER(E319),_xlpm.c,LOWER(B319),_xlpm.t,_xlfn.IFS(OR(ISNUMBER(SEARCH("lens",_xlpm.n)),ISNUMBER(SEARCH("optic",_xlpm.n)),ISNUMBER(SEARCH("polarizer",_xlpm.n))),"precision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"),E319&amp;" is "&amp;_xlpm.art&amp;_xlpm.t&amp;" from "&amp;C319&amp;" designed for application-specific laboratory, engineering or industrial use. It belongs to DIWAN's "&amp;B319&amp;" portfolio; final configuration must be selected against performance, integration and compliance requirements.")</f>
        <v>Dynamic Loop with Mass Loss Device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19" s="54" t="str">
        <f t="shared" si="73"/>
        <v>Selection should confirm the model-specific operating range, capacity, accuracy, interfaces, utilities, accessories, standards, environmental limits and service requirements. Final capabilities depend on the approved Dynamic Loop with Mass Loss Device configuration.</v>
      </c>
      <c r="Q319" s="54"/>
      <c r="R319" s="54" t="str">
        <f t="shared" si="74"/>
        <v>Corrosion Testing applications; laboratory research, engineering development, quality control and industrial deployment where applicable. Suitability must be confirmed against the user's sample, process, environment and required standards.</v>
      </c>
      <c r="S319" s="54"/>
      <c r="T319" s="54" t="str">
        <f t="shared" si="75"/>
        <v>Dynamic Loop with Mass Loss Device from Top Industrie</v>
      </c>
      <c r="U319" s="54"/>
      <c r="V319" s="54" t="s">
        <v>2673</v>
      </c>
      <c r="W319" s="54" t="str">
        <f t="shared" si="76"/>
        <v>See other Corrosion Testing products</v>
      </c>
      <c r="X319" s="54" t="str">
        <f t="shared" si="77"/>
        <v>Corrosion Testing enquiry → website group enquiry form → category owner assignment</v>
      </c>
      <c r="Y319" s="54" t="str">
        <f t="shared" si="78"/>
        <v>Dynamic Loop with Mass Loss Device, Corrosion Testing, Top Industrie, technical equipment, DIWAN</v>
      </c>
      <c r="Z319" s="54" t="s">
        <v>2279</v>
      </c>
      <c r="AA319" s="55">
        <v>46257</v>
      </c>
      <c r="AB319" s="54" t="s">
        <v>2465</v>
      </c>
      <c r="AC319" s="63" t="str">
        <f t="shared" si="79"/>
        <v>Content drafted - assets/specs pending</v>
      </c>
      <c r="AD31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19" s="58"/>
      <c r="AF319" s="58"/>
      <c r="AG319" s="58" t="s">
        <v>2467</v>
      </c>
      <c r="AH319" s="58" t="s">
        <v>2468</v>
      </c>
      <c r="AI319" s="58" t="s">
        <v>2469</v>
      </c>
    </row>
    <row r="320" spans="1:35" ht="42" customHeight="1" x14ac:dyDescent="0.35">
      <c r="A320" s="69">
        <f t="shared" si="70"/>
        <v>60</v>
      </c>
      <c r="B320" s="70" t="s">
        <v>366</v>
      </c>
      <c r="C320" s="71" t="s">
        <v>14</v>
      </c>
      <c r="D320" s="72" t="s">
        <v>15</v>
      </c>
      <c r="E320" s="45" t="s">
        <v>374</v>
      </c>
      <c r="F320" s="49" t="s">
        <v>3022</v>
      </c>
      <c r="G320" s="45" t="s">
        <v>3045</v>
      </c>
      <c r="H320" s="47">
        <v>46257</v>
      </c>
      <c r="I320" s="48" t="s">
        <v>1822</v>
      </c>
      <c r="J320" s="48" t="s">
        <v>1117</v>
      </c>
      <c r="K320" s="48" t="str">
        <f t="shared" si="71"/>
        <v>Full Option Dynamic Loop is a corrosion testing product from Top Industrie for application-specific laboratory, engineering or industrial use.</v>
      </c>
      <c r="L320" s="48" t="str">
        <f t="shared" si="72"/>
        <v>Full Option Dynamic Loop from Top Industrie for corrosion testing applications. Review configuration requirements and request technical information or a quotation from DIWAN.</v>
      </c>
      <c r="M320" s="48" t="s">
        <v>2020</v>
      </c>
      <c r="N320" s="61" t="s">
        <v>2672</v>
      </c>
      <c r="O320" s="54" t="str" cm="1">
        <f t="array" ref="O320">_xlfn.LET(_xlpm.n,LOWER(E320),_xlpm.c,LOWER(B320),_xlpm.t,_xlfn.IFS(OR(ISNUMBER(SEARCH("lens",_xlpm.n)),ISNUMBER(SEARCH("optic",_xlpm.n)),ISNUMBER(SEARCH("polarizer",_xlpm.n))),"precision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"),E320&amp;" is "&amp;_xlpm.art&amp;_xlpm.t&amp;" from "&amp;C320&amp;" designed for application-specific laboratory, engineering or industrial use. It belongs to DIWAN's "&amp;B320&amp;" portfolio; final configuration must be selected against performance, integration and compliance requirements.")</f>
        <v>Full Option Dynamic Loop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20" s="54" t="str">
        <f t="shared" si="73"/>
        <v>Selection should confirm the model-specific operating range, capacity, accuracy, interfaces, utilities, accessories, standards, environmental limits and service requirements. Final capabilities depend on the approved Full Option Dynamic Loop configuration.</v>
      </c>
      <c r="Q320" s="54"/>
      <c r="R320" s="54" t="str">
        <f t="shared" si="74"/>
        <v>Corrosion Testing applications; laboratory research, engineering development, quality control and industrial deployment where applicable. Suitability must be confirmed against the user's sample, process, environment and required standards.</v>
      </c>
      <c r="S320" s="54"/>
      <c r="T320" s="54" t="str">
        <f t="shared" si="75"/>
        <v>Full Option Dynamic Loop from Top Industrie</v>
      </c>
      <c r="U320" s="54"/>
      <c r="V320" s="54" t="s">
        <v>2673</v>
      </c>
      <c r="W320" s="54" t="str">
        <f t="shared" si="76"/>
        <v>See other Corrosion Testing products</v>
      </c>
      <c r="X320" s="54" t="str">
        <f t="shared" si="77"/>
        <v>Corrosion Testing enquiry → website group enquiry form → category owner assignment</v>
      </c>
      <c r="Y320" s="54" t="str">
        <f t="shared" si="78"/>
        <v>Full Option Dynamic Loop, Corrosion Testing, Top Industrie, technical equipment, DIWAN</v>
      </c>
      <c r="Z320" s="54" t="s">
        <v>2279</v>
      </c>
      <c r="AA320" s="55">
        <v>46257</v>
      </c>
      <c r="AB320" s="54" t="s">
        <v>2465</v>
      </c>
      <c r="AC320" s="63" t="str">
        <f t="shared" si="79"/>
        <v>Content drafted - assets/specs pending</v>
      </c>
      <c r="AD32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0" s="58"/>
      <c r="AF320" s="58"/>
      <c r="AG320" s="58" t="s">
        <v>2467</v>
      </c>
      <c r="AH320" s="58" t="s">
        <v>2468</v>
      </c>
      <c r="AI320" s="58" t="s">
        <v>2469</v>
      </c>
    </row>
    <row r="321" spans="1:35" ht="42" customHeight="1" x14ac:dyDescent="0.35">
      <c r="A321" s="69">
        <f t="shared" si="70"/>
        <v>60</v>
      </c>
      <c r="B321" s="70" t="s">
        <v>366</v>
      </c>
      <c r="C321" s="71" t="s">
        <v>14</v>
      </c>
      <c r="D321" s="72" t="s">
        <v>15</v>
      </c>
      <c r="E321" s="45" t="s">
        <v>375</v>
      </c>
      <c r="F321" s="49" t="s">
        <v>3022</v>
      </c>
      <c r="G321" s="45" t="s">
        <v>3045</v>
      </c>
      <c r="H321" s="47">
        <v>46257</v>
      </c>
      <c r="I321" s="48" t="s">
        <v>1823</v>
      </c>
      <c r="J321" s="48" t="s">
        <v>1118</v>
      </c>
      <c r="K321" s="48" t="str">
        <f t="shared" si="71"/>
        <v>Graphene Coating Corrosion Resistance is a corrosion testing product from Top Industrie for application-specific laboratory, engineering or industrial use.</v>
      </c>
      <c r="L321" s="48" t="str">
        <f t="shared" si="72"/>
        <v>Graphene Coating Corrosion Resistance from Top Industrie for corrosion testing applications. Review configuration requirements and request technical information or a quotation from DIWAN.</v>
      </c>
      <c r="M321" s="48" t="s">
        <v>2020</v>
      </c>
      <c r="N321" s="61" t="s">
        <v>2672</v>
      </c>
      <c r="O321" s="54" t="str" cm="1">
        <f t="array" ref="O321">_xlfn.LET(_xlpm.n,LOWER(E321),_xlpm.c,LOWER(B321),_xlpm.t,_xlfn.IFS(OR(ISNUMBER(SEARCH("lens",_xlpm.n)),ISNUMBER(SEARCH("optic",_xlpm.n)),ISNUMBER(SEARCH("polarizer",_xlpm.n))),"precision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"),E321&amp;" is "&amp;_xlpm.art&amp;_xlpm.t&amp;" from "&amp;C321&amp;" designed for application-specific laboratory, engineering or industrial use. It belongs to DIWAN's "&amp;B321&amp;" portfolio; final configuration must be selected against performance, integration and compliance requirements.")</f>
        <v>Graphene Coating Corrosion Resistance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21" s="54" t="str">
        <f t="shared" si="73"/>
        <v>Selection should confirm the model-specific operating range, capacity, accuracy, interfaces, utilities, accessories, standards, environmental limits and service requirements. Final capabilities depend on the approved Graphene Coating Corrosion Resistance configuration.</v>
      </c>
      <c r="Q321" s="54"/>
      <c r="R321" s="54" t="str">
        <f t="shared" si="74"/>
        <v>Corrosion Testing applications; laboratory research, engineering development, quality control and industrial deployment where applicable. Suitability must be confirmed against the user's sample, process, environment and required standards.</v>
      </c>
      <c r="S321" s="54"/>
      <c r="T321" s="54" t="str">
        <f t="shared" si="75"/>
        <v>Graphene Coating Corrosion Resistance from Top Industrie</v>
      </c>
      <c r="U321" s="54"/>
      <c r="V321" s="54" t="s">
        <v>2673</v>
      </c>
      <c r="W321" s="54" t="str">
        <f t="shared" si="76"/>
        <v>See other Corrosion Testing products</v>
      </c>
      <c r="X321" s="54" t="str">
        <f t="shared" si="77"/>
        <v>Corrosion Testing enquiry → website group enquiry form → category owner assignment</v>
      </c>
      <c r="Y321" s="54" t="str">
        <f t="shared" si="78"/>
        <v>Graphene Coating Corrosion Resistance, Corrosion Testing, Top Industrie, technical equipment, DIWAN</v>
      </c>
      <c r="Z321" s="54" t="s">
        <v>2279</v>
      </c>
      <c r="AA321" s="55">
        <v>46257</v>
      </c>
      <c r="AB321" s="54" t="s">
        <v>2465</v>
      </c>
      <c r="AC321" s="63" t="str">
        <f t="shared" si="79"/>
        <v>Content drafted - assets/specs pending</v>
      </c>
      <c r="AD32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1" s="58"/>
      <c r="AF321" s="58"/>
      <c r="AG321" s="58" t="s">
        <v>2467</v>
      </c>
      <c r="AH321" s="58" t="s">
        <v>2468</v>
      </c>
      <c r="AI321" s="58" t="s">
        <v>2469</v>
      </c>
    </row>
    <row r="322" spans="1:35" ht="42" customHeight="1" thickBot="1" x14ac:dyDescent="0.4">
      <c r="A322" s="69">
        <f t="shared" si="70"/>
        <v>60</v>
      </c>
      <c r="B322" s="70" t="s">
        <v>366</v>
      </c>
      <c r="C322" s="71" t="s">
        <v>14</v>
      </c>
      <c r="D322" s="72" t="s">
        <v>15</v>
      </c>
      <c r="E322" s="45" t="s">
        <v>376</v>
      </c>
      <c r="F322" s="49" t="s">
        <v>3022</v>
      </c>
      <c r="G322" s="45" t="s">
        <v>3045</v>
      </c>
      <c r="H322" s="47">
        <v>46257</v>
      </c>
      <c r="I322" s="48" t="s">
        <v>1824</v>
      </c>
      <c r="J322" s="48" t="s">
        <v>1119</v>
      </c>
      <c r="K322" s="48" t="str">
        <f t="shared" si="71"/>
        <v>Electrochemical Corrosion Cell is a corrosion testing product from Top Industrie for application-specific laboratory, engineering or industrial use.</v>
      </c>
      <c r="L322" s="48" t="str">
        <f t="shared" si="72"/>
        <v>Electrochemical Corrosion Cell from Top Industrie for corrosion testing applications. Review configuration requirements and request technical information or a quotation from DIWAN.</v>
      </c>
      <c r="M322" s="48" t="s">
        <v>2020</v>
      </c>
      <c r="N322" s="61" t="s">
        <v>2672</v>
      </c>
      <c r="O322" s="54" t="str" cm="1">
        <f t="array" ref="O322">_xlfn.LET(_xlpm.n,LOWER(E322),_xlpm.c,LOWER(B322),_xlpm.t,_xlfn.IFS(OR(ISNUMBER(SEARCH("lens",_xlpm.n)),ISNUMBER(SEARCH("optic",_xlpm.n)),ISNUMBER(SEARCH("polarizer",_xlpm.n))),"precision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"),E322&amp;" is "&amp;_xlpm.art&amp;_xlpm.t&amp;" from "&amp;C322&amp;" designed for application-specific laboratory, engineering or industrial use. It belongs to DIWAN's "&amp;B322&amp;" portfolio; final configuration must be selected against performance, integration and compliance requirements.")</f>
        <v>Electrochemical Corrosion Cell is a specialized corrosion testing product from Top Industrie designed for application-specific laboratory, engineering or industrial use. It belongs to DIWAN's Corrosion Testing portfolio; final configuration must be selected against performance, integration and compliance requirements.</v>
      </c>
      <c r="P322" s="54" t="str">
        <f t="shared" si="73"/>
        <v>Selection should confirm the model-specific operating range, capacity, accuracy, interfaces, utilities, accessories, standards, environmental limits and service requirements. Final capabilities depend on the approved Electrochemical Corrosion Cell configuration.</v>
      </c>
      <c r="Q322" s="54"/>
      <c r="R322" s="54" t="str">
        <f t="shared" si="74"/>
        <v>Corrosion Testing applications; laboratory research, engineering development, quality control and industrial deployment where applicable. Suitability must be confirmed against the user's sample, process, environment and required standards.</v>
      </c>
      <c r="S322" s="54"/>
      <c r="T322" s="54" t="str">
        <f t="shared" si="75"/>
        <v>Electrochemical Corrosion Cell from Top Industrie</v>
      </c>
      <c r="U322" s="54"/>
      <c r="V322" s="54" t="s">
        <v>2673</v>
      </c>
      <c r="W322" s="54" t="str">
        <f t="shared" si="76"/>
        <v>See other Corrosion Testing products</v>
      </c>
      <c r="X322" s="54" t="str">
        <f t="shared" si="77"/>
        <v>Corrosion Testing enquiry → website group enquiry form → category owner assignment</v>
      </c>
      <c r="Y322" s="54" t="str">
        <f t="shared" si="78"/>
        <v>Electrochemical Corrosion Cell, Corrosion Testing, Top Industrie, technical equipment, DIWAN</v>
      </c>
      <c r="Z322" s="54" t="s">
        <v>2279</v>
      </c>
      <c r="AA322" s="55">
        <v>46257</v>
      </c>
      <c r="AB322" s="54" t="s">
        <v>2465</v>
      </c>
      <c r="AC322" s="63" t="str">
        <f t="shared" si="79"/>
        <v>Content drafted - assets/specs pending</v>
      </c>
      <c r="AD322"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2" s="58"/>
      <c r="AF322" s="58"/>
      <c r="AG322" s="58" t="s">
        <v>2467</v>
      </c>
      <c r="AH322" s="58" t="s">
        <v>2468</v>
      </c>
      <c r="AI322" s="58" t="s">
        <v>2469</v>
      </c>
    </row>
    <row r="323" spans="1:35" ht="42" customHeight="1" x14ac:dyDescent="0.35">
      <c r="A323" s="69">
        <f t="shared" si="70"/>
        <v>61</v>
      </c>
      <c r="B323" s="74" t="s">
        <v>377</v>
      </c>
      <c r="C323" s="75" t="s">
        <v>14</v>
      </c>
      <c r="D323" s="76" t="s">
        <v>15</v>
      </c>
      <c r="E323" s="77" t="s">
        <v>378</v>
      </c>
      <c r="F323" s="86" t="s">
        <v>3023</v>
      </c>
      <c r="G323" s="77" t="s">
        <v>3045</v>
      </c>
      <c r="H323" s="79">
        <v>46257</v>
      </c>
      <c r="I323" s="80" t="s">
        <v>1825</v>
      </c>
      <c r="J323" s="80" t="s">
        <v>1120</v>
      </c>
      <c r="K323" s="80" t="str">
        <f t="shared" si="71"/>
        <v>Supercritical Fluids CO2 is a supercritical fluids &amp; co2 product from Top Industrie for application-specific laboratory, engineering or industrial use.</v>
      </c>
      <c r="L323" s="80" t="str">
        <f t="shared" si="72"/>
        <v>Supercritical Fluids CO2 from Top Industrie for supercritical fluids &amp; co2 applications. Review configuration requirements and request technical information or a quotation from DIWAN.</v>
      </c>
      <c r="M323" s="80" t="s">
        <v>2020</v>
      </c>
      <c r="N323" s="81" t="s">
        <v>2672</v>
      </c>
      <c r="O323" s="82" t="str" cm="1">
        <f t="array" ref="O323">_xlfn.LET(_xlpm.n,LOWER(E323),_xlpm.c,LOWER(B323),_xlpm.t,_xlfn.IFS(OR(ISNUMBER(SEARCH("lens",_xlpm.n)),ISNUMBER(SEARCH("optic",_xlpm.n)),ISNUMBER(SEARCH("polarizer",_xlpm.n))),"precision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"),E323&amp;" is "&amp;_xlpm.art&amp;_xlpm.t&amp;" from "&amp;C323&amp;" designed for application-specific laboratory, engineering or industrial use. It belongs to DIWAN's "&amp;B323&amp;" portfolio; final configuration must be selected against performance, integration and compliance requirements.")</f>
        <v>Supercritical Fluids CO2 is a specialized supercritical fluids &amp; co2 product from Top Industrie designed for application-specific laboratory, engineering or industrial use. It belongs to DIWAN's Supercritical Fluids &amp; CO2 portfolio; final configuration must be selected against performance, integration and compliance requirements.</v>
      </c>
      <c r="P323" s="82" t="str">
        <f t="shared" si="73"/>
        <v>Selection should confirm the model-specific operating range, capacity, accuracy, interfaces, utilities, accessories, standards, environmental limits and service requirements. Final capabilities depend on the approved Supercritical Fluids CO2 configuration.</v>
      </c>
      <c r="Q323" s="82"/>
      <c r="R323" s="82" t="str">
        <f t="shared" si="74"/>
        <v>Supercritical Fluids &amp; CO2 applications; laboratory research, engineering development, quality control and industrial deployment where applicable. Suitability must be confirmed against the user's sample, process, environment and required standards.</v>
      </c>
      <c r="S323" s="82"/>
      <c r="T323" s="82" t="str">
        <f t="shared" si="75"/>
        <v>Supercritical Fluids CO2 from Top Industrie</v>
      </c>
      <c r="U323" s="82"/>
      <c r="V323" s="82" t="s">
        <v>2673</v>
      </c>
      <c r="W323" s="82" t="str">
        <f t="shared" si="76"/>
        <v>See other Supercritical Fluids &amp; CO2 products</v>
      </c>
      <c r="X323" s="82" t="str">
        <f t="shared" si="77"/>
        <v>Supercritical Fluids &amp; CO2 enquiry → website group enquiry form → category owner assignment</v>
      </c>
      <c r="Y323" s="82" t="str">
        <f t="shared" si="78"/>
        <v>Supercritical Fluids CO2, Supercritical Fluids &amp; CO2, Top Industrie, technical equipment, DIWAN</v>
      </c>
      <c r="Z323" s="82" t="s">
        <v>2280</v>
      </c>
      <c r="AA323" s="83">
        <v>46257</v>
      </c>
      <c r="AB323" s="82" t="s">
        <v>2465</v>
      </c>
      <c r="AC323" s="84" t="str">
        <f t="shared" si="79"/>
        <v>Content drafted - assets/specs pending</v>
      </c>
      <c r="AD323" s="82"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3" s="85"/>
      <c r="AF323" s="85"/>
      <c r="AG323" s="85" t="s">
        <v>2467</v>
      </c>
      <c r="AH323" s="85" t="s">
        <v>2468</v>
      </c>
      <c r="AI323" s="85" t="s">
        <v>2469</v>
      </c>
    </row>
    <row r="324" spans="1:35" ht="42" customHeight="1" x14ac:dyDescent="0.35">
      <c r="A324" s="69">
        <f t="shared" ref="A324:A387" si="81">IF(B324=B323,A323,A323+1)</f>
        <v>61</v>
      </c>
      <c r="B324" s="70" t="s">
        <v>377</v>
      </c>
      <c r="C324" s="71" t="s">
        <v>14</v>
      </c>
      <c r="D324" s="72" t="s">
        <v>15</v>
      </c>
      <c r="E324" s="45" t="s">
        <v>379</v>
      </c>
      <c r="F324" s="49" t="s">
        <v>3023</v>
      </c>
      <c r="G324" s="45" t="s">
        <v>3045</v>
      </c>
      <c r="H324" s="47">
        <v>46257</v>
      </c>
      <c r="I324" s="48" t="s">
        <v>1826</v>
      </c>
      <c r="J324" s="48" t="s">
        <v>1121</v>
      </c>
      <c r="K324" s="48" t="str">
        <f t="shared" si="71"/>
        <v>Supercritical Fluid Extraction is a supercritical fluids &amp; co2 product from Top Industrie for application-specific laboratory, engineering or industrial use.</v>
      </c>
      <c r="L324" s="48" t="str">
        <f t="shared" si="72"/>
        <v>Supercritical Fluid Extraction from Top Industrie for supercritical fluids &amp; co2 applications. Review configuration requirements and request technical information or a quotation from DIWAN.</v>
      </c>
      <c r="M324" s="48" t="s">
        <v>2020</v>
      </c>
      <c r="N324" s="61" t="s">
        <v>2672</v>
      </c>
      <c r="O324" s="54" t="str" cm="1">
        <f t="array" ref="O324">_xlfn.LET(_xlpm.n,LOWER(E324),_xlpm.c,LOWER(B324),_xlpm.t,_xlfn.IFS(OR(ISNUMBER(SEARCH("lens",_xlpm.n)),ISNUMBER(SEARCH("optic",_xlpm.n)),ISNUMBER(SEARCH("polarizer",_xlpm.n))),"precision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"),E324&amp;" is "&amp;_xlpm.art&amp;_xlpm.t&amp;" from "&amp;C324&amp;" designed for application-specific laboratory, engineering or industrial use. It belongs to DIWAN's "&amp;B324&amp;" portfolio; final configuration must be selected against performance, integration and compliance requirements.")</f>
        <v>Supercritical Fluid Extraction is a specialized supercritical fluids &amp; co2 product from Top Industrie designed for application-specific laboratory, engineering or industrial use. It belongs to DIWAN's Supercritical Fluids &amp; CO2 portfolio; final configuration must be selected against performance, integration and compliance requirements.</v>
      </c>
      <c r="P324" s="54" t="str">
        <f t="shared" si="73"/>
        <v>Selection should confirm the model-specific operating range, capacity, accuracy, interfaces, utilities, accessories, standards, environmental limits and service requirements. Final capabilities depend on the approved Supercritical Fluid Extraction configuration.</v>
      </c>
      <c r="Q324" s="54"/>
      <c r="R324" s="54" t="str">
        <f t="shared" si="74"/>
        <v>Supercritical Fluids &amp; CO2 applications; laboratory research, engineering development, quality control and industrial deployment where applicable. Suitability must be confirmed against the user's sample, process, environment and required standards.</v>
      </c>
      <c r="S324" s="54"/>
      <c r="T324" s="54" t="str">
        <f t="shared" si="75"/>
        <v>Supercritical Fluid Extraction from Top Industrie</v>
      </c>
      <c r="U324" s="54"/>
      <c r="V324" s="54" t="s">
        <v>2673</v>
      </c>
      <c r="W324" s="54" t="str">
        <f t="shared" si="76"/>
        <v>See other Supercritical Fluids &amp; CO2 products</v>
      </c>
      <c r="X324" s="54" t="str">
        <f t="shared" si="77"/>
        <v>Supercritical Fluids &amp; CO2 enquiry → website group enquiry form → category owner assignment</v>
      </c>
      <c r="Y324" s="54" t="str">
        <f t="shared" si="78"/>
        <v>Supercritical Fluid Extraction, Supercritical Fluids &amp; CO2, Top Industrie, technical equipment, DIWAN</v>
      </c>
      <c r="Z324" s="54" t="s">
        <v>2280</v>
      </c>
      <c r="AA324" s="55">
        <v>46257</v>
      </c>
      <c r="AB324" s="54" t="s">
        <v>2465</v>
      </c>
      <c r="AC324" s="63" t="str">
        <f t="shared" si="79"/>
        <v>Content drafted - assets/specs pending</v>
      </c>
      <c r="AD32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4" s="58"/>
      <c r="AF324" s="58"/>
      <c r="AG324" s="58" t="s">
        <v>2467</v>
      </c>
      <c r="AH324" s="58" t="s">
        <v>2468</v>
      </c>
      <c r="AI324" s="58" t="s">
        <v>2469</v>
      </c>
    </row>
    <row r="325" spans="1:35" ht="42" customHeight="1" x14ac:dyDescent="0.35">
      <c r="A325" s="69">
        <f t="shared" si="81"/>
        <v>61</v>
      </c>
      <c r="B325" s="70" t="s">
        <v>377</v>
      </c>
      <c r="C325" s="71" t="s">
        <v>14</v>
      </c>
      <c r="D325" s="72" t="s">
        <v>15</v>
      </c>
      <c r="E325" s="45" t="s">
        <v>380</v>
      </c>
      <c r="F325" s="49" t="s">
        <v>3023</v>
      </c>
      <c r="G325" s="45" t="s">
        <v>3045</v>
      </c>
      <c r="H325" s="47">
        <v>46257</v>
      </c>
      <c r="I325" s="48" t="s">
        <v>1827</v>
      </c>
      <c r="J325" s="48" t="s">
        <v>1122</v>
      </c>
      <c r="K325" s="48" t="str">
        <f t="shared" si="71"/>
        <v>Supercritical Impregnation is a supercritical fluids &amp; co2 product from Top Industrie for application-specific laboratory, engineering or industrial use.</v>
      </c>
      <c r="L325" s="48" t="str">
        <f t="shared" si="72"/>
        <v>Supercritical Impregnation from Top Industrie for supercritical fluids &amp; co2 applications. Review configuration requirements and request technical information or a quotation from DIWAN.</v>
      </c>
      <c r="M325" s="48" t="s">
        <v>2020</v>
      </c>
      <c r="N325" s="61" t="s">
        <v>2672</v>
      </c>
      <c r="O325" s="54" t="str" cm="1">
        <f t="array" ref="O325">_xlfn.LET(_xlpm.n,LOWER(E325),_xlpm.c,LOWER(B325),_xlpm.t,_xlfn.IFS(OR(ISNUMBER(SEARCH("lens",_xlpm.n)),ISNUMBER(SEARCH("optic",_xlpm.n)),ISNUMBER(SEARCH("polarizer",_xlpm.n))),"precision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"),E325&amp;" is "&amp;_xlpm.art&amp;_xlpm.t&amp;" from "&amp;C325&amp;" designed for application-specific laboratory, engineering or industrial use. It belongs to DIWAN's "&amp;B325&amp;" portfolio; final configuration must be selected against performance, integration and compliance requirements.")</f>
        <v>Supercritical Impregnation is a specialized supercritical fluids &amp; co2 product from Top Industrie designed for application-specific laboratory, engineering or industrial use. It belongs to DIWAN's Supercritical Fluids &amp; CO2 portfolio; final configuration must be selected against performance, integration and compliance requirements.</v>
      </c>
      <c r="P325" s="54" t="str">
        <f t="shared" si="73"/>
        <v>Selection should confirm the model-specific operating range, capacity, accuracy, interfaces, utilities, accessories, standards, environmental limits and service requirements. Final capabilities depend on the approved Supercritical Impregnation configuration.</v>
      </c>
      <c r="Q325" s="54"/>
      <c r="R325" s="54" t="str">
        <f t="shared" si="74"/>
        <v>Supercritical Fluids &amp; CO2 applications; laboratory research, engineering development, quality control and industrial deployment where applicable. Suitability must be confirmed against the user's sample, process, environment and required standards.</v>
      </c>
      <c r="S325" s="54"/>
      <c r="T325" s="54" t="str">
        <f t="shared" si="75"/>
        <v>Supercritical Impregnation from Top Industrie</v>
      </c>
      <c r="U325" s="54"/>
      <c r="V325" s="54" t="s">
        <v>2673</v>
      </c>
      <c r="W325" s="54" t="str">
        <f t="shared" si="76"/>
        <v>See other Supercritical Fluids &amp; CO2 products</v>
      </c>
      <c r="X325" s="54" t="str">
        <f t="shared" si="77"/>
        <v>Supercritical Fluids &amp; CO2 enquiry → website group enquiry form → category owner assignment</v>
      </c>
      <c r="Y325" s="54" t="str">
        <f t="shared" si="78"/>
        <v>Supercritical Impregnation, Supercritical Fluids &amp; CO2, Top Industrie, technical equipment, DIWAN</v>
      </c>
      <c r="Z325" s="54" t="s">
        <v>2280</v>
      </c>
      <c r="AA325" s="55">
        <v>46257</v>
      </c>
      <c r="AB325" s="54" t="s">
        <v>2465</v>
      </c>
      <c r="AC325" s="63" t="str">
        <f t="shared" si="79"/>
        <v>Content drafted - assets/specs pending</v>
      </c>
      <c r="AD32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5" s="58"/>
      <c r="AF325" s="58"/>
      <c r="AG325" s="58" t="s">
        <v>2467</v>
      </c>
      <c r="AH325" s="58" t="s">
        <v>2468</v>
      </c>
      <c r="AI325" s="58" t="s">
        <v>2469</v>
      </c>
    </row>
    <row r="326" spans="1:35" ht="42" customHeight="1" x14ac:dyDescent="0.35">
      <c r="A326" s="69">
        <f t="shared" si="81"/>
        <v>61</v>
      </c>
      <c r="B326" s="70" t="s">
        <v>377</v>
      </c>
      <c r="C326" s="71" t="s">
        <v>14</v>
      </c>
      <c r="D326" s="72" t="s">
        <v>15</v>
      </c>
      <c r="E326" s="45" t="s">
        <v>381</v>
      </c>
      <c r="F326" s="49" t="s">
        <v>3023</v>
      </c>
      <c r="G326" s="45" t="s">
        <v>3045</v>
      </c>
      <c r="H326" s="47">
        <v>46257</v>
      </c>
      <c r="I326" s="48" t="s">
        <v>1828</v>
      </c>
      <c r="J326" s="48" t="s">
        <v>1123</v>
      </c>
      <c r="K326" s="48" t="str">
        <f t="shared" si="71"/>
        <v>Supercritical Reactor is a supercritical fluids &amp; co2 product from Top Industrie for application-specific laboratory, engineering or industrial use.</v>
      </c>
      <c r="L326" s="48" t="str">
        <f t="shared" si="72"/>
        <v>Supercritical Reactor from Top Industrie for supercritical fluids &amp; co2 applications. Review configuration requirements and request technical information or a quotation from DIWAN.</v>
      </c>
      <c r="M326" s="48" t="s">
        <v>2020</v>
      </c>
      <c r="N326" s="61" t="s">
        <v>2672</v>
      </c>
      <c r="O326" s="54" t="str" cm="1">
        <f t="array" ref="O326">_xlfn.LET(_xlpm.n,LOWER(E326),_xlpm.c,LOWER(B326),_xlpm.t,_xlfn.IFS(OR(ISNUMBER(SEARCH("lens",_xlpm.n)),ISNUMBER(SEARCH("optic",_xlpm.n)),ISNUMBER(SEARCH("polarizer",_xlpm.n))),"precision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"),E326&amp;" is "&amp;_xlpm.art&amp;_xlpm.t&amp;" from "&amp;C326&amp;" designed for application-specific laboratory, engineering or industrial use. It belongs to DIWAN's "&amp;B326&amp;" portfolio; final configuration must be selected against performance, integration and compliance requirements.")</f>
        <v>Supercritical Reactor is a laboratory or pilot-process system from Top Industrie designed for application-specific laboratory, engineering or industrial use. It belongs to DIWAN's Supercritical Fluids &amp; CO2 portfolio; final configuration must be selected against performance, integration and compliance requirements.</v>
      </c>
      <c r="P326" s="54" t="str">
        <f t="shared" si="73"/>
        <v>Selection should confirm the model-specific operating range, capacity, accuracy, interfaces, utilities, accessories, standards, environmental limits and service requirements. Final capabilities depend on the approved Supercritical Reactor configuration.</v>
      </c>
      <c r="Q326" s="54"/>
      <c r="R326" s="54" t="str">
        <f t="shared" si="74"/>
        <v>Supercritical Fluids &amp; CO2 applications; laboratory research, engineering development, quality control and industrial deployment where applicable. Suitability must be confirmed against the user's sample, process, environment and required standards.</v>
      </c>
      <c r="S326" s="54"/>
      <c r="T326" s="54" t="str">
        <f t="shared" si="75"/>
        <v>Supercritical Reactor from Top Industrie</v>
      </c>
      <c r="U326" s="54"/>
      <c r="V326" s="54" t="s">
        <v>2673</v>
      </c>
      <c r="W326" s="54" t="str">
        <f t="shared" si="76"/>
        <v>See other Supercritical Fluids &amp; CO2 products</v>
      </c>
      <c r="X326" s="54" t="str">
        <f t="shared" si="77"/>
        <v>Supercritical Fluids &amp; CO2 enquiry → website group enquiry form → category owner assignment</v>
      </c>
      <c r="Y326" s="54" t="str">
        <f t="shared" si="78"/>
        <v>Supercritical Reactor, Supercritical Fluids &amp; CO2, Top Industrie, technical equipment, DIWAN</v>
      </c>
      <c r="Z326" s="54" t="s">
        <v>2280</v>
      </c>
      <c r="AA326" s="55">
        <v>46257</v>
      </c>
      <c r="AB326" s="54" t="s">
        <v>2465</v>
      </c>
      <c r="AC326" s="63" t="str">
        <f t="shared" si="79"/>
        <v>Content drafted - assets/specs pending</v>
      </c>
      <c r="AD32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6" s="58"/>
      <c r="AF326" s="58"/>
      <c r="AG326" s="58" t="s">
        <v>2467</v>
      </c>
      <c r="AH326" s="58" t="s">
        <v>2468</v>
      </c>
      <c r="AI326" s="58" t="s">
        <v>2469</v>
      </c>
    </row>
    <row r="327" spans="1:35" ht="42" customHeight="1" x14ac:dyDescent="0.35">
      <c r="A327" s="69">
        <f t="shared" si="81"/>
        <v>61</v>
      </c>
      <c r="B327" s="70" t="s">
        <v>377</v>
      </c>
      <c r="C327" s="71" t="s">
        <v>14</v>
      </c>
      <c r="D327" s="72" t="s">
        <v>15</v>
      </c>
      <c r="E327" s="45" t="s">
        <v>382</v>
      </c>
      <c r="F327" s="49" t="s">
        <v>3023</v>
      </c>
      <c r="G327" s="45" t="s">
        <v>3045</v>
      </c>
      <c r="H327" s="47">
        <v>46257</v>
      </c>
      <c r="I327" s="48" t="s">
        <v>1829</v>
      </c>
      <c r="J327" s="48" t="s">
        <v>1124</v>
      </c>
      <c r="K327" s="48" t="str">
        <f t="shared" si="71"/>
        <v>Supercritical Fluid Chromatography is a supercritical fluids &amp; co2 product from Top Industrie for application-specific laboratory, engineering or industrial use.</v>
      </c>
      <c r="L327" s="48" t="str">
        <f t="shared" si="72"/>
        <v>Supercritical Fluid Chromatography from Top Industrie for supercritical fluids &amp; co2 applications. Review configuration requirements and request technical information or a quotation from DIWAN.</v>
      </c>
      <c r="M327" s="48" t="s">
        <v>2020</v>
      </c>
      <c r="N327" s="61" t="s">
        <v>2672</v>
      </c>
      <c r="O327" s="54" t="str" cm="1">
        <f t="array" ref="O327">_xlfn.LET(_xlpm.n,LOWER(E327),_xlpm.c,LOWER(B327),_xlpm.t,_xlfn.IFS(OR(ISNUMBER(SEARCH("lens",_xlpm.n)),ISNUMBER(SEARCH("optic",_xlpm.n)),ISNUMBER(SEARCH("polarizer",_xlpm.n))),"precision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"),E327&amp;" is "&amp;_xlpm.art&amp;_xlpm.t&amp;" from "&amp;C327&amp;" designed for application-specific laboratory, engineering or industrial use. It belongs to DIWAN's "&amp;B327&amp;" portfolio; final configuration must be selected against performance, integration and compliance requirements.")</f>
        <v>Supercritical Fluid Chromatography is an analytical laboratory instrument from Top Industrie designed for application-specific laboratory, engineering or industrial use. It belongs to DIWAN's Supercritical Fluids &amp; CO2 portfolio; final configuration must be selected against performance, integration and compliance requirements.</v>
      </c>
      <c r="P327" s="54" t="str">
        <f t="shared" si="73"/>
        <v>Selection should confirm the model-specific operating range, capacity, accuracy, interfaces, utilities, accessories, standards, environmental limits and service requirements. Final capabilities depend on the approved Supercritical Fluid Chromatography configuration.</v>
      </c>
      <c r="Q327" s="54"/>
      <c r="R327" s="54" t="str">
        <f t="shared" si="74"/>
        <v>Supercritical Fluids &amp; CO2 applications; laboratory research, engineering development, quality control and industrial deployment where applicable. Suitability must be confirmed against the user's sample, process, environment and required standards.</v>
      </c>
      <c r="S327" s="54"/>
      <c r="T327" s="54" t="str">
        <f t="shared" si="75"/>
        <v>Supercritical Fluid Chromatography from Top Industrie</v>
      </c>
      <c r="U327" s="54"/>
      <c r="V327" s="54" t="s">
        <v>2673</v>
      </c>
      <c r="W327" s="54" t="str">
        <f t="shared" si="76"/>
        <v>See other Supercritical Fluids &amp; CO2 products</v>
      </c>
      <c r="X327" s="54" t="str">
        <f t="shared" si="77"/>
        <v>Supercritical Fluids &amp; CO2 enquiry → website group enquiry form → category owner assignment</v>
      </c>
      <c r="Y327" s="54" t="str">
        <f t="shared" si="78"/>
        <v>Supercritical Fluid Chromatography, Supercritical Fluids &amp; CO2, Top Industrie, technical equipment, DIWAN</v>
      </c>
      <c r="Z327" s="54" t="s">
        <v>2280</v>
      </c>
      <c r="AA327" s="55">
        <v>46257</v>
      </c>
      <c r="AB327" s="54" t="s">
        <v>2465</v>
      </c>
      <c r="AC327" s="63" t="str">
        <f t="shared" si="79"/>
        <v>Content drafted - assets/specs pending</v>
      </c>
      <c r="AD32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7" s="58"/>
      <c r="AF327" s="58"/>
      <c r="AG327" s="58" t="s">
        <v>2467</v>
      </c>
      <c r="AH327" s="58" t="s">
        <v>2468</v>
      </c>
      <c r="AI327" s="58" t="s">
        <v>2469</v>
      </c>
    </row>
    <row r="328" spans="1:35" ht="42" customHeight="1" x14ac:dyDescent="0.35">
      <c r="A328" s="69">
        <f t="shared" si="81"/>
        <v>61</v>
      </c>
      <c r="B328" s="70" t="s">
        <v>377</v>
      </c>
      <c r="C328" s="71" t="s">
        <v>14</v>
      </c>
      <c r="D328" s="72" t="s">
        <v>15</v>
      </c>
      <c r="E328" s="45" t="s">
        <v>383</v>
      </c>
      <c r="F328" s="49" t="s">
        <v>3023</v>
      </c>
      <c r="G328" s="45" t="s">
        <v>3045</v>
      </c>
      <c r="H328" s="47">
        <v>46257</v>
      </c>
      <c r="I328" s="48" t="s">
        <v>1830</v>
      </c>
      <c r="J328" s="48" t="s">
        <v>1125</v>
      </c>
      <c r="K328" s="48" t="str">
        <f t="shared" si="71"/>
        <v>High Pressure Reactors in Brine Dedicated to Supercritical Fluids is a supercritical fluids &amp; co2 product from Top Industrie for application-specific laboratory, engineering or industrial use.</v>
      </c>
      <c r="L328" s="48" t="str">
        <f t="shared" si="72"/>
        <v>High Pressure Reactors in Brine Dedicated to Supercritical Fluids from Top Industrie for supercritical fluids &amp; co2 applications. Review configuration requirements and request technical information or a quotation from DIWAN.</v>
      </c>
      <c r="M328" s="48" t="s">
        <v>2020</v>
      </c>
      <c r="N328" s="61" t="s">
        <v>2672</v>
      </c>
      <c r="O328" s="54" t="str" cm="1">
        <f t="array" ref="O328">_xlfn.LET(_xlpm.n,LOWER(E328),_xlpm.c,LOWER(B328),_xlpm.t,_xlfn.IFS(OR(ISNUMBER(SEARCH("lens",_xlpm.n)),ISNUMBER(SEARCH("optic",_xlpm.n)),ISNUMBER(SEARCH("polarizer",_xlpm.n))),"precision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"),E328&amp;" is "&amp;_xlpm.art&amp;_xlpm.t&amp;" from "&amp;C328&amp;" designed for application-specific laboratory, engineering or industrial use. It belongs to DIWAN's "&amp;B328&amp;" portfolio; final configuration must be selected against performance, integration and compliance requirements.")</f>
        <v>High Pressure Reactors in Brine Dedicated to Supercritical Fluids is a laboratory or pilot-process system from Top Industrie designed for application-specific laboratory, engineering or industrial use. It belongs to DIWAN's Supercritical Fluids &amp; CO2 portfolio; final configuration must be selected against performance, integration and compliance requirements.</v>
      </c>
      <c r="P328" s="54" t="str">
        <f t="shared" si="73"/>
        <v>Selection should confirm the model-specific operating range, capacity, accuracy, interfaces, utilities, accessories, standards, environmental limits and service requirements. Final capabilities depend on the approved High Pressure Reactors in Brine Dedicated to Supercritical Fluids configuration.</v>
      </c>
      <c r="Q328" s="54"/>
      <c r="R328" s="54" t="str">
        <f t="shared" si="74"/>
        <v>Supercritical Fluids &amp; CO2 applications; laboratory research, engineering development, quality control and industrial deployment where applicable. Suitability must be confirmed against the user's sample, process, environment and required standards.</v>
      </c>
      <c r="S328" s="54"/>
      <c r="T328" s="54" t="str">
        <f t="shared" si="75"/>
        <v>High Pressure Reactors in Brine Dedicated to Supercritical Fluids from Top Industrie</v>
      </c>
      <c r="U328" s="54"/>
      <c r="V328" s="54" t="s">
        <v>2673</v>
      </c>
      <c r="W328" s="54" t="str">
        <f t="shared" si="76"/>
        <v>See other Supercritical Fluids &amp; CO2 products</v>
      </c>
      <c r="X328" s="54" t="str">
        <f t="shared" si="77"/>
        <v>Supercritical Fluids &amp; CO2 enquiry → website group enquiry form → category owner assignment</v>
      </c>
      <c r="Y328" s="54" t="str">
        <f t="shared" si="78"/>
        <v>High Pressure Reactors in Brine Dedicated to Supercritical Fluids, Supercritical Fluids &amp; CO2, Top Industrie, technical equipment, DIWAN</v>
      </c>
      <c r="Z328" s="54" t="s">
        <v>2280</v>
      </c>
      <c r="AA328" s="55">
        <v>46257</v>
      </c>
      <c r="AB328" s="54" t="s">
        <v>2465</v>
      </c>
      <c r="AC328" s="63" t="str">
        <f t="shared" si="79"/>
        <v>Content drafted - assets/specs pending</v>
      </c>
      <c r="AD32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8" s="58"/>
      <c r="AF328" s="58"/>
      <c r="AG328" s="58" t="s">
        <v>2467</v>
      </c>
      <c r="AH328" s="58" t="s">
        <v>2468</v>
      </c>
      <c r="AI328" s="58" t="s">
        <v>2469</v>
      </c>
    </row>
    <row r="329" spans="1:35" ht="42" customHeight="1" x14ac:dyDescent="0.35">
      <c r="A329" s="69">
        <f t="shared" si="81"/>
        <v>61</v>
      </c>
      <c r="B329" s="70" t="s">
        <v>377</v>
      </c>
      <c r="C329" s="71" t="s">
        <v>14</v>
      </c>
      <c r="D329" s="72" t="s">
        <v>15</v>
      </c>
      <c r="E329" s="45" t="s">
        <v>384</v>
      </c>
      <c r="F329" s="49" t="s">
        <v>3023</v>
      </c>
      <c r="G329" s="45" t="s">
        <v>3045</v>
      </c>
      <c r="H329" s="47">
        <v>46257</v>
      </c>
      <c r="I329" s="48" t="s">
        <v>1831</v>
      </c>
      <c r="J329" s="48" t="s">
        <v>1126</v>
      </c>
      <c r="K329" s="48" t="str">
        <f t="shared" si="71"/>
        <v>Supercritical Antisolvent Process is a supercritical fluids &amp; co2 product from Top Industrie for application-specific laboratory, engineering or industrial use.</v>
      </c>
      <c r="L329" s="48" t="str">
        <f t="shared" si="72"/>
        <v>Supercritical Antisolvent Process from Top Industrie for supercritical fluids &amp; co2 applications. Review configuration requirements and request technical information or a quotation from DIWAN.</v>
      </c>
      <c r="M329" s="48" t="s">
        <v>2020</v>
      </c>
      <c r="N329" s="61" t="s">
        <v>2672</v>
      </c>
      <c r="O329" s="54" t="str" cm="1">
        <f t="array" ref="O329">_xlfn.LET(_xlpm.n,LOWER(E329),_xlpm.c,LOWER(B329),_xlpm.t,_xlfn.IFS(OR(ISNUMBER(SEARCH("lens",_xlpm.n)),ISNUMBER(SEARCH("optic",_xlpm.n)),ISNUMBER(SEARCH("polarizer",_xlpm.n))),"precision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"),E329&amp;" is "&amp;_xlpm.art&amp;_xlpm.t&amp;" from "&amp;C329&amp;" designed for application-specific laboratory, engineering or industrial use. It belongs to DIWAN's "&amp;B329&amp;" portfolio; final configuration must be selected against performance, integration and compliance requirements.")</f>
        <v>Supercritical Antisolvent Process is a specialized supercritical fluids &amp; co2 product from Top Industrie designed for application-specific laboratory, engineering or industrial use. It belongs to DIWAN's Supercritical Fluids &amp; CO2 portfolio; final configuration must be selected against performance, integration and compliance requirements.</v>
      </c>
      <c r="P329" s="54" t="str">
        <f t="shared" si="73"/>
        <v>Selection should confirm the model-specific operating range, capacity, accuracy, interfaces, utilities, accessories, standards, environmental limits and service requirements. Final capabilities depend on the approved Supercritical Antisolvent Process configuration.</v>
      </c>
      <c r="Q329" s="54"/>
      <c r="R329" s="54" t="str">
        <f t="shared" si="74"/>
        <v>Supercritical Fluids &amp; CO2 applications; laboratory research, engineering development, quality control and industrial deployment where applicable. Suitability must be confirmed against the user's sample, process, environment and required standards.</v>
      </c>
      <c r="S329" s="54"/>
      <c r="T329" s="54" t="str">
        <f t="shared" si="75"/>
        <v>Supercritical Antisolvent Process from Top Industrie</v>
      </c>
      <c r="U329" s="54"/>
      <c r="V329" s="54" t="s">
        <v>2673</v>
      </c>
      <c r="W329" s="54" t="str">
        <f t="shared" si="76"/>
        <v>See other Supercritical Fluids &amp; CO2 products</v>
      </c>
      <c r="X329" s="54" t="str">
        <f t="shared" si="77"/>
        <v>Supercritical Fluids &amp; CO2 enquiry → website group enquiry form → category owner assignment</v>
      </c>
      <c r="Y329" s="54" t="str">
        <f t="shared" si="78"/>
        <v>Supercritical Antisolvent Process, Supercritical Fluids &amp; CO2, Top Industrie, technical equipment, DIWAN</v>
      </c>
      <c r="Z329" s="54" t="s">
        <v>2280</v>
      </c>
      <c r="AA329" s="55">
        <v>46257</v>
      </c>
      <c r="AB329" s="54" t="s">
        <v>2465</v>
      </c>
      <c r="AC329" s="63" t="str">
        <f t="shared" si="79"/>
        <v>Content drafted - assets/specs pending</v>
      </c>
      <c r="AD32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29" s="58"/>
      <c r="AF329" s="58"/>
      <c r="AG329" s="58" t="s">
        <v>2467</v>
      </c>
      <c r="AH329" s="58" t="s">
        <v>2468</v>
      </c>
      <c r="AI329" s="58" t="s">
        <v>2469</v>
      </c>
    </row>
    <row r="330" spans="1:35" ht="42" customHeight="1" x14ac:dyDescent="0.35">
      <c r="A330" s="69">
        <f t="shared" si="81"/>
        <v>61</v>
      </c>
      <c r="B330" s="70" t="s">
        <v>377</v>
      </c>
      <c r="C330" s="71" t="s">
        <v>14</v>
      </c>
      <c r="D330" s="72" t="s">
        <v>15</v>
      </c>
      <c r="E330" s="45" t="s">
        <v>385</v>
      </c>
      <c r="F330" s="49" t="s">
        <v>3023</v>
      </c>
      <c r="G330" s="45" t="s">
        <v>3045</v>
      </c>
      <c r="H330" s="47">
        <v>46257</v>
      </c>
      <c r="I330" s="48" t="s">
        <v>1832</v>
      </c>
      <c r="J330" s="48" t="s">
        <v>1127</v>
      </c>
      <c r="K330" s="48" t="str">
        <f t="shared" si="71"/>
        <v>Particle Generation Systems is a supercritical fluids &amp; co2 product from Top Industrie for application-specific laboratory, engineering or industrial use.</v>
      </c>
      <c r="L330" s="48" t="str">
        <f t="shared" si="72"/>
        <v>Particle Generation Systems from Top Industrie for supercritical fluids &amp; co2 applications. Review configuration requirements and request technical information or a quotation from DIWAN.</v>
      </c>
      <c r="M330" s="48" t="s">
        <v>2020</v>
      </c>
      <c r="N330" s="61" t="s">
        <v>2672</v>
      </c>
      <c r="O330" s="54" t="str" cm="1">
        <f t="array" ref="O330">_xlfn.LET(_xlpm.n,LOWER(E330),_xlpm.c,LOWER(B330),_xlpm.t,_xlfn.IFS(OR(ISNUMBER(SEARCH("lens",_xlpm.n)),ISNUMBER(SEARCH("optic",_xlpm.n)),ISNUMBER(SEARCH("polarizer",_xlpm.n))),"precision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"),E330&amp;" is "&amp;_xlpm.art&amp;_xlpm.t&amp;" from "&amp;C330&amp;" designed for application-specific laboratory, engineering or industrial use. It belongs to DIWAN's "&amp;B330&amp;" portfolio; final configuration must be selected against performance, integration and compliance requirements.")</f>
        <v>Particle Generation Systems is a specialized supercritical fluids &amp; co2 product from Top Industrie designed for application-specific laboratory, engineering or industrial use. It belongs to DIWAN's Supercritical Fluids &amp; CO2 portfolio; final configuration must be selected against performance, integration and compliance requirements.</v>
      </c>
      <c r="P330" s="54" t="str">
        <f t="shared" si="73"/>
        <v>Selection should confirm the model-specific operating range, capacity, accuracy, interfaces, utilities, accessories, standards, environmental limits and service requirements. Final capabilities depend on the approved Particle Generation Systems configuration.</v>
      </c>
      <c r="Q330" s="54"/>
      <c r="R330" s="54" t="str">
        <f t="shared" si="74"/>
        <v>Supercritical Fluids &amp; CO2 applications; laboratory research, engineering development, quality control and industrial deployment where applicable. Suitability must be confirmed against the user's sample, process, environment and required standards.</v>
      </c>
      <c r="S330" s="54"/>
      <c r="T330" s="54" t="str">
        <f t="shared" si="75"/>
        <v>Particle Generation Systems from Top Industrie</v>
      </c>
      <c r="U330" s="54"/>
      <c r="V330" s="54" t="s">
        <v>2673</v>
      </c>
      <c r="W330" s="54" t="str">
        <f t="shared" si="76"/>
        <v>See other Supercritical Fluids &amp; CO2 products</v>
      </c>
      <c r="X330" s="54" t="str">
        <f t="shared" si="77"/>
        <v>Supercritical Fluids &amp; CO2 enquiry → website group enquiry form → category owner assignment</v>
      </c>
      <c r="Y330" s="54" t="str">
        <f t="shared" si="78"/>
        <v>Particle Generation Systems, Supercritical Fluids &amp; CO2, Top Industrie, technical equipment, DIWAN</v>
      </c>
      <c r="Z330" s="54" t="s">
        <v>2280</v>
      </c>
      <c r="AA330" s="55">
        <v>46257</v>
      </c>
      <c r="AB330" s="54" t="s">
        <v>2465</v>
      </c>
      <c r="AC330" s="63" t="str">
        <f t="shared" si="79"/>
        <v>Content drafted - assets/specs pending</v>
      </c>
      <c r="AD33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0" s="58"/>
      <c r="AF330" s="58"/>
      <c r="AG330" s="58" t="s">
        <v>2467</v>
      </c>
      <c r="AH330" s="58" t="s">
        <v>2468</v>
      </c>
      <c r="AI330" s="58" t="s">
        <v>2469</v>
      </c>
    </row>
    <row r="331" spans="1:35" ht="42" customHeight="1" thickBot="1" x14ac:dyDescent="0.4">
      <c r="A331" s="69">
        <f t="shared" si="81"/>
        <v>61</v>
      </c>
      <c r="B331" s="70" t="s">
        <v>377</v>
      </c>
      <c r="C331" s="71" t="s">
        <v>14</v>
      </c>
      <c r="D331" s="72" t="s">
        <v>15</v>
      </c>
      <c r="E331" s="45" t="s">
        <v>386</v>
      </c>
      <c r="F331" s="49" t="s">
        <v>3023</v>
      </c>
      <c r="G331" s="45" t="s">
        <v>3045</v>
      </c>
      <c r="H331" s="47">
        <v>46257</v>
      </c>
      <c r="I331" s="48" t="s">
        <v>1833</v>
      </c>
      <c r="J331" s="48" t="s">
        <v>1128</v>
      </c>
      <c r="K331" s="48" t="str">
        <f t="shared" si="71"/>
        <v>Nuclearized High Pressure CO2 Pumps is a supercritical fluids &amp; co2 product from Top Industrie for application-specific laboratory, engineering or industrial use.</v>
      </c>
      <c r="L331" s="48" t="str">
        <f t="shared" si="72"/>
        <v>Nuclearized High Pressure CO2 Pumps from Top Industrie for supercritical fluids &amp; co2 applications. Review configuration requirements and request technical information or a quotation from DIWAN.</v>
      </c>
      <c r="M331" s="48" t="s">
        <v>2020</v>
      </c>
      <c r="N331" s="61" t="s">
        <v>2672</v>
      </c>
      <c r="O331" s="54" t="str" cm="1">
        <f t="array" ref="O331">_xlfn.LET(_xlpm.n,LOWER(E331),_xlpm.c,LOWER(B331),_xlpm.t,_xlfn.IFS(OR(ISNUMBER(SEARCH("lens",_xlpm.n)),ISNUMBER(SEARCH("optic",_xlpm.n)),ISNUMBER(SEARCH("polarizer",_xlpm.n))),"precision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"),E331&amp;" is "&amp;_xlpm.art&amp;_xlpm.t&amp;" from "&amp;C331&amp;" designed for application-specific laboratory, engineering or industrial use. It belongs to DIWAN's "&amp;B331&amp;" portfolio; final configuration must be selected against performance, integration and compliance requirements.")</f>
        <v>Nuclearized High Pressure CO2 Pumps is a precision fluid-delivery system from Top Industrie designed for application-specific laboratory, engineering or industrial use. It belongs to DIWAN's Supercritical Fluids &amp; CO2 portfolio; final configuration must be selected against performance, integration and compliance requirements.</v>
      </c>
      <c r="P331" s="54" t="str">
        <f t="shared" si="73"/>
        <v>Selection should confirm the model-specific operating range, capacity, accuracy, interfaces, utilities, accessories, standards, environmental limits and service requirements. Final capabilities depend on the approved Nuclearized High Pressure CO2 Pumps configuration.</v>
      </c>
      <c r="Q331" s="54"/>
      <c r="R331" s="54" t="str">
        <f t="shared" si="74"/>
        <v>Supercritical Fluids &amp; CO2 applications; laboratory research, engineering development, quality control and industrial deployment where applicable. Suitability must be confirmed against the user's sample, process, environment and required standards.</v>
      </c>
      <c r="S331" s="54"/>
      <c r="T331" s="54" t="str">
        <f t="shared" si="75"/>
        <v>Nuclearized High Pressure CO2 Pumps from Top Industrie</v>
      </c>
      <c r="U331" s="54"/>
      <c r="V331" s="54" t="s">
        <v>2673</v>
      </c>
      <c r="W331" s="54" t="str">
        <f t="shared" si="76"/>
        <v>See other Supercritical Fluids &amp; CO2 products</v>
      </c>
      <c r="X331" s="54" t="str">
        <f t="shared" si="77"/>
        <v>Supercritical Fluids &amp; CO2 enquiry → website group enquiry form → category owner assignment</v>
      </c>
      <c r="Y331" s="54" t="str">
        <f t="shared" si="78"/>
        <v>Nuclearized High Pressure CO2 Pumps, Supercritical Fluids &amp; CO2, Top Industrie, technical equipment, DIWAN</v>
      </c>
      <c r="Z331" s="54" t="s">
        <v>2280</v>
      </c>
      <c r="AA331" s="55">
        <v>46257</v>
      </c>
      <c r="AB331" s="54" t="s">
        <v>2465</v>
      </c>
      <c r="AC331" s="63" t="str">
        <f t="shared" si="79"/>
        <v>Content drafted - assets/specs pending</v>
      </c>
      <c r="AD33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1" s="58"/>
      <c r="AF331" s="58"/>
      <c r="AG331" s="58" t="s">
        <v>2467</v>
      </c>
      <c r="AH331" s="58" t="s">
        <v>2468</v>
      </c>
      <c r="AI331" s="58" t="s">
        <v>2469</v>
      </c>
    </row>
    <row r="332" spans="1:35" ht="42" customHeight="1" x14ac:dyDescent="0.35">
      <c r="A332" s="69">
        <f t="shared" si="81"/>
        <v>62</v>
      </c>
      <c r="B332" s="74" t="s">
        <v>387</v>
      </c>
      <c r="C332" s="75" t="s">
        <v>16</v>
      </c>
      <c r="D332" s="76" t="s">
        <v>6</v>
      </c>
      <c r="E332" s="77" t="s">
        <v>388</v>
      </c>
      <c r="F332" s="86" t="s">
        <v>3024</v>
      </c>
      <c r="G332" s="77" t="s">
        <v>3045</v>
      </c>
      <c r="H332" s="79">
        <v>46257</v>
      </c>
      <c r="I332" s="80" t="s">
        <v>1834</v>
      </c>
      <c r="J332" s="80" t="s">
        <v>1129</v>
      </c>
      <c r="K332" s="80" t="str">
        <f t="shared" si="71"/>
        <v>Golden Gate ATR is a ftir accessories product from Specac Inc. for application-specific laboratory, engineering or industrial use.</v>
      </c>
      <c r="L332" s="80" t="str">
        <f t="shared" si="72"/>
        <v>Golden Gate ATR from Specac Inc. for ftir accessories applications. Review configuration requirements and request technical information or a quotation from DIWAN.</v>
      </c>
      <c r="M332" s="80" t="s">
        <v>2020</v>
      </c>
      <c r="N332" s="81" t="s">
        <v>2672</v>
      </c>
      <c r="O332" s="82" t="str" cm="1">
        <f t="array" ref="O332">_xlfn.LET(_xlpm.n,LOWER(E332),_xlpm.c,LOWER(B332),_xlpm.t,_xlfn.IFS(OR(ISNUMBER(SEARCH("lens",_xlpm.n)),ISNUMBER(SEARCH("optic",_xlpm.n)),ISNUMBER(SEARCH("polarizer",_xlpm.n))),"precision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"),E332&amp;" is "&amp;_xlpm.art&amp;_xlpm.t&amp;" from "&amp;C332&amp;" designed for application-specific laboratory, engineering or industrial use. It belongs to DIWAN's "&amp;B332&amp;" portfolio; final configuration must be selected against performance, integration and compliance requirements.")</f>
        <v>Golden Gate ATR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2" s="82" t="str">
        <f t="shared" si="73"/>
        <v>Selection should confirm the model-specific operating range, capacity, accuracy, interfaces, utilities, accessories, standards, environmental limits and service requirements. Final capabilities depend on the approved Golden Gate ATR configuration.</v>
      </c>
      <c r="Q332" s="82"/>
      <c r="R332" s="82" t="str">
        <f t="shared" si="74"/>
        <v>FTIR Accessories applications; laboratory research, engineering development, quality control and industrial deployment where applicable. Suitability must be confirmed against the user's sample, process, environment and required standards.</v>
      </c>
      <c r="S332" s="82"/>
      <c r="T332" s="82" t="str">
        <f t="shared" si="75"/>
        <v>Golden Gate ATR from Specac Inc.</v>
      </c>
      <c r="U332" s="82"/>
      <c r="V332" s="82" t="s">
        <v>2673</v>
      </c>
      <c r="W332" s="82" t="str">
        <f t="shared" si="76"/>
        <v>See other FTIR Accessories products</v>
      </c>
      <c r="X332" s="82" t="str">
        <f t="shared" si="77"/>
        <v>FTIR Accessories enquiry → website group enquiry form → category owner assignment</v>
      </c>
      <c r="Y332" s="82" t="str">
        <f t="shared" si="78"/>
        <v>Golden Gate ATR, FTIR Accessories, Specac Inc., technical equipment, DIWAN</v>
      </c>
      <c r="Z332" s="82" t="s">
        <v>2281</v>
      </c>
      <c r="AA332" s="83">
        <v>46257</v>
      </c>
      <c r="AB332" s="82" t="s">
        <v>2465</v>
      </c>
      <c r="AC332" s="84" t="str">
        <f t="shared" si="79"/>
        <v>Content drafted - assets/specs pending</v>
      </c>
      <c r="AD332" s="82"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2" s="85"/>
      <c r="AF332" s="85"/>
      <c r="AG332" s="85" t="s">
        <v>2467</v>
      </c>
      <c r="AH332" s="85" t="s">
        <v>2468</v>
      </c>
      <c r="AI332" s="85" t="s">
        <v>2469</v>
      </c>
    </row>
    <row r="333" spans="1:35" ht="42" customHeight="1" x14ac:dyDescent="0.35">
      <c r="A333" s="69">
        <f t="shared" si="81"/>
        <v>62</v>
      </c>
      <c r="B333" s="70" t="s">
        <v>387</v>
      </c>
      <c r="C333" s="71" t="s">
        <v>16</v>
      </c>
      <c r="D333" s="72" t="s">
        <v>6</v>
      </c>
      <c r="E333" s="45" t="s">
        <v>389</v>
      </c>
      <c r="F333" s="49" t="s">
        <v>3024</v>
      </c>
      <c r="G333" s="45" t="s">
        <v>3045</v>
      </c>
      <c r="H333" s="47">
        <v>46257</v>
      </c>
      <c r="I333" s="48" t="s">
        <v>1835</v>
      </c>
      <c r="J333" s="48" t="s">
        <v>1130</v>
      </c>
      <c r="K333" s="48" t="str">
        <f t="shared" si="71"/>
        <v>Quest ATR Accessory is a ftir accessories product from Specac Inc. for application-specific laboratory, engineering or industrial use.</v>
      </c>
      <c r="L333" s="48" t="str">
        <f t="shared" si="72"/>
        <v>Quest ATR Accessory from Specac Inc. for ftir accessories applications. Review configuration requirements and request technical information or a quotation from DIWAN.</v>
      </c>
      <c r="M333" s="48" t="s">
        <v>2020</v>
      </c>
      <c r="N333" s="61" t="s">
        <v>2672</v>
      </c>
      <c r="O333" s="54" t="str" cm="1">
        <f t="array" ref="O333">_xlfn.LET(_xlpm.n,LOWER(E333),_xlpm.c,LOWER(B333),_xlpm.t,_xlfn.IFS(OR(ISNUMBER(SEARCH("lens",_xlpm.n)),ISNUMBER(SEARCH("optic",_xlpm.n)),ISNUMBER(SEARCH("polarizer",_xlpm.n))),"precision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"),E333&amp;" is "&amp;_xlpm.art&amp;_xlpm.t&amp;" from "&amp;C333&amp;" designed for application-specific laboratory, engineering or industrial use. It belongs to DIWAN's "&amp;B333&amp;" portfolio; final configuration must be selected against performance, integration and compliance requirements.")</f>
        <v>Quest ATR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3" s="54" t="str">
        <f t="shared" si="73"/>
        <v>Selection should confirm the model-specific operating range, capacity, accuracy, interfaces, utilities, accessories, standards, environmental limits and service requirements. Final capabilities depend on the approved Quest ATR Accessory configuration.</v>
      </c>
      <c r="Q333" s="54"/>
      <c r="R333" s="54" t="str">
        <f t="shared" si="74"/>
        <v>FTIR Accessories applications; laboratory research, engineering development, quality control and industrial deployment where applicable. Suitability must be confirmed against the user's sample, process, environment and required standards.</v>
      </c>
      <c r="S333" s="54"/>
      <c r="T333" s="54" t="str">
        <f t="shared" si="75"/>
        <v>Quest ATR Accessory from Specac Inc.</v>
      </c>
      <c r="U333" s="54"/>
      <c r="V333" s="54" t="s">
        <v>2673</v>
      </c>
      <c r="W333" s="54" t="str">
        <f t="shared" si="76"/>
        <v>See other FTIR Accessories products</v>
      </c>
      <c r="X333" s="54" t="str">
        <f t="shared" si="77"/>
        <v>FTIR Accessories enquiry → website group enquiry form → category owner assignment</v>
      </c>
      <c r="Y333" s="54" t="str">
        <f t="shared" si="78"/>
        <v>Quest ATR Accessory, FTIR Accessories, Specac Inc., technical equipment, DIWAN</v>
      </c>
      <c r="Z333" s="54" t="s">
        <v>2281</v>
      </c>
      <c r="AA333" s="55">
        <v>46257</v>
      </c>
      <c r="AB333" s="54" t="s">
        <v>2465</v>
      </c>
      <c r="AC333" s="63" t="str">
        <f t="shared" si="79"/>
        <v>Content drafted - assets/specs pending</v>
      </c>
      <c r="AD333"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3" s="58"/>
      <c r="AF333" s="58"/>
      <c r="AG333" s="58" t="s">
        <v>2467</v>
      </c>
      <c r="AH333" s="58" t="s">
        <v>2468</v>
      </c>
      <c r="AI333" s="58" t="s">
        <v>2469</v>
      </c>
    </row>
    <row r="334" spans="1:35" ht="42" customHeight="1" x14ac:dyDescent="0.35">
      <c r="A334" s="69">
        <f t="shared" si="81"/>
        <v>62</v>
      </c>
      <c r="B334" s="70" t="s">
        <v>387</v>
      </c>
      <c r="C334" s="71" t="s">
        <v>16</v>
      </c>
      <c r="D334" s="72" t="s">
        <v>6</v>
      </c>
      <c r="E334" s="45" t="s">
        <v>390</v>
      </c>
      <c r="F334" s="49" t="s">
        <v>3024</v>
      </c>
      <c r="G334" s="45" t="s">
        <v>3045</v>
      </c>
      <c r="H334" s="47">
        <v>46257</v>
      </c>
      <c r="I334" s="48" t="s">
        <v>1836</v>
      </c>
      <c r="J334" s="48" t="s">
        <v>1131</v>
      </c>
      <c r="K334" s="48" t="str">
        <f t="shared" si="71"/>
        <v>Silver Gate ATR Accessory is a ftir accessories product from Specac Inc. for application-specific laboratory, engineering or industrial use.</v>
      </c>
      <c r="L334" s="48" t="str">
        <f t="shared" si="72"/>
        <v>Silver Gate ATR Accessory from Specac Inc. for ftir accessories applications. Review configuration requirements and request technical information or a quotation from DIWAN.</v>
      </c>
      <c r="M334" s="48" t="s">
        <v>2020</v>
      </c>
      <c r="N334" s="61" t="s">
        <v>2672</v>
      </c>
      <c r="O334" s="54" t="str" cm="1">
        <f t="array" ref="O334">_xlfn.LET(_xlpm.n,LOWER(E334),_xlpm.c,LOWER(B334),_xlpm.t,_xlfn.IFS(OR(ISNUMBER(SEARCH("lens",_xlpm.n)),ISNUMBER(SEARCH("optic",_xlpm.n)),ISNUMBER(SEARCH("polarizer",_xlpm.n))),"precision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"),E334&amp;" is "&amp;_xlpm.art&amp;_xlpm.t&amp;" from "&amp;C334&amp;" designed for application-specific laboratory, engineering or industrial use. It belongs to DIWAN's "&amp;B334&amp;" portfolio; final configuration must be selected against performance, integration and compliance requirements.")</f>
        <v>Silver Gate ATR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4" s="54" t="str">
        <f t="shared" si="73"/>
        <v>Selection should confirm the model-specific operating range, capacity, accuracy, interfaces, utilities, accessories, standards, environmental limits and service requirements. Final capabilities depend on the approved Silver Gate ATR Accessory configuration.</v>
      </c>
      <c r="Q334" s="54"/>
      <c r="R334" s="54" t="str">
        <f t="shared" si="74"/>
        <v>FTIR Accessories applications; laboratory research, engineering development, quality control and industrial deployment where applicable. Suitability must be confirmed against the user's sample, process, environment and required standards.</v>
      </c>
      <c r="S334" s="54"/>
      <c r="T334" s="54" t="str">
        <f t="shared" si="75"/>
        <v>Silver Gate ATR Accessory from Specac Inc.</v>
      </c>
      <c r="U334" s="54"/>
      <c r="V334" s="54" t="s">
        <v>2673</v>
      </c>
      <c r="W334" s="54" t="str">
        <f t="shared" si="76"/>
        <v>See other FTIR Accessories products</v>
      </c>
      <c r="X334" s="54" t="str">
        <f t="shared" si="77"/>
        <v>FTIR Accessories enquiry → website group enquiry form → category owner assignment</v>
      </c>
      <c r="Y334" s="54" t="str">
        <f t="shared" si="78"/>
        <v>Silver Gate ATR Accessory, FTIR Accessories, Specac Inc., technical equipment, DIWAN</v>
      </c>
      <c r="Z334" s="54" t="s">
        <v>2281</v>
      </c>
      <c r="AA334" s="55">
        <v>46257</v>
      </c>
      <c r="AB334" s="54" t="s">
        <v>2465</v>
      </c>
      <c r="AC334" s="63" t="str">
        <f t="shared" si="79"/>
        <v>Content drafted - assets/specs pending</v>
      </c>
      <c r="AD33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4" s="58"/>
      <c r="AF334" s="58"/>
      <c r="AG334" s="58" t="s">
        <v>2467</v>
      </c>
      <c r="AH334" s="58" t="s">
        <v>2468</v>
      </c>
      <c r="AI334" s="58" t="s">
        <v>2469</v>
      </c>
    </row>
    <row r="335" spans="1:35" ht="42" customHeight="1" x14ac:dyDescent="0.35">
      <c r="A335" s="69">
        <f t="shared" si="81"/>
        <v>62</v>
      </c>
      <c r="B335" s="70" t="s">
        <v>387</v>
      </c>
      <c r="C335" s="71" t="s">
        <v>16</v>
      </c>
      <c r="D335" s="72" t="s">
        <v>6</v>
      </c>
      <c r="E335" s="45" t="s">
        <v>391</v>
      </c>
      <c r="F335" s="49" t="s">
        <v>3024</v>
      </c>
      <c r="G335" s="45" t="s">
        <v>3045</v>
      </c>
      <c r="H335" s="47">
        <v>46257</v>
      </c>
      <c r="I335" s="48" t="s">
        <v>1837</v>
      </c>
      <c r="J335" s="48" t="s">
        <v>1132</v>
      </c>
      <c r="K335" s="48" t="str">
        <f t="shared" si="71"/>
        <v>GladiATR ATR Accessory is a ftir accessories product from Specac Inc. for application-specific laboratory, engineering or industrial use.</v>
      </c>
      <c r="L335" s="48" t="str">
        <f t="shared" si="72"/>
        <v>GladiATR ATR Accessory from Specac Inc. for ftir accessories applications. Review configuration requirements and request technical information or a quotation from DIWAN.</v>
      </c>
      <c r="M335" s="48" t="s">
        <v>2020</v>
      </c>
      <c r="N335" s="61" t="s">
        <v>2672</v>
      </c>
      <c r="O335" s="54" t="str" cm="1">
        <f t="array" ref="O335">_xlfn.LET(_xlpm.n,LOWER(E335),_xlpm.c,LOWER(B335),_xlpm.t,_xlfn.IFS(OR(ISNUMBER(SEARCH("lens",_xlpm.n)),ISNUMBER(SEARCH("optic",_xlpm.n)),ISNUMBER(SEARCH("polarizer",_xlpm.n))),"precision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"),E335&amp;" is "&amp;_xlpm.art&amp;_xlpm.t&amp;" from "&amp;C335&amp;" designed for application-specific laboratory, engineering or industrial use. It belongs to DIWAN's "&amp;B335&amp;" portfolio; final configuration must be selected against performance, integration and compliance requirements.")</f>
        <v>GladiATR ATR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5" s="54" t="str">
        <f t="shared" si="73"/>
        <v>Selection should confirm the model-specific operating range, capacity, accuracy, interfaces, utilities, accessories, standards, environmental limits and service requirements. Final capabilities depend on the approved GladiATR ATR Accessory configuration.</v>
      </c>
      <c r="Q335" s="54"/>
      <c r="R335" s="54" t="str">
        <f t="shared" si="74"/>
        <v>FTIR Accessories applications; laboratory research, engineering development, quality control and industrial deployment where applicable. Suitability must be confirmed against the user's sample, process, environment and required standards.</v>
      </c>
      <c r="S335" s="54"/>
      <c r="T335" s="54" t="str">
        <f t="shared" si="75"/>
        <v>GladiATR ATR Accessory from Specac Inc.</v>
      </c>
      <c r="U335" s="54"/>
      <c r="V335" s="54" t="s">
        <v>2673</v>
      </c>
      <c r="W335" s="54" t="str">
        <f t="shared" si="76"/>
        <v>See other FTIR Accessories products</v>
      </c>
      <c r="X335" s="54" t="str">
        <f t="shared" si="77"/>
        <v>FTIR Accessories enquiry → website group enquiry form → category owner assignment</v>
      </c>
      <c r="Y335" s="54" t="str">
        <f t="shared" si="78"/>
        <v>GladiATR ATR Accessory, FTIR Accessories, Specac Inc., technical equipment, DIWAN</v>
      </c>
      <c r="Z335" s="54" t="s">
        <v>2281</v>
      </c>
      <c r="AA335" s="55">
        <v>46257</v>
      </c>
      <c r="AB335" s="54" t="s">
        <v>2465</v>
      </c>
      <c r="AC335" s="63" t="str">
        <f t="shared" si="79"/>
        <v>Content drafted - assets/specs pending</v>
      </c>
      <c r="AD33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5" s="58"/>
      <c r="AF335" s="58"/>
      <c r="AG335" s="58" t="s">
        <v>2467</v>
      </c>
      <c r="AH335" s="58" t="s">
        <v>2468</v>
      </c>
      <c r="AI335" s="58" t="s">
        <v>2469</v>
      </c>
    </row>
    <row r="336" spans="1:35" ht="42" customHeight="1" x14ac:dyDescent="0.35">
      <c r="A336" s="69">
        <f t="shared" si="81"/>
        <v>62</v>
      </c>
      <c r="B336" s="70" t="s">
        <v>387</v>
      </c>
      <c r="C336" s="71" t="s">
        <v>16</v>
      </c>
      <c r="D336" s="72" t="s">
        <v>6</v>
      </c>
      <c r="E336" s="45" t="s">
        <v>392</v>
      </c>
      <c r="F336" s="49" t="s">
        <v>3024</v>
      </c>
      <c r="G336" s="45" t="s">
        <v>3045</v>
      </c>
      <c r="H336" s="47">
        <v>46257</v>
      </c>
      <c r="I336" s="48" t="s">
        <v>1838</v>
      </c>
      <c r="J336" s="48" t="s">
        <v>1133</v>
      </c>
      <c r="K336" s="48" t="str">
        <f t="shared" si="71"/>
        <v>Gateway ATR Accessory is a ftir accessories product from Specac Inc. for application-specific laboratory, engineering or industrial use.</v>
      </c>
      <c r="L336" s="48" t="str">
        <f t="shared" si="72"/>
        <v>Gateway ATR Accessory from Specac Inc. for ftir accessories applications. Review configuration requirements and request technical information or a quotation from DIWAN.</v>
      </c>
      <c r="M336" s="48" t="s">
        <v>2020</v>
      </c>
      <c r="N336" s="61" t="s">
        <v>2672</v>
      </c>
      <c r="O336" s="54" t="str" cm="1">
        <f t="array" ref="O336">_xlfn.LET(_xlpm.n,LOWER(E336),_xlpm.c,LOWER(B336),_xlpm.t,_xlfn.IFS(OR(ISNUMBER(SEARCH("lens",_xlpm.n)),ISNUMBER(SEARCH("optic",_xlpm.n)),ISNUMBER(SEARCH("polarizer",_xlpm.n))),"precision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"),E336&amp;" is "&amp;_xlpm.art&amp;_xlpm.t&amp;" from "&amp;C336&amp;" designed for application-specific laboratory, engineering or industrial use. It belongs to DIWAN's "&amp;B336&amp;" portfolio; final configuration must be selected against performance, integration and compliance requirements.")</f>
        <v>Gateway ATR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6" s="54" t="str">
        <f t="shared" si="73"/>
        <v>Selection should confirm the model-specific operating range, capacity, accuracy, interfaces, utilities, accessories, standards, environmental limits and service requirements. Final capabilities depend on the approved Gateway ATR Accessory configuration.</v>
      </c>
      <c r="Q336" s="54"/>
      <c r="R336" s="54" t="str">
        <f t="shared" si="74"/>
        <v>FTIR Accessories applications; laboratory research, engineering development, quality control and industrial deployment where applicable. Suitability must be confirmed against the user's sample, process, environment and required standards.</v>
      </c>
      <c r="S336" s="54"/>
      <c r="T336" s="54" t="str">
        <f t="shared" si="75"/>
        <v>Gateway ATR Accessory from Specac Inc.</v>
      </c>
      <c r="U336" s="54"/>
      <c r="V336" s="54" t="s">
        <v>2673</v>
      </c>
      <c r="W336" s="54" t="str">
        <f t="shared" si="76"/>
        <v>See other FTIR Accessories products</v>
      </c>
      <c r="X336" s="54" t="str">
        <f t="shared" si="77"/>
        <v>FTIR Accessories enquiry → website group enquiry form → category owner assignment</v>
      </c>
      <c r="Y336" s="54" t="str">
        <f t="shared" si="78"/>
        <v>Gateway ATR Accessory, FTIR Accessories, Specac Inc., technical equipment, DIWAN</v>
      </c>
      <c r="Z336" s="54" t="s">
        <v>2281</v>
      </c>
      <c r="AA336" s="55">
        <v>46257</v>
      </c>
      <c r="AB336" s="54" t="s">
        <v>2465</v>
      </c>
      <c r="AC336" s="63" t="str">
        <f t="shared" si="79"/>
        <v>Content drafted - assets/specs pending</v>
      </c>
      <c r="AD33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6" s="58"/>
      <c r="AF336" s="58"/>
      <c r="AG336" s="58" t="s">
        <v>2467</v>
      </c>
      <c r="AH336" s="58" t="s">
        <v>2468</v>
      </c>
      <c r="AI336" s="58" t="s">
        <v>2469</v>
      </c>
    </row>
    <row r="337" spans="1:35" ht="42" customHeight="1" x14ac:dyDescent="0.35">
      <c r="A337" s="69">
        <f t="shared" si="81"/>
        <v>62</v>
      </c>
      <c r="B337" s="70" t="s">
        <v>387</v>
      </c>
      <c r="C337" s="71" t="s">
        <v>16</v>
      </c>
      <c r="D337" s="72" t="s">
        <v>6</v>
      </c>
      <c r="E337" s="45" t="s">
        <v>393</v>
      </c>
      <c r="F337" s="49" t="s">
        <v>3024</v>
      </c>
      <c r="G337" s="45" t="s">
        <v>3045</v>
      </c>
      <c r="H337" s="47">
        <v>46257</v>
      </c>
      <c r="I337" s="48" t="s">
        <v>1839</v>
      </c>
      <c r="J337" s="48" t="s">
        <v>1134</v>
      </c>
      <c r="K337" s="48" t="str">
        <f t="shared" si="71"/>
        <v>Transmission Accessory is a ftir accessories product from Specac Inc. for application-specific laboratory, engineering or industrial use.</v>
      </c>
      <c r="L337" s="48" t="str">
        <f t="shared" si="72"/>
        <v>Transmission Accessory from Specac Inc. for ftir accessories applications. Review configuration requirements and request technical information or a quotation from DIWAN.</v>
      </c>
      <c r="M337" s="48" t="s">
        <v>2020</v>
      </c>
      <c r="N337" s="61" t="s">
        <v>2672</v>
      </c>
      <c r="O337" s="54" t="str" cm="1">
        <f t="array" ref="O337">_xlfn.LET(_xlpm.n,LOWER(E337),_xlpm.c,LOWER(B337),_xlpm.t,_xlfn.IFS(OR(ISNUMBER(SEARCH("lens",_xlpm.n)),ISNUMBER(SEARCH("optic",_xlpm.n)),ISNUMBER(SEARCH("polarizer",_xlpm.n))),"precision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"),E337&amp;" is "&amp;_xlpm.art&amp;_xlpm.t&amp;" from "&amp;C337&amp;" designed for application-specific laboratory, engineering or industrial use. It belongs to DIWAN's "&amp;B337&amp;" portfolio; final configuration must be selected against performance, integration and compliance requirements.")</f>
        <v>Transmission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7" s="54" t="str">
        <f t="shared" si="73"/>
        <v>Selection should confirm the model-specific operating range, capacity, accuracy, interfaces, utilities, accessories, standards, environmental limits and service requirements. Final capabilities depend on the approved Transmission Accessory configuration.</v>
      </c>
      <c r="Q337" s="54"/>
      <c r="R337" s="54" t="str">
        <f t="shared" si="74"/>
        <v>FTIR Accessories applications; laboratory research, engineering development, quality control and industrial deployment where applicable. Suitability must be confirmed against the user's sample, process, environment and required standards.</v>
      </c>
      <c r="S337" s="54"/>
      <c r="T337" s="54" t="str">
        <f t="shared" si="75"/>
        <v>Transmission Accessory from Specac Inc.</v>
      </c>
      <c r="U337" s="54"/>
      <c r="V337" s="54" t="s">
        <v>2673</v>
      </c>
      <c r="W337" s="54" t="str">
        <f t="shared" si="76"/>
        <v>See other FTIR Accessories products</v>
      </c>
      <c r="X337" s="54" t="str">
        <f t="shared" si="77"/>
        <v>FTIR Accessories enquiry → website group enquiry form → category owner assignment</v>
      </c>
      <c r="Y337" s="54" t="str">
        <f t="shared" si="78"/>
        <v>Transmission Accessory, FTIR Accessories, Specac Inc., technical equipment, DIWAN</v>
      </c>
      <c r="Z337" s="54" t="s">
        <v>2281</v>
      </c>
      <c r="AA337" s="55">
        <v>46257</v>
      </c>
      <c r="AB337" s="54" t="s">
        <v>2465</v>
      </c>
      <c r="AC337" s="63" t="str">
        <f t="shared" si="79"/>
        <v>Content drafted - assets/specs pending</v>
      </c>
      <c r="AD33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7" s="58"/>
      <c r="AF337" s="58"/>
      <c r="AG337" s="58" t="s">
        <v>2467</v>
      </c>
      <c r="AH337" s="58" t="s">
        <v>2468</v>
      </c>
      <c r="AI337" s="58" t="s">
        <v>2469</v>
      </c>
    </row>
    <row r="338" spans="1:35" ht="42" customHeight="1" x14ac:dyDescent="0.35">
      <c r="A338" s="69">
        <f t="shared" si="81"/>
        <v>62</v>
      </c>
      <c r="B338" s="70" t="s">
        <v>387</v>
      </c>
      <c r="C338" s="71" t="s">
        <v>16</v>
      </c>
      <c r="D338" s="72" t="s">
        <v>6</v>
      </c>
      <c r="E338" s="45" t="s">
        <v>394</v>
      </c>
      <c r="F338" s="49" t="s">
        <v>3024</v>
      </c>
      <c r="G338" s="45" t="s">
        <v>3045</v>
      </c>
      <c r="H338" s="47">
        <v>46257</v>
      </c>
      <c r="I338" s="48" t="s">
        <v>1840</v>
      </c>
      <c r="J338" s="48" t="s">
        <v>1135</v>
      </c>
      <c r="K338" s="48" t="str">
        <f t="shared" si="71"/>
        <v>Vacuum Jacketed Gas Cells is a ftir accessories product from Specac Inc. for application-specific laboratory, engineering or industrial use.</v>
      </c>
      <c r="L338" s="48" t="str">
        <f t="shared" si="72"/>
        <v>Vacuum Jacketed Gas Cells from Specac Inc. for ftir accessories applications. Review configuration requirements and request technical information or a quotation from DIWAN.</v>
      </c>
      <c r="M338" s="48" t="s">
        <v>2020</v>
      </c>
      <c r="N338" s="61" t="s">
        <v>2672</v>
      </c>
      <c r="O338" s="54" t="str" cm="1">
        <f t="array" ref="O338">_xlfn.LET(_xlpm.n,LOWER(E338),_xlpm.c,LOWER(B338),_xlpm.t,_xlfn.IFS(OR(ISNUMBER(SEARCH("lens",_xlpm.n)),ISNUMBER(SEARCH("optic",_xlpm.n)),ISNUMBER(SEARCH("polarizer",_xlpm.n))),"precision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"),E338&amp;" is "&amp;_xlpm.art&amp;_xlpm.t&amp;" from "&amp;C338&amp;" designed for application-specific laboratory, engineering or industrial use. It belongs to DIWAN's "&amp;B338&amp;" portfolio; final configuration must be selected against performance, integration and compliance requirements.")</f>
        <v>Vacuum Jacketed Gas Cells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8" s="54" t="str">
        <f t="shared" si="73"/>
        <v>Selection should confirm the model-specific operating range, capacity, accuracy, interfaces, utilities, accessories, standards, environmental limits and service requirements. Final capabilities depend on the approved Vacuum Jacketed Gas Cells configuration.</v>
      </c>
      <c r="Q338" s="54"/>
      <c r="R338" s="54" t="str">
        <f t="shared" si="74"/>
        <v>FTIR Accessories applications; laboratory research, engineering development, quality control and industrial deployment where applicable. Suitability must be confirmed against the user's sample, process, environment and required standards.</v>
      </c>
      <c r="S338" s="54"/>
      <c r="T338" s="54" t="str">
        <f t="shared" si="75"/>
        <v>Vacuum Jacketed Gas Cells from Specac Inc.</v>
      </c>
      <c r="U338" s="54"/>
      <c r="V338" s="54" t="s">
        <v>2673</v>
      </c>
      <c r="W338" s="54" t="str">
        <f t="shared" si="76"/>
        <v>See other FTIR Accessories products</v>
      </c>
      <c r="X338" s="54" t="str">
        <f t="shared" si="77"/>
        <v>FTIR Accessories enquiry → website group enquiry form → category owner assignment</v>
      </c>
      <c r="Y338" s="54" t="str">
        <f t="shared" si="78"/>
        <v>Vacuum Jacketed Gas Cells, FTIR Accessories, Specac Inc., technical equipment, DIWAN</v>
      </c>
      <c r="Z338" s="54" t="s">
        <v>2281</v>
      </c>
      <c r="AA338" s="55">
        <v>46257</v>
      </c>
      <c r="AB338" s="54" t="s">
        <v>2465</v>
      </c>
      <c r="AC338" s="63" t="str">
        <f t="shared" si="79"/>
        <v>Content drafted - assets/specs pending</v>
      </c>
      <c r="AD33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8" s="58"/>
      <c r="AF338" s="58"/>
      <c r="AG338" s="58" t="s">
        <v>2467</v>
      </c>
      <c r="AH338" s="58" t="s">
        <v>2468</v>
      </c>
      <c r="AI338" s="58" t="s">
        <v>2469</v>
      </c>
    </row>
    <row r="339" spans="1:35" ht="42" customHeight="1" x14ac:dyDescent="0.35">
      <c r="A339" s="69">
        <f t="shared" si="81"/>
        <v>62</v>
      </c>
      <c r="B339" s="70" t="s">
        <v>387</v>
      </c>
      <c r="C339" s="71" t="s">
        <v>16</v>
      </c>
      <c r="D339" s="72" t="s">
        <v>6</v>
      </c>
      <c r="E339" s="45" t="s">
        <v>395</v>
      </c>
      <c r="F339" s="49" t="s">
        <v>3024</v>
      </c>
      <c r="G339" s="45" t="s">
        <v>3045</v>
      </c>
      <c r="H339" s="47">
        <v>46257</v>
      </c>
      <c r="I339" s="48" t="s">
        <v>1841</v>
      </c>
      <c r="J339" s="48" t="s">
        <v>1136</v>
      </c>
      <c r="K339" s="48" t="str">
        <f t="shared" si="71"/>
        <v>Storm Heated Cell is a ftir accessories product from Specac Inc. for application-specific laboratory, engineering or industrial use.</v>
      </c>
      <c r="L339" s="48" t="str">
        <f t="shared" si="72"/>
        <v>Storm Heated Cell from Specac Inc. for ftir accessories applications. Review configuration requirements and request technical information or a quotation from DIWAN.</v>
      </c>
      <c r="M339" s="48" t="s">
        <v>2020</v>
      </c>
      <c r="N339" s="61" t="s">
        <v>2672</v>
      </c>
      <c r="O339" s="54" t="str" cm="1">
        <f t="array" ref="O339">_xlfn.LET(_xlpm.n,LOWER(E339),_xlpm.c,LOWER(B339),_xlpm.t,_xlfn.IFS(OR(ISNUMBER(SEARCH("lens",_xlpm.n)),ISNUMBER(SEARCH("optic",_xlpm.n)),ISNUMBER(SEARCH("polarizer",_xlpm.n))),"precision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"),E339&amp;" is "&amp;_xlpm.art&amp;_xlpm.t&amp;" from "&amp;C339&amp;" designed for application-specific laboratory, engineering or industrial use. It belongs to DIWAN's "&amp;B339&amp;" portfolio; final configuration must be selected against performance, integration and compliance requirements.")</f>
        <v>Storm Heated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39" s="54" t="str">
        <f t="shared" si="73"/>
        <v>Selection should confirm the model-specific operating range, capacity, accuracy, interfaces, utilities, accessories, standards, environmental limits and service requirements. Final capabilities depend on the approved Storm Heated Cell configuration.</v>
      </c>
      <c r="Q339" s="54"/>
      <c r="R339" s="54" t="str">
        <f t="shared" si="74"/>
        <v>FTIR Accessories applications; laboratory research, engineering development, quality control and industrial deployment where applicable. Suitability must be confirmed against the user's sample, process, environment and required standards.</v>
      </c>
      <c r="S339" s="54"/>
      <c r="T339" s="54" t="str">
        <f t="shared" si="75"/>
        <v>Storm Heated Cell from Specac Inc.</v>
      </c>
      <c r="U339" s="54"/>
      <c r="V339" s="54" t="s">
        <v>2673</v>
      </c>
      <c r="W339" s="54" t="str">
        <f t="shared" si="76"/>
        <v>See other FTIR Accessories products</v>
      </c>
      <c r="X339" s="54" t="str">
        <f t="shared" si="77"/>
        <v>FTIR Accessories enquiry → website group enquiry form → category owner assignment</v>
      </c>
      <c r="Y339" s="54" t="str">
        <f t="shared" si="78"/>
        <v>Storm Heated Cell, FTIR Accessories, Specac Inc., technical equipment, DIWAN</v>
      </c>
      <c r="Z339" s="54" t="s">
        <v>2281</v>
      </c>
      <c r="AA339" s="55">
        <v>46257</v>
      </c>
      <c r="AB339" s="54" t="s">
        <v>2465</v>
      </c>
      <c r="AC339" s="63" t="str">
        <f t="shared" si="79"/>
        <v>Content drafted - assets/specs pending</v>
      </c>
      <c r="AD33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39" s="58"/>
      <c r="AF339" s="58"/>
      <c r="AG339" s="58" t="s">
        <v>2467</v>
      </c>
      <c r="AH339" s="58" t="s">
        <v>2468</v>
      </c>
      <c r="AI339" s="58" t="s">
        <v>2469</v>
      </c>
    </row>
    <row r="340" spans="1:35" ht="42" customHeight="1" x14ac:dyDescent="0.35">
      <c r="A340" s="69">
        <f t="shared" si="81"/>
        <v>62</v>
      </c>
      <c r="B340" s="70" t="s">
        <v>387</v>
      </c>
      <c r="C340" s="71" t="s">
        <v>16</v>
      </c>
      <c r="D340" s="72" t="s">
        <v>6</v>
      </c>
      <c r="E340" s="45" t="s">
        <v>396</v>
      </c>
      <c r="F340" s="49" t="s">
        <v>3024</v>
      </c>
      <c r="G340" s="45" t="s">
        <v>3045</v>
      </c>
      <c r="H340" s="47">
        <v>46257</v>
      </c>
      <c r="I340" s="48" t="s">
        <v>1842</v>
      </c>
      <c r="J340" s="48" t="s">
        <v>1137</v>
      </c>
      <c r="K340" s="48" t="str">
        <f t="shared" si="71"/>
        <v>Heated Jacketed Sample Cup is a ftir accessories product from Specac Inc. for application-specific laboratory, engineering or industrial use.</v>
      </c>
      <c r="L340" s="48" t="str">
        <f t="shared" si="72"/>
        <v>Heated Jacketed Sample Cup from Specac Inc. for ftir accessories applications. Review configuration requirements and request technical information or a quotation from DIWAN.</v>
      </c>
      <c r="M340" s="48" t="s">
        <v>2020</v>
      </c>
      <c r="N340" s="61" t="s">
        <v>2672</v>
      </c>
      <c r="O340" s="54" t="str" cm="1">
        <f t="array" ref="O340">_xlfn.LET(_xlpm.n,LOWER(E340),_xlpm.c,LOWER(B340),_xlpm.t,_xlfn.IFS(OR(ISNUMBER(SEARCH("lens",_xlpm.n)),ISNUMBER(SEARCH("optic",_xlpm.n)),ISNUMBER(SEARCH("polarizer",_xlpm.n))),"precision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"),E340&amp;" is "&amp;_xlpm.art&amp;_xlpm.t&amp;" from "&amp;C340&amp;" designed for application-specific laboratory, engineering or industrial use. It belongs to DIWAN's "&amp;B340&amp;" portfolio; final configuration must be selected against performance, integration and compliance requirements.")</f>
        <v>Heated Jacketed Sample Cup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0" s="54" t="str">
        <f t="shared" si="73"/>
        <v>Selection should confirm the model-specific operating range, capacity, accuracy, interfaces, utilities, accessories, standards, environmental limits and service requirements. Final capabilities depend on the approved Heated Jacketed Sample Cup configuration.</v>
      </c>
      <c r="Q340" s="54"/>
      <c r="R340" s="54" t="str">
        <f t="shared" si="74"/>
        <v>FTIR Accessories applications; laboratory research, engineering development, quality control and industrial deployment where applicable. Suitability must be confirmed against the user's sample, process, environment and required standards.</v>
      </c>
      <c r="S340" s="54"/>
      <c r="T340" s="54" t="str">
        <f t="shared" si="75"/>
        <v>Heated Jacketed Sample Cup from Specac Inc.</v>
      </c>
      <c r="U340" s="54"/>
      <c r="V340" s="54" t="s">
        <v>2673</v>
      </c>
      <c r="W340" s="54" t="str">
        <f t="shared" si="76"/>
        <v>See other FTIR Accessories products</v>
      </c>
      <c r="X340" s="54" t="str">
        <f t="shared" si="77"/>
        <v>FTIR Accessories enquiry → website group enquiry form → category owner assignment</v>
      </c>
      <c r="Y340" s="54" t="str">
        <f t="shared" si="78"/>
        <v>Heated Jacketed Sample Cup, FTIR Accessories, Specac Inc., technical equipment, DIWAN</v>
      </c>
      <c r="Z340" s="54" t="s">
        <v>2281</v>
      </c>
      <c r="AA340" s="55">
        <v>46257</v>
      </c>
      <c r="AB340" s="54" t="s">
        <v>2465</v>
      </c>
      <c r="AC340" s="63" t="str">
        <f t="shared" si="79"/>
        <v>Content drafted - assets/specs pending</v>
      </c>
      <c r="AD34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0" s="58"/>
      <c r="AF340" s="58"/>
      <c r="AG340" s="58" t="s">
        <v>2467</v>
      </c>
      <c r="AH340" s="58" t="s">
        <v>2468</v>
      </c>
      <c r="AI340" s="58" t="s">
        <v>2469</v>
      </c>
    </row>
    <row r="341" spans="1:35" ht="42" customHeight="1" x14ac:dyDescent="0.35">
      <c r="A341" s="69">
        <f t="shared" si="81"/>
        <v>62</v>
      </c>
      <c r="B341" s="70" t="s">
        <v>387</v>
      </c>
      <c r="C341" s="71" t="s">
        <v>16</v>
      </c>
      <c r="D341" s="72" t="s">
        <v>6</v>
      </c>
      <c r="E341" s="45" t="s">
        <v>397</v>
      </c>
      <c r="F341" s="49" t="s">
        <v>3024</v>
      </c>
      <c r="G341" s="45" t="s">
        <v>3045</v>
      </c>
      <c r="H341" s="47">
        <v>46257</v>
      </c>
      <c r="I341" s="48" t="s">
        <v>1843</v>
      </c>
      <c r="J341" s="48" t="s">
        <v>1138</v>
      </c>
      <c r="K341" s="48" t="str">
        <f t="shared" si="71"/>
        <v>Water Heating Jacket is a ftir accessories product from Specac Inc. for application-specific laboratory, engineering or industrial use.</v>
      </c>
      <c r="L341" s="48" t="str">
        <f t="shared" si="72"/>
        <v>Water Heating Jacket from Specac Inc. for ftir accessories applications. Review configuration requirements and request technical information or a quotation from DIWAN.</v>
      </c>
      <c r="M341" s="48" t="s">
        <v>2020</v>
      </c>
      <c r="N341" s="61" t="s">
        <v>2672</v>
      </c>
      <c r="O341" s="54" t="str" cm="1">
        <f t="array" ref="O341">_xlfn.LET(_xlpm.n,LOWER(E341),_xlpm.c,LOWER(B341),_xlpm.t,_xlfn.IFS(OR(ISNUMBER(SEARCH("lens",_xlpm.n)),ISNUMBER(SEARCH("optic",_xlpm.n)),ISNUMBER(SEARCH("polarizer",_xlpm.n))),"precision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"),E341&amp;" is "&amp;_xlpm.art&amp;_xlpm.t&amp;" from "&amp;C341&amp;" designed for application-specific laboratory, engineering or industrial use. It belongs to DIWAN's "&amp;B341&amp;" portfolio; final configuration must be selected against performance, integration and compliance requirements.")</f>
        <v>Water Heating Jacket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1" s="54" t="str">
        <f t="shared" si="73"/>
        <v>Selection should confirm the model-specific operating range, capacity, accuracy, interfaces, utilities, accessories, standards, environmental limits and service requirements. Final capabilities depend on the approved Water Heating Jacket configuration.</v>
      </c>
      <c r="Q341" s="54"/>
      <c r="R341" s="54" t="str">
        <f t="shared" si="74"/>
        <v>FTIR Accessories applications; laboratory research, engineering development, quality control and industrial deployment where applicable. Suitability must be confirmed against the user's sample, process, environment and required standards.</v>
      </c>
      <c r="S341" s="54"/>
      <c r="T341" s="54" t="str">
        <f t="shared" si="75"/>
        <v>Water Heating Jacket from Specac Inc.</v>
      </c>
      <c r="U341" s="54"/>
      <c r="V341" s="54" t="s">
        <v>2673</v>
      </c>
      <c r="W341" s="54" t="str">
        <f t="shared" si="76"/>
        <v>See other FTIR Accessories products</v>
      </c>
      <c r="X341" s="54" t="str">
        <f t="shared" si="77"/>
        <v>FTIR Accessories enquiry → website group enquiry form → category owner assignment</v>
      </c>
      <c r="Y341" s="54" t="str">
        <f t="shared" si="78"/>
        <v>Water Heating Jacket, FTIR Accessories, Specac Inc., technical equipment, DIWAN</v>
      </c>
      <c r="Z341" s="54" t="s">
        <v>2281</v>
      </c>
      <c r="AA341" s="55">
        <v>46257</v>
      </c>
      <c r="AB341" s="54" t="s">
        <v>2465</v>
      </c>
      <c r="AC341" s="63" t="str">
        <f t="shared" si="79"/>
        <v>Content drafted - assets/specs pending</v>
      </c>
      <c r="AD34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1" s="58"/>
      <c r="AF341" s="58"/>
      <c r="AG341" s="58" t="s">
        <v>2467</v>
      </c>
      <c r="AH341" s="58" t="s">
        <v>2468</v>
      </c>
      <c r="AI341" s="58" t="s">
        <v>2469</v>
      </c>
    </row>
    <row r="342" spans="1:35" ht="42" customHeight="1" x14ac:dyDescent="0.35">
      <c r="A342" s="69">
        <f t="shared" si="81"/>
        <v>62</v>
      </c>
      <c r="B342" s="70" t="s">
        <v>387</v>
      </c>
      <c r="C342" s="71" t="s">
        <v>16</v>
      </c>
      <c r="D342" s="72" t="s">
        <v>6</v>
      </c>
      <c r="E342" s="45" t="s">
        <v>398</v>
      </c>
      <c r="F342" s="49" t="s">
        <v>3024</v>
      </c>
      <c r="G342" s="45" t="s">
        <v>3045</v>
      </c>
      <c r="H342" s="47">
        <v>46257</v>
      </c>
      <c r="I342" s="48" t="s">
        <v>1844</v>
      </c>
      <c r="J342" s="48" t="s">
        <v>1139</v>
      </c>
      <c r="K342" s="48" t="str">
        <f t="shared" si="71"/>
        <v>Pearl Liquid Transmission Accessory is a ftir accessories product from Specac Inc. for application-specific laboratory, engineering or industrial use.</v>
      </c>
      <c r="L342" s="48" t="str">
        <f t="shared" si="72"/>
        <v>Pearl Liquid Transmission Accessory from Specac Inc. for ftir accessories applications. Review configuration requirements and request technical information or a quotation from DIWAN.</v>
      </c>
      <c r="M342" s="48" t="s">
        <v>2020</v>
      </c>
      <c r="N342" s="61" t="s">
        <v>2672</v>
      </c>
      <c r="O342" s="54" t="str" cm="1">
        <f t="array" ref="O342">_xlfn.LET(_xlpm.n,LOWER(E342),_xlpm.c,LOWER(B342),_xlpm.t,_xlfn.IFS(OR(ISNUMBER(SEARCH("lens",_xlpm.n)),ISNUMBER(SEARCH("optic",_xlpm.n)),ISNUMBER(SEARCH("polarizer",_xlpm.n))),"precision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"),E342&amp;" is "&amp;_xlpm.art&amp;_xlpm.t&amp;" from "&amp;C342&amp;" designed for application-specific laboratory, engineering or industrial use. It belongs to DIWAN's "&amp;B342&amp;" portfolio; final configuration must be selected against performance, integration and compliance requirements.")</f>
        <v>Pearl Liquid Transmission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2" s="54" t="str">
        <f t="shared" si="73"/>
        <v>Selection should confirm the model-specific operating range, capacity, accuracy, interfaces, utilities, accessories, standards, environmental limits and service requirements. Final capabilities depend on the approved Pearl Liquid Transmission Accessory configuration.</v>
      </c>
      <c r="Q342" s="54"/>
      <c r="R342" s="54" t="str">
        <f t="shared" si="74"/>
        <v>FTIR Accessories applications; laboratory research, engineering development, quality control and industrial deployment where applicable. Suitability must be confirmed against the user's sample, process, environment and required standards.</v>
      </c>
      <c r="S342" s="54"/>
      <c r="T342" s="54" t="str">
        <f t="shared" si="75"/>
        <v>Pearl Liquid Transmission Accessory from Specac Inc.</v>
      </c>
      <c r="U342" s="54"/>
      <c r="V342" s="54" t="s">
        <v>2673</v>
      </c>
      <c r="W342" s="54" t="str">
        <f t="shared" si="76"/>
        <v>See other FTIR Accessories products</v>
      </c>
      <c r="X342" s="54" t="str">
        <f t="shared" si="77"/>
        <v>FTIR Accessories enquiry → website group enquiry form → category owner assignment</v>
      </c>
      <c r="Y342" s="54" t="str">
        <f t="shared" si="78"/>
        <v>Pearl Liquid Transmission Accessory, FTIR Accessories, Specac Inc., technical equipment, DIWAN</v>
      </c>
      <c r="Z342" s="54" t="s">
        <v>2281</v>
      </c>
      <c r="AA342" s="55">
        <v>46257</v>
      </c>
      <c r="AB342" s="54" t="s">
        <v>2465</v>
      </c>
      <c r="AC342" s="63" t="str">
        <f t="shared" si="79"/>
        <v>Content drafted - assets/specs pending</v>
      </c>
      <c r="AD342"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2" s="58"/>
      <c r="AF342" s="58"/>
      <c r="AG342" s="58" t="s">
        <v>2467</v>
      </c>
      <c r="AH342" s="58" t="s">
        <v>2468</v>
      </c>
      <c r="AI342" s="58" t="s">
        <v>2469</v>
      </c>
    </row>
    <row r="343" spans="1:35" ht="42" customHeight="1" x14ac:dyDescent="0.35">
      <c r="A343" s="69">
        <f t="shared" si="81"/>
        <v>62</v>
      </c>
      <c r="B343" s="70" t="s">
        <v>387</v>
      </c>
      <c r="C343" s="71" t="s">
        <v>16</v>
      </c>
      <c r="D343" s="72" t="s">
        <v>6</v>
      </c>
      <c r="E343" s="45" t="s">
        <v>399</v>
      </c>
      <c r="F343" s="49" t="s">
        <v>3024</v>
      </c>
      <c r="G343" s="45" t="s">
        <v>3045</v>
      </c>
      <c r="H343" s="47">
        <v>46257</v>
      </c>
      <c r="I343" s="48" t="s">
        <v>1845</v>
      </c>
      <c r="J343" s="48" t="s">
        <v>1140</v>
      </c>
      <c r="K343" s="48" t="str">
        <f t="shared" si="71"/>
        <v>Omni-Cell Specacell is a ftir accessories product from Specac Inc. for application-specific laboratory, engineering or industrial use.</v>
      </c>
      <c r="L343" s="48" t="str">
        <f t="shared" si="72"/>
        <v>Omni-Cell Specacell from Specac Inc. for ftir accessories applications. Review configuration requirements and request technical information or a quotation from DIWAN.</v>
      </c>
      <c r="M343" s="48" t="s">
        <v>2020</v>
      </c>
      <c r="N343" s="61" t="s">
        <v>2672</v>
      </c>
      <c r="O343" s="54" t="str" cm="1">
        <f t="array" ref="O343">_xlfn.LET(_xlpm.n,LOWER(E343),_xlpm.c,LOWER(B343),_xlpm.t,_xlfn.IFS(OR(ISNUMBER(SEARCH("lens",_xlpm.n)),ISNUMBER(SEARCH("optic",_xlpm.n)),ISNUMBER(SEARCH("polarizer",_xlpm.n))),"precision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"),E343&amp;" is "&amp;_xlpm.art&amp;_xlpm.t&amp;" from "&amp;C343&amp;" designed for application-specific laboratory, engineering or industrial use. It belongs to DIWAN's "&amp;B343&amp;" portfolio; final configuration must be selected against performance, integration and compliance requirements.")</f>
        <v>Omni-Cell Specacell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3" s="54" t="str">
        <f t="shared" si="73"/>
        <v>Selection should confirm the model-specific operating range, capacity, accuracy, interfaces, utilities, accessories, standards, environmental limits and service requirements. Final capabilities depend on the approved Omni-Cell Specacell configuration.</v>
      </c>
      <c r="Q343" s="54"/>
      <c r="R343" s="54" t="str">
        <f t="shared" si="74"/>
        <v>FTIR Accessories applications; laboratory research, engineering development, quality control and industrial deployment where applicable. Suitability must be confirmed against the user's sample, process, environment and required standards.</v>
      </c>
      <c r="S343" s="54"/>
      <c r="T343" s="54" t="str">
        <f t="shared" si="75"/>
        <v>Omni-Cell Specacell from Specac Inc.</v>
      </c>
      <c r="U343" s="54"/>
      <c r="V343" s="54" t="s">
        <v>2673</v>
      </c>
      <c r="W343" s="54" t="str">
        <f t="shared" si="76"/>
        <v>See other FTIR Accessories products</v>
      </c>
      <c r="X343" s="54" t="str">
        <f t="shared" si="77"/>
        <v>FTIR Accessories enquiry → website group enquiry form → category owner assignment</v>
      </c>
      <c r="Y343" s="54" t="str">
        <f t="shared" si="78"/>
        <v>Omni-Cell Specacell, FTIR Accessories, Specac Inc., technical equipment, DIWAN</v>
      </c>
      <c r="Z343" s="54" t="s">
        <v>2281</v>
      </c>
      <c r="AA343" s="55">
        <v>46257</v>
      </c>
      <c r="AB343" s="54" t="s">
        <v>2465</v>
      </c>
      <c r="AC343" s="63" t="str">
        <f t="shared" si="79"/>
        <v>Content drafted - assets/specs pending</v>
      </c>
      <c r="AD343"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3" s="58"/>
      <c r="AF343" s="58"/>
      <c r="AG343" s="58" t="s">
        <v>2467</v>
      </c>
      <c r="AH343" s="58" t="s">
        <v>2468</v>
      </c>
      <c r="AI343" s="58" t="s">
        <v>2469</v>
      </c>
    </row>
    <row r="344" spans="1:35" ht="42" customHeight="1" x14ac:dyDescent="0.35">
      <c r="A344" s="69">
        <f t="shared" si="81"/>
        <v>62</v>
      </c>
      <c r="B344" s="70" t="s">
        <v>387</v>
      </c>
      <c r="C344" s="71" t="s">
        <v>16</v>
      </c>
      <c r="D344" s="72" t="s">
        <v>6</v>
      </c>
      <c r="E344" s="45" t="s">
        <v>400</v>
      </c>
      <c r="F344" s="49" t="s">
        <v>3024</v>
      </c>
      <c r="G344" s="45" t="s">
        <v>3045</v>
      </c>
      <c r="H344" s="47">
        <v>46257</v>
      </c>
      <c r="I344" s="48" t="s">
        <v>1846</v>
      </c>
      <c r="J344" s="48" t="s">
        <v>1141</v>
      </c>
      <c r="K344" s="48" t="str">
        <f t="shared" si="71"/>
        <v>Cyclone Gas Cell is a ftir accessories product from Specac Inc. for application-specific laboratory, engineering or industrial use.</v>
      </c>
      <c r="L344" s="48" t="str">
        <f t="shared" si="72"/>
        <v>Cyclone Gas Cell from Specac Inc. for ftir accessories applications. Review configuration requirements and request technical information or a quotation from DIWAN.</v>
      </c>
      <c r="M344" s="48" t="s">
        <v>2020</v>
      </c>
      <c r="N344" s="61" t="s">
        <v>2672</v>
      </c>
      <c r="O344" s="54" t="str" cm="1">
        <f t="array" ref="O344">_xlfn.LET(_xlpm.n,LOWER(E344),_xlpm.c,LOWER(B344),_xlpm.t,_xlfn.IFS(OR(ISNUMBER(SEARCH("lens",_xlpm.n)),ISNUMBER(SEARCH("optic",_xlpm.n)),ISNUMBER(SEARCH("polarizer",_xlpm.n))),"precision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"),E344&amp;" is "&amp;_xlpm.art&amp;_xlpm.t&amp;" from "&amp;C344&amp;" designed for application-specific laboratory, engineering or industrial use. It belongs to DIWAN's "&amp;B344&amp;" portfolio; final configuration must be selected against performance, integration and compliance requirements.")</f>
        <v>Cyclone Gas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4" s="54" t="str">
        <f t="shared" si="73"/>
        <v>Selection should confirm the model-specific operating range, capacity, accuracy, interfaces, utilities, accessories, standards, environmental limits and service requirements. Final capabilities depend on the approved Cyclone Gas Cell configuration.</v>
      </c>
      <c r="Q344" s="54"/>
      <c r="R344" s="54" t="str">
        <f t="shared" si="74"/>
        <v>FTIR Accessories applications; laboratory research, engineering development, quality control and industrial deployment where applicable. Suitability must be confirmed against the user's sample, process, environment and required standards.</v>
      </c>
      <c r="S344" s="54"/>
      <c r="T344" s="54" t="str">
        <f t="shared" si="75"/>
        <v>Cyclone Gas Cell from Specac Inc.</v>
      </c>
      <c r="U344" s="54"/>
      <c r="V344" s="54" t="s">
        <v>2673</v>
      </c>
      <c r="W344" s="54" t="str">
        <f t="shared" si="76"/>
        <v>See other FTIR Accessories products</v>
      </c>
      <c r="X344" s="54" t="str">
        <f t="shared" si="77"/>
        <v>FTIR Accessories enquiry → website group enquiry form → category owner assignment</v>
      </c>
      <c r="Y344" s="54" t="str">
        <f t="shared" si="78"/>
        <v>Cyclone Gas Cell, FTIR Accessories, Specac Inc., technical equipment, DIWAN</v>
      </c>
      <c r="Z344" s="54" t="s">
        <v>2281</v>
      </c>
      <c r="AA344" s="55">
        <v>46257</v>
      </c>
      <c r="AB344" s="54" t="s">
        <v>2465</v>
      </c>
      <c r="AC344" s="63" t="str">
        <f t="shared" si="79"/>
        <v>Content drafted - assets/specs pending</v>
      </c>
      <c r="AD344"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4" s="58"/>
      <c r="AF344" s="58"/>
      <c r="AG344" s="58" t="s">
        <v>2467</v>
      </c>
      <c r="AH344" s="58" t="s">
        <v>2468</v>
      </c>
      <c r="AI344" s="58" t="s">
        <v>2469</v>
      </c>
    </row>
    <row r="345" spans="1:35" ht="42" customHeight="1" x14ac:dyDescent="0.35">
      <c r="A345" s="69">
        <f t="shared" si="81"/>
        <v>62</v>
      </c>
      <c r="B345" s="70" t="s">
        <v>387</v>
      </c>
      <c r="C345" s="71" t="s">
        <v>16</v>
      </c>
      <c r="D345" s="72" t="s">
        <v>6</v>
      </c>
      <c r="E345" s="45" t="s">
        <v>401</v>
      </c>
      <c r="F345" s="49" t="s">
        <v>3024</v>
      </c>
      <c r="G345" s="45" t="s">
        <v>3045</v>
      </c>
      <c r="H345" s="47">
        <v>46257</v>
      </c>
      <c r="I345" s="48" t="s">
        <v>1847</v>
      </c>
      <c r="J345" s="48" t="s">
        <v>1142</v>
      </c>
      <c r="K345" s="48" t="str">
        <f t="shared" si="71"/>
        <v>Atmospheric Gas Cells is a ftir accessories product from Specac Inc. for application-specific laboratory, engineering or industrial use.</v>
      </c>
      <c r="L345" s="48" t="str">
        <f t="shared" si="72"/>
        <v>Atmospheric Gas Cells from Specac Inc. for ftir accessories applications. Review configuration requirements and request technical information or a quotation from DIWAN.</v>
      </c>
      <c r="M345" s="48" t="s">
        <v>2020</v>
      </c>
      <c r="N345" s="61" t="s">
        <v>2672</v>
      </c>
      <c r="O345" s="54" t="str" cm="1">
        <f t="array" ref="O345">_xlfn.LET(_xlpm.n,LOWER(E345),_xlpm.c,LOWER(B345),_xlpm.t,_xlfn.IFS(OR(ISNUMBER(SEARCH("lens",_xlpm.n)),ISNUMBER(SEARCH("optic",_xlpm.n)),ISNUMBER(SEARCH("polarizer",_xlpm.n))),"precision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"),E345&amp;" is "&amp;_xlpm.art&amp;_xlpm.t&amp;" from "&amp;C345&amp;" designed for application-specific laboratory, engineering or industrial use. It belongs to DIWAN's "&amp;B345&amp;" portfolio; final configuration must be selected against performance, integration and compliance requirements.")</f>
        <v>Atmospheric Gas Cells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5" s="54" t="str">
        <f t="shared" si="73"/>
        <v>Selection should confirm the model-specific operating range, capacity, accuracy, interfaces, utilities, accessories, standards, environmental limits and service requirements. Final capabilities depend on the approved Atmospheric Gas Cells configuration.</v>
      </c>
      <c r="Q345" s="54"/>
      <c r="R345" s="54" t="str">
        <f t="shared" si="74"/>
        <v>FTIR Accessories applications; laboratory research, engineering development, quality control and industrial deployment where applicable. Suitability must be confirmed against the user's sample, process, environment and required standards.</v>
      </c>
      <c r="S345" s="54"/>
      <c r="T345" s="54" t="str">
        <f t="shared" si="75"/>
        <v>Atmospheric Gas Cells from Specac Inc.</v>
      </c>
      <c r="U345" s="54"/>
      <c r="V345" s="54" t="s">
        <v>2673</v>
      </c>
      <c r="W345" s="54" t="str">
        <f t="shared" si="76"/>
        <v>See other FTIR Accessories products</v>
      </c>
      <c r="X345" s="54" t="str">
        <f t="shared" si="77"/>
        <v>FTIR Accessories enquiry → website group enquiry form → category owner assignment</v>
      </c>
      <c r="Y345" s="54" t="str">
        <f t="shared" si="78"/>
        <v>Atmospheric Gas Cells, FTIR Accessories, Specac Inc., technical equipment, DIWAN</v>
      </c>
      <c r="Z345" s="54" t="s">
        <v>2281</v>
      </c>
      <c r="AA345" s="55">
        <v>46257</v>
      </c>
      <c r="AB345" s="54" t="s">
        <v>2465</v>
      </c>
      <c r="AC345" s="63" t="str">
        <f t="shared" si="79"/>
        <v>Content drafted - assets/specs pending</v>
      </c>
      <c r="AD345"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5" s="58"/>
      <c r="AF345" s="58"/>
      <c r="AG345" s="58" t="s">
        <v>2467</v>
      </c>
      <c r="AH345" s="58" t="s">
        <v>2468</v>
      </c>
      <c r="AI345" s="58" t="s">
        <v>2469</v>
      </c>
    </row>
    <row r="346" spans="1:35" ht="42" customHeight="1" x14ac:dyDescent="0.35">
      <c r="A346" s="69">
        <f t="shared" si="81"/>
        <v>62</v>
      </c>
      <c r="B346" s="70" t="s">
        <v>387</v>
      </c>
      <c r="C346" s="71" t="s">
        <v>16</v>
      </c>
      <c r="D346" s="72" t="s">
        <v>6</v>
      </c>
      <c r="E346" s="45" t="s">
        <v>402</v>
      </c>
      <c r="F346" s="49" t="s">
        <v>3024</v>
      </c>
      <c r="G346" s="45" t="s">
        <v>3045</v>
      </c>
      <c r="H346" s="47">
        <v>46257</v>
      </c>
      <c r="I346" s="48" t="s">
        <v>1848</v>
      </c>
      <c r="J346" s="48" t="s">
        <v>1143</v>
      </c>
      <c r="K346" s="48" t="str">
        <f t="shared" si="71"/>
        <v>Pearl Demountable Cell is a ftir accessories product from Specac Inc. for application-specific laboratory, engineering or industrial use.</v>
      </c>
      <c r="L346" s="48" t="str">
        <f t="shared" si="72"/>
        <v>Pearl Demountable Cell from Specac Inc. for ftir accessories applications. Review configuration requirements and request technical information or a quotation from DIWAN.</v>
      </c>
      <c r="M346" s="48" t="s">
        <v>2020</v>
      </c>
      <c r="N346" s="61" t="s">
        <v>2672</v>
      </c>
      <c r="O346" s="54" t="str" cm="1">
        <f t="array" ref="O346">_xlfn.LET(_xlpm.n,LOWER(E346),_xlpm.c,LOWER(B346),_xlpm.t,_xlfn.IFS(OR(ISNUMBER(SEARCH("lens",_xlpm.n)),ISNUMBER(SEARCH("optic",_xlpm.n)),ISNUMBER(SEARCH("polarizer",_xlpm.n))),"precision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"),E346&amp;" is "&amp;_xlpm.art&amp;_xlpm.t&amp;" from "&amp;C346&amp;" designed for application-specific laboratory, engineering or industrial use. It belongs to DIWAN's "&amp;B346&amp;" portfolio; final configuration must be selected against performance, integration and compliance requirements.")</f>
        <v>Pearl Demountable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6" s="54" t="str">
        <f t="shared" si="73"/>
        <v>Selection should confirm the model-specific operating range, capacity, accuracy, interfaces, utilities, accessories, standards, environmental limits and service requirements. Final capabilities depend on the approved Pearl Demountable Cell configuration.</v>
      </c>
      <c r="Q346" s="54"/>
      <c r="R346" s="54" t="str">
        <f t="shared" si="74"/>
        <v>FTIR Accessories applications; laboratory research, engineering development, quality control and industrial deployment where applicable. Suitability must be confirmed against the user's sample, process, environment and required standards.</v>
      </c>
      <c r="S346" s="54"/>
      <c r="T346" s="54" t="str">
        <f t="shared" si="75"/>
        <v>Pearl Demountable Cell from Specac Inc.</v>
      </c>
      <c r="U346" s="54"/>
      <c r="V346" s="54" t="s">
        <v>2673</v>
      </c>
      <c r="W346" s="54" t="str">
        <f t="shared" si="76"/>
        <v>See other FTIR Accessories products</v>
      </c>
      <c r="X346" s="54" t="str">
        <f t="shared" si="77"/>
        <v>FTIR Accessories enquiry → website group enquiry form → category owner assignment</v>
      </c>
      <c r="Y346" s="54" t="str">
        <f t="shared" si="78"/>
        <v>Pearl Demountable Cell, FTIR Accessories, Specac Inc., technical equipment, DIWAN</v>
      </c>
      <c r="Z346" s="54" t="s">
        <v>2281</v>
      </c>
      <c r="AA346" s="55">
        <v>46257</v>
      </c>
      <c r="AB346" s="54" t="s">
        <v>2465</v>
      </c>
      <c r="AC346" s="63" t="str">
        <f t="shared" si="79"/>
        <v>Content drafted - assets/specs pending</v>
      </c>
      <c r="AD346"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6" s="58"/>
      <c r="AF346" s="58"/>
      <c r="AG346" s="58" t="s">
        <v>2467</v>
      </c>
      <c r="AH346" s="58" t="s">
        <v>2468</v>
      </c>
      <c r="AI346" s="58" t="s">
        <v>2469</v>
      </c>
    </row>
    <row r="347" spans="1:35" ht="42" customHeight="1" x14ac:dyDescent="0.35">
      <c r="A347" s="69">
        <f t="shared" si="81"/>
        <v>62</v>
      </c>
      <c r="B347" s="70" t="s">
        <v>387</v>
      </c>
      <c r="C347" s="71" t="s">
        <v>16</v>
      </c>
      <c r="D347" s="72" t="s">
        <v>6</v>
      </c>
      <c r="E347" s="45" t="s">
        <v>403</v>
      </c>
      <c r="F347" s="49" t="s">
        <v>3024</v>
      </c>
      <c r="G347" s="45" t="s">
        <v>3045</v>
      </c>
      <c r="H347" s="47">
        <v>46257</v>
      </c>
      <c r="I347" s="48" t="s">
        <v>1849</v>
      </c>
      <c r="J347" s="48" t="s">
        <v>1144</v>
      </c>
      <c r="K347" s="48" t="str">
        <f t="shared" si="71"/>
        <v>High Pressure Liquid Transmission Cell is a ftir accessories product from Specac Inc. for application-specific laboratory, engineering or industrial use.</v>
      </c>
      <c r="L347" s="48" t="str">
        <f t="shared" si="72"/>
        <v>High Pressure Liquid Transmission Cell from Specac Inc. for ftir accessories applications. Review configuration requirements and request technical information or a quotation from DIWAN.</v>
      </c>
      <c r="M347" s="48" t="s">
        <v>2020</v>
      </c>
      <c r="N347" s="61" t="s">
        <v>2672</v>
      </c>
      <c r="O347" s="54" t="str" cm="1">
        <f t="array" ref="O347">_xlfn.LET(_xlpm.n,LOWER(E347),_xlpm.c,LOWER(B347),_xlpm.t,_xlfn.IFS(OR(ISNUMBER(SEARCH("lens",_xlpm.n)),ISNUMBER(SEARCH("optic",_xlpm.n)),ISNUMBER(SEARCH("polarizer",_xlpm.n))),"precision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"),E347&amp;" is "&amp;_xlpm.art&amp;_xlpm.t&amp;" from "&amp;C347&amp;" designed for application-specific laboratory, engineering or industrial use. It belongs to DIWAN's "&amp;B347&amp;" portfolio; final configuration must be selected against performance, integration and compliance requirements.")</f>
        <v>High Pressure Liquid Transmission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7" s="54" t="str">
        <f t="shared" si="73"/>
        <v>Selection should confirm the model-specific operating range, capacity, accuracy, interfaces, utilities, accessories, standards, environmental limits and service requirements. Final capabilities depend on the approved High Pressure Liquid Transmission Cell configuration.</v>
      </c>
      <c r="Q347" s="54"/>
      <c r="R347" s="54" t="str">
        <f t="shared" si="74"/>
        <v>FTIR Accessories applications; laboratory research, engineering development, quality control and industrial deployment where applicable. Suitability must be confirmed against the user's sample, process, environment and required standards.</v>
      </c>
      <c r="S347" s="54"/>
      <c r="T347" s="54" t="str">
        <f t="shared" si="75"/>
        <v>High Pressure Liquid Transmission Cell from Specac Inc.</v>
      </c>
      <c r="U347" s="54"/>
      <c r="V347" s="54" t="s">
        <v>2673</v>
      </c>
      <c r="W347" s="54" t="str">
        <f t="shared" si="76"/>
        <v>See other FTIR Accessories products</v>
      </c>
      <c r="X347" s="54" t="str">
        <f t="shared" si="77"/>
        <v>FTIR Accessories enquiry → website group enquiry form → category owner assignment</v>
      </c>
      <c r="Y347" s="54" t="str">
        <f t="shared" si="78"/>
        <v>High Pressure Liquid Transmission Cell, FTIR Accessories, Specac Inc., technical equipment, DIWAN</v>
      </c>
      <c r="Z347" s="54" t="s">
        <v>2281</v>
      </c>
      <c r="AA347" s="55">
        <v>46257</v>
      </c>
      <c r="AB347" s="54" t="s">
        <v>2465</v>
      </c>
      <c r="AC347" s="63" t="str">
        <f t="shared" si="79"/>
        <v>Content drafted - assets/specs pending</v>
      </c>
      <c r="AD347"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7" s="58"/>
      <c r="AF347" s="58"/>
      <c r="AG347" s="58" t="s">
        <v>2467</v>
      </c>
      <c r="AH347" s="58" t="s">
        <v>2468</v>
      </c>
      <c r="AI347" s="58" t="s">
        <v>2469</v>
      </c>
    </row>
    <row r="348" spans="1:35" ht="42" customHeight="1" x14ac:dyDescent="0.35">
      <c r="A348" s="69">
        <f t="shared" si="81"/>
        <v>62</v>
      </c>
      <c r="B348" s="70" t="s">
        <v>387</v>
      </c>
      <c r="C348" s="71" t="s">
        <v>16</v>
      </c>
      <c r="D348" s="72" t="s">
        <v>6</v>
      </c>
      <c r="E348" s="45" t="s">
        <v>404</v>
      </c>
      <c r="F348" s="49" t="s">
        <v>3024</v>
      </c>
      <c r="G348" s="45" t="s">
        <v>3045</v>
      </c>
      <c r="H348" s="47">
        <v>46257</v>
      </c>
      <c r="I348" s="48" t="s">
        <v>1850</v>
      </c>
      <c r="J348" s="48" t="s">
        <v>1145</v>
      </c>
      <c r="K348" s="48" t="str">
        <f t="shared" si="71"/>
        <v>Short Pathlength Gas Cell is a ftir accessories product from Specac Inc. for application-specific laboratory, engineering or industrial use.</v>
      </c>
      <c r="L348" s="48" t="str">
        <f t="shared" si="72"/>
        <v>Short Pathlength Gas Cell from Specac Inc. for ftir accessories applications. Review configuration requirements and request technical information or a quotation from DIWAN.</v>
      </c>
      <c r="M348" s="48" t="s">
        <v>2020</v>
      </c>
      <c r="N348" s="61" t="s">
        <v>2672</v>
      </c>
      <c r="O348" s="54" t="str" cm="1">
        <f t="array" ref="O348">_xlfn.LET(_xlpm.n,LOWER(E348),_xlpm.c,LOWER(B348),_xlpm.t,_xlfn.IFS(OR(ISNUMBER(SEARCH("lens",_xlpm.n)),ISNUMBER(SEARCH("optic",_xlpm.n)),ISNUMBER(SEARCH("polarizer",_xlpm.n))),"precision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"),E348&amp;" is "&amp;_xlpm.art&amp;_xlpm.t&amp;" from "&amp;C348&amp;" designed for application-specific laboratory, engineering or industrial use. It belongs to DIWAN's "&amp;B348&amp;" portfolio; final configuration must be selected against performance, integration and compliance requirements.")</f>
        <v>Short Pathlength Gas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8" s="54" t="str">
        <f t="shared" si="73"/>
        <v>Selection should confirm the model-specific operating range, capacity, accuracy, interfaces, utilities, accessories, standards, environmental limits and service requirements. Final capabilities depend on the approved Short Pathlength Gas Cell configuration.</v>
      </c>
      <c r="Q348" s="54"/>
      <c r="R348" s="54" t="str">
        <f t="shared" si="74"/>
        <v>FTIR Accessories applications; laboratory research, engineering development, quality control and industrial deployment where applicable. Suitability must be confirmed against the user's sample, process, environment and required standards.</v>
      </c>
      <c r="S348" s="54"/>
      <c r="T348" s="54" t="str">
        <f t="shared" si="75"/>
        <v>Short Pathlength Gas Cell from Specac Inc.</v>
      </c>
      <c r="U348" s="54"/>
      <c r="V348" s="54" t="s">
        <v>2673</v>
      </c>
      <c r="W348" s="54" t="str">
        <f t="shared" si="76"/>
        <v>See other FTIR Accessories products</v>
      </c>
      <c r="X348" s="54" t="str">
        <f t="shared" si="77"/>
        <v>FTIR Accessories enquiry → website group enquiry form → category owner assignment</v>
      </c>
      <c r="Y348" s="54" t="str">
        <f t="shared" si="78"/>
        <v>Short Pathlength Gas Cell, FTIR Accessories, Specac Inc., technical equipment, DIWAN</v>
      </c>
      <c r="Z348" s="54" t="s">
        <v>2281</v>
      </c>
      <c r="AA348" s="55">
        <v>46257</v>
      </c>
      <c r="AB348" s="54" t="s">
        <v>2465</v>
      </c>
      <c r="AC348" s="63" t="str">
        <f t="shared" si="79"/>
        <v>Content drafted - assets/specs pending</v>
      </c>
      <c r="AD348"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8" s="58"/>
      <c r="AF348" s="58"/>
      <c r="AG348" s="58" t="s">
        <v>2467</v>
      </c>
      <c r="AH348" s="58" t="s">
        <v>2468</v>
      </c>
      <c r="AI348" s="58" t="s">
        <v>2469</v>
      </c>
    </row>
    <row r="349" spans="1:35" ht="42" customHeight="1" x14ac:dyDescent="0.35">
      <c r="A349" s="69">
        <f t="shared" si="81"/>
        <v>62</v>
      </c>
      <c r="B349" s="70" t="s">
        <v>387</v>
      </c>
      <c r="C349" s="71" t="s">
        <v>16</v>
      </c>
      <c r="D349" s="72" t="s">
        <v>6</v>
      </c>
      <c r="E349" s="45" t="s">
        <v>405</v>
      </c>
      <c r="F349" s="49" t="s">
        <v>3024</v>
      </c>
      <c r="G349" s="45" t="s">
        <v>3045</v>
      </c>
      <c r="H349" s="47">
        <v>46257</v>
      </c>
      <c r="I349" s="48" t="s">
        <v>1851</v>
      </c>
      <c r="J349" s="48" t="s">
        <v>1146</v>
      </c>
      <c r="K349" s="48" t="str">
        <f t="shared" si="71"/>
        <v>Demountable Liquid Cells is a ftir accessories product from Specac Inc. for application-specific laboratory, engineering or industrial use.</v>
      </c>
      <c r="L349" s="48" t="str">
        <f t="shared" si="72"/>
        <v>Demountable Liquid Cells from Specac Inc. for ftir accessories applications. Review configuration requirements and request technical information or a quotation from DIWAN.</v>
      </c>
      <c r="M349" s="48" t="s">
        <v>2020</v>
      </c>
      <c r="N349" s="61" t="s">
        <v>2672</v>
      </c>
      <c r="O349" s="54" t="str" cm="1">
        <f t="array" ref="O349">_xlfn.LET(_xlpm.n,LOWER(E349),_xlpm.c,LOWER(B349),_xlpm.t,_xlfn.IFS(OR(ISNUMBER(SEARCH("lens",_xlpm.n)),ISNUMBER(SEARCH("optic",_xlpm.n)),ISNUMBER(SEARCH("polarizer",_xlpm.n))),"precision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"),E349&amp;" is "&amp;_xlpm.art&amp;_xlpm.t&amp;" from "&amp;C349&amp;" designed for application-specific laboratory, engineering or industrial use. It belongs to DIWAN's "&amp;B349&amp;" portfolio; final configuration must be selected against performance, integration and compliance requirements.")</f>
        <v>Demountable Liquid Cells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49" s="54" t="str">
        <f t="shared" si="73"/>
        <v>Selection should confirm the model-specific operating range, capacity, accuracy, interfaces, utilities, accessories, standards, environmental limits and service requirements. Final capabilities depend on the approved Demountable Liquid Cells configuration.</v>
      </c>
      <c r="Q349" s="54"/>
      <c r="R349" s="54" t="str">
        <f t="shared" si="74"/>
        <v>FTIR Accessories applications; laboratory research, engineering development, quality control and industrial deployment where applicable. Suitability must be confirmed against the user's sample, process, environment and required standards.</v>
      </c>
      <c r="S349" s="54"/>
      <c r="T349" s="54" t="str">
        <f t="shared" si="75"/>
        <v>Demountable Liquid Cells from Specac Inc.</v>
      </c>
      <c r="U349" s="54"/>
      <c r="V349" s="54" t="s">
        <v>2673</v>
      </c>
      <c r="W349" s="54" t="str">
        <f t="shared" si="76"/>
        <v>See other FTIR Accessories products</v>
      </c>
      <c r="X349" s="54" t="str">
        <f t="shared" si="77"/>
        <v>FTIR Accessories enquiry → website group enquiry form → category owner assignment</v>
      </c>
      <c r="Y349" s="54" t="str">
        <f t="shared" si="78"/>
        <v>Demountable Liquid Cells, FTIR Accessories, Specac Inc., technical equipment, DIWAN</v>
      </c>
      <c r="Z349" s="54" t="s">
        <v>2281</v>
      </c>
      <c r="AA349" s="55">
        <v>46257</v>
      </c>
      <c r="AB349" s="54" t="s">
        <v>2465</v>
      </c>
      <c r="AC349" s="63" t="str">
        <f t="shared" si="79"/>
        <v>Content drafted - assets/specs pending</v>
      </c>
      <c r="AD349"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49" s="58"/>
      <c r="AF349" s="58"/>
      <c r="AG349" s="58" t="s">
        <v>2467</v>
      </c>
      <c r="AH349" s="58" t="s">
        <v>2468</v>
      </c>
      <c r="AI349" s="58" t="s">
        <v>2469</v>
      </c>
    </row>
    <row r="350" spans="1:35" ht="42" customHeight="1" x14ac:dyDescent="0.35">
      <c r="A350" s="69">
        <f t="shared" si="81"/>
        <v>62</v>
      </c>
      <c r="B350" s="70" t="s">
        <v>387</v>
      </c>
      <c r="C350" s="71" t="s">
        <v>16</v>
      </c>
      <c r="D350" s="72" t="s">
        <v>6</v>
      </c>
      <c r="E350" s="45" t="s">
        <v>406</v>
      </c>
      <c r="F350" s="49" t="s">
        <v>3024</v>
      </c>
      <c r="G350" s="45" t="s">
        <v>3045</v>
      </c>
      <c r="H350" s="47">
        <v>46257</v>
      </c>
      <c r="I350" s="48" t="s">
        <v>1852</v>
      </c>
      <c r="J350" s="48" t="s">
        <v>1147</v>
      </c>
      <c r="K350" s="48" t="str">
        <f t="shared" si="71"/>
        <v>Spectrum 3 Automatic Filter Wheel is a ftir accessories product from Specac Inc. for application-specific laboratory, engineering or industrial use.</v>
      </c>
      <c r="L350" s="48" t="str">
        <f t="shared" si="72"/>
        <v>Spectrum 3 Automatic Filter Wheel from Specac Inc. for ftir accessories applications. Review configuration requirements and request technical information or a quotation from DIWAN.</v>
      </c>
      <c r="M350" s="48" t="s">
        <v>2020</v>
      </c>
      <c r="N350" s="61" t="s">
        <v>2672</v>
      </c>
      <c r="O350" s="54" t="str" cm="1">
        <f t="array" ref="O350">_xlfn.LET(_xlpm.n,LOWER(E350),_xlpm.c,LOWER(B350),_xlpm.t,_xlfn.IFS(OR(ISNUMBER(SEARCH("lens",_xlpm.n)),ISNUMBER(SEARCH("optic",_xlpm.n)),ISNUMBER(SEARCH("polarizer",_xlpm.n))),"precision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"),E350&amp;" is "&amp;_xlpm.art&amp;_xlpm.t&amp;" from "&amp;C350&amp;" designed for application-specific laboratory, engineering or industrial use. It belongs to DIWAN's "&amp;B350&amp;" portfolio; final configuration must be selected against performance, integration and compliance requirements.")</f>
        <v>Spectrum 3 Automatic Filter Wheel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0" s="54" t="str">
        <f t="shared" si="73"/>
        <v>Selection should confirm the model-specific operating range, capacity, accuracy, interfaces, utilities, accessories, standards, environmental limits and service requirements. Final capabilities depend on the approved Spectrum 3 Automatic Filter Wheel configuration.</v>
      </c>
      <c r="Q350" s="54"/>
      <c r="R350" s="54" t="str">
        <f t="shared" si="74"/>
        <v>FTIR Accessories applications; laboratory research, engineering development, quality control and industrial deployment where applicable. Suitability must be confirmed against the user's sample, process, environment and required standards.</v>
      </c>
      <c r="S350" s="54"/>
      <c r="T350" s="54" t="str">
        <f t="shared" si="75"/>
        <v>Spectrum 3 Automatic Filter Wheel from Specac Inc.</v>
      </c>
      <c r="U350" s="54"/>
      <c r="V350" s="54" t="s">
        <v>2673</v>
      </c>
      <c r="W350" s="54" t="str">
        <f t="shared" si="76"/>
        <v>See other FTIR Accessories products</v>
      </c>
      <c r="X350" s="54" t="str">
        <f t="shared" si="77"/>
        <v>FTIR Accessories enquiry → website group enquiry form → category owner assignment</v>
      </c>
      <c r="Y350" s="54" t="str">
        <f t="shared" si="78"/>
        <v>Spectrum 3 Automatic Filter Wheel, FTIR Accessories, Specac Inc., technical equipment, DIWAN</v>
      </c>
      <c r="Z350" s="54" t="s">
        <v>2281</v>
      </c>
      <c r="AA350" s="55">
        <v>46257</v>
      </c>
      <c r="AB350" s="54" t="s">
        <v>2465</v>
      </c>
      <c r="AC350" s="63" t="str">
        <f t="shared" si="79"/>
        <v>Content drafted - assets/specs pending</v>
      </c>
      <c r="AD350"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0" s="58"/>
      <c r="AF350" s="58"/>
      <c r="AG350" s="58" t="s">
        <v>2467</v>
      </c>
      <c r="AH350" s="58" t="s">
        <v>2468</v>
      </c>
      <c r="AI350" s="58" t="s">
        <v>2469</v>
      </c>
    </row>
    <row r="351" spans="1:35" ht="42" customHeight="1" x14ac:dyDescent="0.35">
      <c r="A351" s="69">
        <f t="shared" si="81"/>
        <v>62</v>
      </c>
      <c r="B351" s="70" t="s">
        <v>387</v>
      </c>
      <c r="C351" s="71" t="s">
        <v>16</v>
      </c>
      <c r="D351" s="72" t="s">
        <v>6</v>
      </c>
      <c r="E351" s="45" t="s">
        <v>407</v>
      </c>
      <c r="F351" s="49" t="s">
        <v>3024</v>
      </c>
      <c r="G351" s="45" t="s">
        <v>3045</v>
      </c>
      <c r="H351" s="47">
        <v>46257</v>
      </c>
      <c r="I351" s="48" t="s">
        <v>1853</v>
      </c>
      <c r="J351" s="48" t="s">
        <v>1148</v>
      </c>
      <c r="K351" s="48" t="str">
        <f t="shared" si="71"/>
        <v>Advanced Solid Sample Kit is a ftir accessories product from Specac Inc. for application-specific laboratory, engineering or industrial use.</v>
      </c>
      <c r="L351" s="48" t="str">
        <f t="shared" si="72"/>
        <v>Advanced Solid Sample Kit from Specac Inc. for ftir accessories applications. Review configuration requirements and request technical information or a quotation from DIWAN.</v>
      </c>
      <c r="M351" s="48" t="s">
        <v>2020</v>
      </c>
      <c r="N351" s="61" t="s">
        <v>2672</v>
      </c>
      <c r="O351" s="54" t="str" cm="1">
        <f t="array" ref="O351">_xlfn.LET(_xlpm.n,LOWER(E351),_xlpm.c,LOWER(B351),_xlpm.t,_xlfn.IFS(OR(ISNUMBER(SEARCH("lens",_xlpm.n)),ISNUMBER(SEARCH("optic",_xlpm.n)),ISNUMBER(SEARCH("polarizer",_xlpm.n))),"precision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"),E351&amp;" is "&amp;_xlpm.art&amp;_xlpm.t&amp;" from "&amp;C351&amp;" designed for application-specific laboratory, engineering or industrial use. It belongs to DIWAN's "&amp;B351&amp;" portfolio; final configuration must be selected against performance, integration and compliance requirements.")</f>
        <v>Advanced Solid Sample Kit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1" s="54" t="str">
        <f t="shared" si="73"/>
        <v>Selection should confirm the model-specific operating range, capacity, accuracy, interfaces, utilities, accessories, standards, environmental limits and service requirements. Final capabilities depend on the approved Advanced Solid Sample Kit configuration.</v>
      </c>
      <c r="Q351" s="54"/>
      <c r="R351" s="54" t="str">
        <f t="shared" si="74"/>
        <v>FTIR Accessories applications; laboratory research, engineering development, quality control and industrial deployment where applicable. Suitability must be confirmed against the user's sample, process, environment and required standards.</v>
      </c>
      <c r="S351" s="54"/>
      <c r="T351" s="54" t="str">
        <f t="shared" si="75"/>
        <v>Advanced Solid Sample Kit from Specac Inc.</v>
      </c>
      <c r="U351" s="54"/>
      <c r="V351" s="54" t="s">
        <v>2673</v>
      </c>
      <c r="W351" s="54" t="str">
        <f t="shared" si="76"/>
        <v>See other FTIR Accessories products</v>
      </c>
      <c r="X351" s="54" t="str">
        <f t="shared" si="77"/>
        <v>FTIR Accessories enquiry → website group enquiry form → category owner assignment</v>
      </c>
      <c r="Y351" s="54" t="str">
        <f t="shared" si="78"/>
        <v>Advanced Solid Sample Kit, FTIR Accessories, Specac Inc., technical equipment, DIWAN</v>
      </c>
      <c r="Z351" s="54" t="s">
        <v>2281</v>
      </c>
      <c r="AA351" s="55">
        <v>46257</v>
      </c>
      <c r="AB351" s="54" t="s">
        <v>2465</v>
      </c>
      <c r="AC351" s="63" t="str">
        <f t="shared" si="79"/>
        <v>Content drafted - assets/specs pending</v>
      </c>
      <c r="AD351" s="54" t="str">
        <f t="shared" si="80"/>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1" s="58"/>
      <c r="AF351" s="58"/>
      <c r="AG351" s="58" t="s">
        <v>2467</v>
      </c>
      <c r="AH351" s="58" t="s">
        <v>2468</v>
      </c>
      <c r="AI351" s="58" t="s">
        <v>2469</v>
      </c>
    </row>
    <row r="352" spans="1:35" ht="42" customHeight="1" x14ac:dyDescent="0.35">
      <c r="A352" s="69">
        <f t="shared" si="81"/>
        <v>62</v>
      </c>
      <c r="B352" s="70" t="s">
        <v>387</v>
      </c>
      <c r="C352" s="71" t="s">
        <v>16</v>
      </c>
      <c r="D352" s="72" t="s">
        <v>6</v>
      </c>
      <c r="E352" s="45" t="s">
        <v>408</v>
      </c>
      <c r="F352" s="49" t="s">
        <v>3024</v>
      </c>
      <c r="G352" s="45" t="s">
        <v>3045</v>
      </c>
      <c r="H352" s="47">
        <v>46257</v>
      </c>
      <c r="I352" s="48" t="s">
        <v>1854</v>
      </c>
      <c r="J352" s="48" t="s">
        <v>1149</v>
      </c>
      <c r="K352" s="48" t="str">
        <f t="shared" ref="K352:K415" si="82">E352&amp;" is "&amp;IF(ISNUMBER(SEARCH(LEFT(LOWER(B352),1),"aeiou")),"an ","a ")&amp;LOWER(B352)&amp;" product from "&amp;C352&amp;" for application-specific laboratory, engineering or industrial use."</f>
        <v>NIR Liquid and Solid Sampling System is a ftir accessories product from Specac Inc. for application-specific laboratory, engineering or industrial use.</v>
      </c>
      <c r="L352" s="48" t="str">
        <f t="shared" ref="L352:L415" si="83">E352&amp;" from "&amp;C352&amp;" for "&amp;LOWER(B352)&amp;" applications. Review configuration requirements and request technical information or a quotation from DIWAN."</f>
        <v>NIR Liquid and Solid Sampling System from Specac Inc. for ftir accessories applications. Review configuration requirements and request technical information or a quotation from DIWAN.</v>
      </c>
      <c r="M352" s="48" t="s">
        <v>2020</v>
      </c>
      <c r="N352" s="61" t="s">
        <v>2672</v>
      </c>
      <c r="O352" s="54" t="str" cm="1">
        <f t="array" ref="O352">_xlfn.LET(_xlpm.n,LOWER(E352),_xlpm.c,LOWER(B352),_xlpm.t,_xlfn.IFS(OR(ISNUMBER(SEARCH("lens",_xlpm.n)),ISNUMBER(SEARCH("optic",_xlpm.n)),ISNUMBER(SEARCH("polarizer",_xlpm.n))),"precision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"),E352&amp;" is "&amp;_xlpm.art&amp;_xlpm.t&amp;" from "&amp;C352&amp;" designed for application-specific laboratory, engineering or industrial use. It belongs to DIWAN's "&amp;B352&amp;" portfolio; final configuration must be selected against performance, integration and compliance requirements.")</f>
        <v>NIR Liquid and Solid Sampling System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2" s="54" t="str">
        <f t="shared" ref="P352:P415" si="84">"Selection should confirm the model-specific operating range, capacity, accuracy, interfaces, utilities, accessories, standards, environmental limits and service requirements. Final capabilities depend on the approved "&amp;E352&amp;" configuration."</f>
        <v>Selection should confirm the model-specific operating range, capacity, accuracy, interfaces, utilities, accessories, standards, environmental limits and service requirements. Final capabilities depend on the approved NIR Liquid and Solid Sampling System configuration.</v>
      </c>
      <c r="Q352" s="54"/>
      <c r="R352" s="54" t="str">
        <f t="shared" ref="R352:R415" si="85">B352&amp;" applications; laboratory research, engineering development, quality control and industrial deployment where applicable. Suitability must be confirmed against the user's sample, process, environment and required standards."</f>
        <v>FTIR Accessories applications; laboratory research, engineering development, quality control and industrial deployment where applicable. Suitability must be confirmed against the user's sample, process, environment and required standards.</v>
      </c>
      <c r="S352" s="54"/>
      <c r="T352" s="54" t="str">
        <f t="shared" ref="T352:T415" si="86">E352&amp;" from "&amp;C352</f>
        <v>NIR Liquid and Solid Sampling System from Specac Inc.</v>
      </c>
      <c r="U352" s="54"/>
      <c r="V352" s="54" t="s">
        <v>2673</v>
      </c>
      <c r="W352" s="54" t="str">
        <f t="shared" ref="W352:W415" si="87">"See other "&amp;B352&amp;" products"</f>
        <v>See other FTIR Accessories products</v>
      </c>
      <c r="X352" s="54" t="str">
        <f t="shared" ref="X352:X415" si="88">B352&amp;" enquiry → website group enquiry form → category owner assignment"</f>
        <v>FTIR Accessories enquiry → website group enquiry form → category owner assignment</v>
      </c>
      <c r="Y352" s="54" t="str">
        <f t="shared" ref="Y352:Y415" si="89">E352&amp;", "&amp;B352&amp;", "&amp;C352&amp;", technical equipment, DIWAN"</f>
        <v>NIR Liquid and Solid Sampling System, FTIR Accessories, Specac Inc., technical equipment, DIWAN</v>
      </c>
      <c r="Z352" s="54" t="s">
        <v>2281</v>
      </c>
      <c r="AA352" s="55">
        <v>46257</v>
      </c>
      <c r="AB352" s="54" t="s">
        <v>2465</v>
      </c>
      <c r="AC352" s="63" t="str">
        <f t="shared" ref="AC352:AC415" si="90">IF(AND(O352&lt;&gt;"",P352&lt;&gt;"",R352&lt;&gt;"",T352&lt;&gt;"",X352&lt;&gt;"",Y352&lt;&gt;"",Z352&lt;&gt;"",AA352&lt;&gt;"",AB352&lt;&gt;""),IF(AND(Q352&lt;&gt;"",S352&lt;&gt;"",U352&lt;&gt;""),"Ready for approval","Content drafted - assets/specs pending"),IF(COUNTA(O352:AB352)=0,"Not started","In progress"))</f>
        <v>Content drafted - assets/specs pending</v>
      </c>
      <c r="AD352" s="54" t="str">
        <f t="shared" ref="AD352:AD415" si="91">"Baseline definition created from the official catalog name, partner and category classification ("&amp;G352&amp;").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2" s="58"/>
      <c r="AF352" s="58"/>
      <c r="AG352" s="58" t="s">
        <v>2467</v>
      </c>
      <c r="AH352" s="58" t="s">
        <v>2468</v>
      </c>
      <c r="AI352" s="58" t="s">
        <v>2469</v>
      </c>
    </row>
    <row r="353" spans="1:35" ht="42" customHeight="1" x14ac:dyDescent="0.35">
      <c r="A353" s="69">
        <f t="shared" si="81"/>
        <v>62</v>
      </c>
      <c r="B353" s="70" t="s">
        <v>387</v>
      </c>
      <c r="C353" s="71" t="s">
        <v>16</v>
      </c>
      <c r="D353" s="72" t="s">
        <v>6</v>
      </c>
      <c r="E353" s="45" t="s">
        <v>409</v>
      </c>
      <c r="F353" s="49" t="s">
        <v>3024</v>
      </c>
      <c r="G353" s="45" t="s">
        <v>3045</v>
      </c>
      <c r="H353" s="47">
        <v>46257</v>
      </c>
      <c r="I353" s="48" t="s">
        <v>1855</v>
      </c>
      <c r="J353" s="48" t="s">
        <v>1150</v>
      </c>
      <c r="K353" s="48" t="str">
        <f t="shared" si="82"/>
        <v>DRIFTS Mini-Diff Plus is a ftir accessories product from Specac Inc. for application-specific laboratory, engineering or industrial use.</v>
      </c>
      <c r="L353" s="48" t="str">
        <f t="shared" si="83"/>
        <v>DRIFTS Mini-Diff Plus from Specac Inc. for ftir accessories applications. Review configuration requirements and request technical information or a quotation from DIWAN.</v>
      </c>
      <c r="M353" s="48" t="s">
        <v>2020</v>
      </c>
      <c r="N353" s="61" t="s">
        <v>2672</v>
      </c>
      <c r="O353" s="54" t="str" cm="1">
        <f t="array" ref="O353">_xlfn.LET(_xlpm.n,LOWER(E353),_xlpm.c,LOWER(B353),_xlpm.t,_xlfn.IFS(OR(ISNUMBER(SEARCH("lens",_xlpm.n)),ISNUMBER(SEARCH("optic",_xlpm.n)),ISNUMBER(SEARCH("polarizer",_xlpm.n))),"precision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"),E353&amp;" is "&amp;_xlpm.art&amp;_xlpm.t&amp;" from "&amp;C353&amp;" designed for application-specific laboratory, engineering or industrial use. It belongs to DIWAN's "&amp;B353&amp;" portfolio; final configuration must be selected against performance, integration and compliance requirements.")</f>
        <v>DRIFTS Mini-Diff Plus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3" s="54" t="str">
        <f t="shared" si="84"/>
        <v>Selection should confirm the model-specific operating range, capacity, accuracy, interfaces, utilities, accessories, standards, environmental limits and service requirements. Final capabilities depend on the approved DRIFTS Mini-Diff Plus configuration.</v>
      </c>
      <c r="Q353" s="54"/>
      <c r="R353" s="54" t="str">
        <f t="shared" si="85"/>
        <v>FTIR Accessories applications; laboratory research, engineering development, quality control and industrial deployment where applicable. Suitability must be confirmed against the user's sample, process, environment and required standards.</v>
      </c>
      <c r="S353" s="54"/>
      <c r="T353" s="54" t="str">
        <f t="shared" si="86"/>
        <v>DRIFTS Mini-Diff Plus from Specac Inc.</v>
      </c>
      <c r="U353" s="54"/>
      <c r="V353" s="54" t="s">
        <v>2673</v>
      </c>
      <c r="W353" s="54" t="str">
        <f t="shared" si="87"/>
        <v>See other FTIR Accessories products</v>
      </c>
      <c r="X353" s="54" t="str">
        <f t="shared" si="88"/>
        <v>FTIR Accessories enquiry → website group enquiry form → category owner assignment</v>
      </c>
      <c r="Y353" s="54" t="str">
        <f t="shared" si="89"/>
        <v>DRIFTS Mini-Diff Plus, FTIR Accessories, Specac Inc., technical equipment, DIWAN</v>
      </c>
      <c r="Z353" s="54" t="s">
        <v>2281</v>
      </c>
      <c r="AA353" s="55">
        <v>46257</v>
      </c>
      <c r="AB353" s="54" t="s">
        <v>2465</v>
      </c>
      <c r="AC353" s="63" t="str">
        <f t="shared" si="90"/>
        <v>Content drafted - assets/specs pending</v>
      </c>
      <c r="AD35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3" s="58"/>
      <c r="AF353" s="58"/>
      <c r="AG353" s="58" t="s">
        <v>2467</v>
      </c>
      <c r="AH353" s="58" t="s">
        <v>2468</v>
      </c>
      <c r="AI353" s="58" t="s">
        <v>2469</v>
      </c>
    </row>
    <row r="354" spans="1:35" ht="42" customHeight="1" x14ac:dyDescent="0.35">
      <c r="A354" s="69">
        <f t="shared" si="81"/>
        <v>62</v>
      </c>
      <c r="B354" s="70" t="s">
        <v>387</v>
      </c>
      <c r="C354" s="71" t="s">
        <v>16</v>
      </c>
      <c r="D354" s="72" t="s">
        <v>6</v>
      </c>
      <c r="E354" s="45" t="s">
        <v>410</v>
      </c>
      <c r="F354" s="49" t="s">
        <v>3024</v>
      </c>
      <c r="G354" s="45" t="s">
        <v>3045</v>
      </c>
      <c r="H354" s="47">
        <v>46257</v>
      </c>
      <c r="I354" s="48" t="s">
        <v>1856</v>
      </c>
      <c r="J354" s="48" t="s">
        <v>1151</v>
      </c>
      <c r="K354" s="48" t="str">
        <f t="shared" si="82"/>
        <v>Praying Mantis DRIFTS is a ftir accessories product from Specac Inc. for application-specific laboratory, engineering or industrial use.</v>
      </c>
      <c r="L354" s="48" t="str">
        <f t="shared" si="83"/>
        <v>Praying Mantis DRIFTS from Specac Inc. for ftir accessories applications. Review configuration requirements and request technical information or a quotation from DIWAN.</v>
      </c>
      <c r="M354" s="48" t="s">
        <v>2020</v>
      </c>
      <c r="N354" s="61" t="s">
        <v>2672</v>
      </c>
      <c r="O354" s="54" t="str" cm="1">
        <f t="array" ref="O354">_xlfn.LET(_xlpm.n,LOWER(E354),_xlpm.c,LOWER(B354),_xlpm.t,_xlfn.IFS(OR(ISNUMBER(SEARCH("lens",_xlpm.n)),ISNUMBER(SEARCH("optic",_xlpm.n)),ISNUMBER(SEARCH("polarizer",_xlpm.n))),"precision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"),E354&amp;" is "&amp;_xlpm.art&amp;_xlpm.t&amp;" from "&amp;C354&amp;" designed for application-specific laboratory, engineering or industrial use. It belongs to DIWAN's "&amp;B354&amp;" portfolio; final configuration must be selected against performance, integration and compliance requirements.")</f>
        <v>Praying Mantis DRIFTS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4" s="54" t="str">
        <f t="shared" si="84"/>
        <v>Selection should confirm the model-specific operating range, capacity, accuracy, interfaces, utilities, accessories, standards, environmental limits and service requirements. Final capabilities depend on the approved Praying Mantis DRIFTS configuration.</v>
      </c>
      <c r="Q354" s="54"/>
      <c r="R354" s="54" t="str">
        <f t="shared" si="85"/>
        <v>FTIR Accessories applications; laboratory research, engineering development, quality control and industrial deployment where applicable. Suitability must be confirmed against the user's sample, process, environment and required standards.</v>
      </c>
      <c r="S354" s="54"/>
      <c r="T354" s="54" t="str">
        <f t="shared" si="86"/>
        <v>Praying Mantis DRIFTS from Specac Inc.</v>
      </c>
      <c r="U354" s="54"/>
      <c r="V354" s="54" t="s">
        <v>2673</v>
      </c>
      <c r="W354" s="54" t="str">
        <f t="shared" si="87"/>
        <v>See other FTIR Accessories products</v>
      </c>
      <c r="X354" s="54" t="str">
        <f t="shared" si="88"/>
        <v>FTIR Accessories enquiry → website group enquiry form → category owner assignment</v>
      </c>
      <c r="Y354" s="54" t="str">
        <f t="shared" si="89"/>
        <v>Praying Mantis DRIFTS, FTIR Accessories, Specac Inc., technical equipment, DIWAN</v>
      </c>
      <c r="Z354" s="54" t="s">
        <v>2281</v>
      </c>
      <c r="AA354" s="55">
        <v>46257</v>
      </c>
      <c r="AB354" s="54" t="s">
        <v>2465</v>
      </c>
      <c r="AC354" s="63" t="str">
        <f t="shared" si="90"/>
        <v>Content drafted - assets/specs pending</v>
      </c>
      <c r="AD354"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4" s="58"/>
      <c r="AF354" s="58"/>
      <c r="AG354" s="58" t="s">
        <v>2467</v>
      </c>
      <c r="AH354" s="58" t="s">
        <v>2468</v>
      </c>
      <c r="AI354" s="58" t="s">
        <v>2469</v>
      </c>
    </row>
    <row r="355" spans="1:35" ht="42" customHeight="1" x14ac:dyDescent="0.35">
      <c r="A355" s="69">
        <f t="shared" si="81"/>
        <v>62</v>
      </c>
      <c r="B355" s="70" t="s">
        <v>387</v>
      </c>
      <c r="C355" s="71" t="s">
        <v>16</v>
      </c>
      <c r="D355" s="72" t="s">
        <v>6</v>
      </c>
      <c r="E355" s="45" t="s">
        <v>411</v>
      </c>
      <c r="F355" s="49" t="s">
        <v>3024</v>
      </c>
      <c r="G355" s="45" t="s">
        <v>3045</v>
      </c>
      <c r="H355" s="47">
        <v>46257</v>
      </c>
      <c r="I355" s="48" t="s">
        <v>1857</v>
      </c>
      <c r="J355" s="48" t="s">
        <v>1152</v>
      </c>
      <c r="K355" s="48" t="str">
        <f t="shared" si="82"/>
        <v>Selector Diffuse Reflectance is a ftir accessories product from Specac Inc. for application-specific laboratory, engineering or industrial use.</v>
      </c>
      <c r="L355" s="48" t="str">
        <f t="shared" si="83"/>
        <v>Selector Diffuse Reflectance from Specac Inc. for ftir accessories applications. Review configuration requirements and request technical information or a quotation from DIWAN.</v>
      </c>
      <c r="M355" s="48" t="s">
        <v>2020</v>
      </c>
      <c r="N355" s="61" t="s">
        <v>2672</v>
      </c>
      <c r="O355" s="54" t="str" cm="1">
        <f t="array" ref="O355">_xlfn.LET(_xlpm.n,LOWER(E355),_xlpm.c,LOWER(B355),_xlpm.t,_xlfn.IFS(OR(ISNUMBER(SEARCH("lens",_xlpm.n)),ISNUMBER(SEARCH("optic",_xlpm.n)),ISNUMBER(SEARCH("polarizer",_xlpm.n))),"precision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"),E355&amp;" is "&amp;_xlpm.art&amp;_xlpm.t&amp;" from "&amp;C355&amp;" designed for application-specific laboratory, engineering or industrial use. It belongs to DIWAN's "&amp;B355&amp;" portfolio; final configuration must be selected against performance, integration and compliance requirements.")</f>
        <v>Selector Diffuse Reflectance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5" s="54" t="str">
        <f t="shared" si="84"/>
        <v>Selection should confirm the model-specific operating range, capacity, accuracy, interfaces, utilities, accessories, standards, environmental limits and service requirements. Final capabilities depend on the approved Selector Diffuse Reflectance configuration.</v>
      </c>
      <c r="Q355" s="54"/>
      <c r="R355" s="54" t="str">
        <f t="shared" si="85"/>
        <v>FTIR Accessories applications; laboratory research, engineering development, quality control and industrial deployment where applicable. Suitability must be confirmed against the user's sample, process, environment and required standards.</v>
      </c>
      <c r="S355" s="54"/>
      <c r="T355" s="54" t="str">
        <f t="shared" si="86"/>
        <v>Selector Diffuse Reflectance from Specac Inc.</v>
      </c>
      <c r="U355" s="54"/>
      <c r="V355" s="54" t="s">
        <v>2673</v>
      </c>
      <c r="W355" s="54" t="str">
        <f t="shared" si="87"/>
        <v>See other FTIR Accessories products</v>
      </c>
      <c r="X355" s="54" t="str">
        <f t="shared" si="88"/>
        <v>FTIR Accessories enquiry → website group enquiry form → category owner assignment</v>
      </c>
      <c r="Y355" s="54" t="str">
        <f t="shared" si="89"/>
        <v>Selector Diffuse Reflectance, FTIR Accessories, Specac Inc., technical equipment, DIWAN</v>
      </c>
      <c r="Z355" s="54" t="s">
        <v>2281</v>
      </c>
      <c r="AA355" s="55">
        <v>46257</v>
      </c>
      <c r="AB355" s="54" t="s">
        <v>2465</v>
      </c>
      <c r="AC355" s="63" t="str">
        <f t="shared" si="90"/>
        <v>Content drafted - assets/specs pending</v>
      </c>
      <c r="AD35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5" s="58"/>
      <c r="AF355" s="58"/>
      <c r="AG355" s="58" t="s">
        <v>2467</v>
      </c>
      <c r="AH355" s="58" t="s">
        <v>2468</v>
      </c>
      <c r="AI355" s="58" t="s">
        <v>2469</v>
      </c>
    </row>
    <row r="356" spans="1:35" ht="42" customHeight="1" x14ac:dyDescent="0.35">
      <c r="A356" s="69">
        <f t="shared" si="81"/>
        <v>62</v>
      </c>
      <c r="B356" s="70" t="s">
        <v>387</v>
      </c>
      <c r="C356" s="71" t="s">
        <v>16</v>
      </c>
      <c r="D356" s="72" t="s">
        <v>6</v>
      </c>
      <c r="E356" s="45" t="s">
        <v>412</v>
      </c>
      <c r="F356" s="49" t="s">
        <v>3024</v>
      </c>
      <c r="G356" s="45" t="s">
        <v>3045</v>
      </c>
      <c r="H356" s="47">
        <v>46257</v>
      </c>
      <c r="I356" s="48" t="s">
        <v>1858</v>
      </c>
      <c r="J356" s="48" t="s">
        <v>1153</v>
      </c>
      <c r="K356" s="48" t="str">
        <f t="shared" si="82"/>
        <v>Tornado Long Path Gas Cell is a ftir accessories product from Specac Inc. for application-specific laboratory, engineering or industrial use.</v>
      </c>
      <c r="L356" s="48" t="str">
        <f t="shared" si="83"/>
        <v>Tornado Long Path Gas Cell from Specac Inc. for ftir accessories applications. Review configuration requirements and request technical information or a quotation from DIWAN.</v>
      </c>
      <c r="M356" s="48" t="s">
        <v>2020</v>
      </c>
      <c r="N356" s="61" t="s">
        <v>2672</v>
      </c>
      <c r="O356" s="54" t="str" cm="1">
        <f t="array" ref="O356">_xlfn.LET(_xlpm.n,LOWER(E356),_xlpm.c,LOWER(B356),_xlpm.t,_xlfn.IFS(OR(ISNUMBER(SEARCH("lens",_xlpm.n)),ISNUMBER(SEARCH("optic",_xlpm.n)),ISNUMBER(SEARCH("polarizer",_xlpm.n))),"precision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"),E356&amp;" is "&amp;_xlpm.art&amp;_xlpm.t&amp;" from "&amp;C356&amp;" designed for application-specific laboratory, engineering or industrial use. It belongs to DIWAN's "&amp;B356&amp;" portfolio; final configuration must be selected against performance, integration and compliance requirements.")</f>
        <v>Tornado Long Path Gas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6" s="54" t="str">
        <f t="shared" si="84"/>
        <v>Selection should confirm the model-specific operating range, capacity, accuracy, interfaces, utilities, accessories, standards, environmental limits and service requirements. Final capabilities depend on the approved Tornado Long Path Gas Cell configuration.</v>
      </c>
      <c r="Q356" s="54"/>
      <c r="R356" s="54" t="str">
        <f t="shared" si="85"/>
        <v>FTIR Accessories applications; laboratory research, engineering development, quality control and industrial deployment where applicable. Suitability must be confirmed against the user's sample, process, environment and required standards.</v>
      </c>
      <c r="S356" s="54"/>
      <c r="T356" s="54" t="str">
        <f t="shared" si="86"/>
        <v>Tornado Long Path Gas Cell from Specac Inc.</v>
      </c>
      <c r="U356" s="54"/>
      <c r="V356" s="54" t="s">
        <v>2673</v>
      </c>
      <c r="W356" s="54" t="str">
        <f t="shared" si="87"/>
        <v>See other FTIR Accessories products</v>
      </c>
      <c r="X356" s="54" t="str">
        <f t="shared" si="88"/>
        <v>FTIR Accessories enquiry → website group enquiry form → category owner assignment</v>
      </c>
      <c r="Y356" s="54" t="str">
        <f t="shared" si="89"/>
        <v>Tornado Long Path Gas Cell, FTIR Accessories, Specac Inc., technical equipment, DIWAN</v>
      </c>
      <c r="Z356" s="54" t="s">
        <v>2281</v>
      </c>
      <c r="AA356" s="55">
        <v>46257</v>
      </c>
      <c r="AB356" s="54" t="s">
        <v>2465</v>
      </c>
      <c r="AC356" s="63" t="str">
        <f t="shared" si="90"/>
        <v>Content drafted - assets/specs pending</v>
      </c>
      <c r="AD356"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6" s="58"/>
      <c r="AF356" s="58"/>
      <c r="AG356" s="58" t="s">
        <v>2467</v>
      </c>
      <c r="AH356" s="58" t="s">
        <v>2468</v>
      </c>
      <c r="AI356" s="58" t="s">
        <v>2469</v>
      </c>
    </row>
    <row r="357" spans="1:35" ht="42" customHeight="1" x14ac:dyDescent="0.35">
      <c r="A357" s="69">
        <f t="shared" si="81"/>
        <v>62</v>
      </c>
      <c r="B357" s="70" t="s">
        <v>387</v>
      </c>
      <c r="C357" s="71" t="s">
        <v>16</v>
      </c>
      <c r="D357" s="72" t="s">
        <v>6</v>
      </c>
      <c r="E357" s="45" t="s">
        <v>413</v>
      </c>
      <c r="F357" s="49" t="s">
        <v>3024</v>
      </c>
      <c r="G357" s="45" t="s">
        <v>3045</v>
      </c>
      <c r="H357" s="47">
        <v>46257</v>
      </c>
      <c r="I357" s="48" t="s">
        <v>1859</v>
      </c>
      <c r="J357" s="48" t="s">
        <v>1154</v>
      </c>
      <c r="K357" s="48" t="str">
        <f t="shared" si="82"/>
        <v>Long-Path Gases Heated Cell is a ftir accessories product from Specac Inc. for application-specific laboratory, engineering or industrial use.</v>
      </c>
      <c r="L357" s="48" t="str">
        <f t="shared" si="83"/>
        <v>Long-Path Gases Heated Cell from Specac Inc. for ftir accessories applications. Review configuration requirements and request technical information or a quotation from DIWAN.</v>
      </c>
      <c r="M357" s="48" t="s">
        <v>2020</v>
      </c>
      <c r="N357" s="61" t="s">
        <v>2672</v>
      </c>
      <c r="O357" s="54" t="str" cm="1">
        <f t="array" ref="O357">_xlfn.LET(_xlpm.n,LOWER(E357),_xlpm.c,LOWER(B357),_xlpm.t,_xlfn.IFS(OR(ISNUMBER(SEARCH("lens",_xlpm.n)),ISNUMBER(SEARCH("optic",_xlpm.n)),ISNUMBER(SEARCH("polarizer",_xlpm.n))),"precision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"),E357&amp;" is "&amp;_xlpm.art&amp;_xlpm.t&amp;" from "&amp;C357&amp;" designed for application-specific laboratory, engineering or industrial use. It belongs to DIWAN's "&amp;B357&amp;" portfolio; final configuration must be selected against performance, integration and compliance requirements.")</f>
        <v>Long-Path Gases Heated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7" s="54" t="str">
        <f t="shared" si="84"/>
        <v>Selection should confirm the model-specific operating range, capacity, accuracy, interfaces, utilities, accessories, standards, environmental limits and service requirements. Final capabilities depend on the approved Long-Path Gases Heated Cell configuration.</v>
      </c>
      <c r="Q357" s="54"/>
      <c r="R357" s="54" t="str">
        <f t="shared" si="85"/>
        <v>FTIR Accessories applications; laboratory research, engineering development, quality control and industrial deployment where applicable. Suitability must be confirmed against the user's sample, process, environment and required standards.</v>
      </c>
      <c r="S357" s="54"/>
      <c r="T357" s="54" t="str">
        <f t="shared" si="86"/>
        <v>Long-Path Gases Heated Cell from Specac Inc.</v>
      </c>
      <c r="U357" s="54"/>
      <c r="V357" s="54" t="s">
        <v>2673</v>
      </c>
      <c r="W357" s="54" t="str">
        <f t="shared" si="87"/>
        <v>See other FTIR Accessories products</v>
      </c>
      <c r="X357" s="54" t="str">
        <f t="shared" si="88"/>
        <v>FTIR Accessories enquiry → website group enquiry form → category owner assignment</v>
      </c>
      <c r="Y357" s="54" t="str">
        <f t="shared" si="89"/>
        <v>Long-Path Gases Heated Cell, FTIR Accessories, Specac Inc., technical equipment, DIWAN</v>
      </c>
      <c r="Z357" s="54" t="s">
        <v>2281</v>
      </c>
      <c r="AA357" s="55">
        <v>46257</v>
      </c>
      <c r="AB357" s="54" t="s">
        <v>2465</v>
      </c>
      <c r="AC357" s="63" t="str">
        <f t="shared" si="90"/>
        <v>Content drafted - assets/specs pending</v>
      </c>
      <c r="AD35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7" s="58"/>
      <c r="AF357" s="58"/>
      <c r="AG357" s="58" t="s">
        <v>2467</v>
      </c>
      <c r="AH357" s="58" t="s">
        <v>2468</v>
      </c>
      <c r="AI357" s="58" t="s">
        <v>2469</v>
      </c>
    </row>
    <row r="358" spans="1:35" ht="42" customHeight="1" x14ac:dyDescent="0.35">
      <c r="A358" s="69">
        <f t="shared" si="81"/>
        <v>62</v>
      </c>
      <c r="B358" s="70" t="s">
        <v>387</v>
      </c>
      <c r="C358" s="71" t="s">
        <v>16</v>
      </c>
      <c r="D358" s="72" t="s">
        <v>6</v>
      </c>
      <c r="E358" s="45" t="s">
        <v>414</v>
      </c>
      <c r="F358" s="49" t="s">
        <v>3024</v>
      </c>
      <c r="G358" s="45" t="s">
        <v>3045</v>
      </c>
      <c r="H358" s="47">
        <v>46257</v>
      </c>
      <c r="I358" s="48" t="s">
        <v>1860</v>
      </c>
      <c r="J358" s="48" t="s">
        <v>1155</v>
      </c>
      <c r="K358" s="48" t="str">
        <f t="shared" si="82"/>
        <v>Tornado Long Path Heated Cells is a ftir accessories product from Specac Inc. for application-specific laboratory, engineering or industrial use.</v>
      </c>
      <c r="L358" s="48" t="str">
        <f t="shared" si="83"/>
        <v>Tornado Long Path Heated Cells from Specac Inc. for ftir accessories applications. Review configuration requirements and request technical information or a quotation from DIWAN.</v>
      </c>
      <c r="M358" s="48" t="s">
        <v>2020</v>
      </c>
      <c r="N358" s="61" t="s">
        <v>2672</v>
      </c>
      <c r="O358" s="54" t="str" cm="1">
        <f t="array" ref="O358">_xlfn.LET(_xlpm.n,LOWER(E358),_xlpm.c,LOWER(B358),_xlpm.t,_xlfn.IFS(OR(ISNUMBER(SEARCH("lens",_xlpm.n)),ISNUMBER(SEARCH("optic",_xlpm.n)),ISNUMBER(SEARCH("polarizer",_xlpm.n))),"precision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"),E358&amp;" is "&amp;_xlpm.art&amp;_xlpm.t&amp;" from "&amp;C358&amp;" designed for application-specific laboratory, engineering or industrial use. It belongs to DIWAN's "&amp;B358&amp;" portfolio; final configuration must be selected against performance, integration and compliance requirements.")</f>
        <v>Tornado Long Path Heated Cells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8" s="54" t="str">
        <f t="shared" si="84"/>
        <v>Selection should confirm the model-specific operating range, capacity, accuracy, interfaces, utilities, accessories, standards, environmental limits and service requirements. Final capabilities depend on the approved Tornado Long Path Heated Cells configuration.</v>
      </c>
      <c r="Q358" s="54"/>
      <c r="R358" s="54" t="str">
        <f t="shared" si="85"/>
        <v>FTIR Accessories applications; laboratory research, engineering development, quality control and industrial deployment where applicable. Suitability must be confirmed against the user's sample, process, environment and required standards.</v>
      </c>
      <c r="S358" s="54"/>
      <c r="T358" s="54" t="str">
        <f t="shared" si="86"/>
        <v>Tornado Long Path Heated Cells from Specac Inc.</v>
      </c>
      <c r="U358" s="54"/>
      <c r="V358" s="54" t="s">
        <v>2673</v>
      </c>
      <c r="W358" s="54" t="str">
        <f t="shared" si="87"/>
        <v>See other FTIR Accessories products</v>
      </c>
      <c r="X358" s="54" t="str">
        <f t="shared" si="88"/>
        <v>FTIR Accessories enquiry → website group enquiry form → category owner assignment</v>
      </c>
      <c r="Y358" s="54" t="str">
        <f t="shared" si="89"/>
        <v>Tornado Long Path Heated Cells, FTIR Accessories, Specac Inc., technical equipment, DIWAN</v>
      </c>
      <c r="Z358" s="54" t="s">
        <v>2281</v>
      </c>
      <c r="AA358" s="55">
        <v>46257</v>
      </c>
      <c r="AB358" s="54" t="s">
        <v>2465</v>
      </c>
      <c r="AC358" s="63" t="str">
        <f t="shared" si="90"/>
        <v>Content drafted - assets/specs pending</v>
      </c>
      <c r="AD358"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8" s="58"/>
      <c r="AF358" s="58"/>
      <c r="AG358" s="58" t="s">
        <v>2467</v>
      </c>
      <c r="AH358" s="58" t="s">
        <v>2468</v>
      </c>
      <c r="AI358" s="58" t="s">
        <v>2469</v>
      </c>
    </row>
    <row r="359" spans="1:35" ht="42" customHeight="1" x14ac:dyDescent="0.35">
      <c r="A359" s="69">
        <f t="shared" si="81"/>
        <v>62</v>
      </c>
      <c r="B359" s="70" t="s">
        <v>387</v>
      </c>
      <c r="C359" s="71" t="s">
        <v>16</v>
      </c>
      <c r="D359" s="72" t="s">
        <v>6</v>
      </c>
      <c r="E359" s="45" t="s">
        <v>415</v>
      </c>
      <c r="F359" s="49" t="s">
        <v>3024</v>
      </c>
      <c r="G359" s="45" t="s">
        <v>3045</v>
      </c>
      <c r="H359" s="47">
        <v>46257</v>
      </c>
      <c r="I359" s="48" t="s">
        <v>1861</v>
      </c>
      <c r="J359" s="48" t="s">
        <v>1156</v>
      </c>
      <c r="K359" s="48" t="str">
        <f t="shared" si="82"/>
        <v>MinION High Temperature Analysis is a ftir accessories product from Specac Inc. for application-specific laboratory, engineering or industrial use.</v>
      </c>
      <c r="L359" s="48" t="str">
        <f t="shared" si="83"/>
        <v>MinION High Temperature Analysis from Specac Inc. for ftir accessories applications. Review configuration requirements and request technical information or a quotation from DIWAN.</v>
      </c>
      <c r="M359" s="48" t="s">
        <v>2020</v>
      </c>
      <c r="N359" s="61" t="s">
        <v>2672</v>
      </c>
      <c r="O359" s="54" t="str" cm="1">
        <f t="array" ref="O359">_xlfn.LET(_xlpm.n,LOWER(E359),_xlpm.c,LOWER(B359),_xlpm.t,_xlfn.IFS(OR(ISNUMBER(SEARCH("lens",_xlpm.n)),ISNUMBER(SEARCH("optic",_xlpm.n)),ISNUMBER(SEARCH("polarizer",_xlpm.n))),"precision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"),E359&amp;" is "&amp;_xlpm.art&amp;_xlpm.t&amp;" from "&amp;C359&amp;" designed for application-specific laboratory, engineering or industrial use. It belongs to DIWAN's "&amp;B359&amp;" portfolio; final configuration must be selected against performance, integration and compliance requirements.")</f>
        <v>MinION High Temperature Analysis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59" s="54" t="str">
        <f t="shared" si="84"/>
        <v>Selection should confirm the model-specific operating range, capacity, accuracy, interfaces, utilities, accessories, standards, environmental limits and service requirements. Final capabilities depend on the approved MinION High Temperature Analysis configuration.</v>
      </c>
      <c r="Q359" s="54"/>
      <c r="R359" s="54" t="str">
        <f t="shared" si="85"/>
        <v>FTIR Accessories applications; laboratory research, engineering development, quality control and industrial deployment where applicable. Suitability must be confirmed against the user's sample, process, environment and required standards.</v>
      </c>
      <c r="S359" s="54"/>
      <c r="T359" s="54" t="str">
        <f t="shared" si="86"/>
        <v>MinION High Temperature Analysis from Specac Inc.</v>
      </c>
      <c r="U359" s="54"/>
      <c r="V359" s="54" t="s">
        <v>2673</v>
      </c>
      <c r="W359" s="54" t="str">
        <f t="shared" si="87"/>
        <v>See other FTIR Accessories products</v>
      </c>
      <c r="X359" s="54" t="str">
        <f t="shared" si="88"/>
        <v>FTIR Accessories enquiry → website group enquiry form → category owner assignment</v>
      </c>
      <c r="Y359" s="54" t="str">
        <f t="shared" si="89"/>
        <v>MinION High Temperature Analysis, FTIR Accessories, Specac Inc., technical equipment, DIWAN</v>
      </c>
      <c r="Z359" s="54" t="s">
        <v>2281</v>
      </c>
      <c r="AA359" s="55">
        <v>46257</v>
      </c>
      <c r="AB359" s="54" t="s">
        <v>2465</v>
      </c>
      <c r="AC359" s="63" t="str">
        <f t="shared" si="90"/>
        <v>Content drafted - assets/specs pending</v>
      </c>
      <c r="AD359"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59" s="58"/>
      <c r="AF359" s="58"/>
      <c r="AG359" s="58" t="s">
        <v>2467</v>
      </c>
      <c r="AH359" s="58" t="s">
        <v>2468</v>
      </c>
      <c r="AI359" s="58" t="s">
        <v>2469</v>
      </c>
    </row>
    <row r="360" spans="1:35" ht="42" customHeight="1" x14ac:dyDescent="0.35">
      <c r="A360" s="69">
        <f t="shared" si="81"/>
        <v>62</v>
      </c>
      <c r="B360" s="70" t="s">
        <v>387</v>
      </c>
      <c r="C360" s="71" t="s">
        <v>16</v>
      </c>
      <c r="D360" s="72" t="s">
        <v>6</v>
      </c>
      <c r="E360" s="45" t="s">
        <v>416</v>
      </c>
      <c r="F360" s="49" t="s">
        <v>3024</v>
      </c>
      <c r="G360" s="45" t="s">
        <v>3045</v>
      </c>
      <c r="H360" s="47">
        <v>46257</v>
      </c>
      <c r="I360" s="48" t="s">
        <v>1862</v>
      </c>
      <c r="J360" s="48" t="s">
        <v>1157</v>
      </c>
      <c r="K360" s="48" t="str">
        <f t="shared" si="82"/>
        <v>Variable Angle Reflectance Accessory is a ftir accessories product from Specac Inc. for application-specific laboratory, engineering or industrial use.</v>
      </c>
      <c r="L360" s="48" t="str">
        <f t="shared" si="83"/>
        <v>Variable Angle Reflectance Accessory from Specac Inc. for ftir accessories applications. Review configuration requirements and request technical information or a quotation from DIWAN.</v>
      </c>
      <c r="M360" s="48" t="s">
        <v>2020</v>
      </c>
      <c r="N360" s="61" t="s">
        <v>2672</v>
      </c>
      <c r="O360" s="54" t="str" cm="1">
        <f t="array" ref="O360">_xlfn.LET(_xlpm.n,LOWER(E360),_xlpm.c,LOWER(B360),_xlpm.t,_xlfn.IFS(OR(ISNUMBER(SEARCH("lens",_xlpm.n)),ISNUMBER(SEARCH("optic",_xlpm.n)),ISNUMBER(SEARCH("polarizer",_xlpm.n))),"precision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"),E360&amp;" is "&amp;_xlpm.art&amp;_xlpm.t&amp;" from "&amp;C360&amp;" designed for application-specific laboratory, engineering or industrial use. It belongs to DIWAN's "&amp;B360&amp;" portfolio; final configuration must be selected against performance, integration and compliance requirements.")</f>
        <v>Variable Angle Reflectance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0" s="54" t="str">
        <f t="shared" si="84"/>
        <v>Selection should confirm the model-specific operating range, capacity, accuracy, interfaces, utilities, accessories, standards, environmental limits and service requirements. Final capabilities depend on the approved Variable Angle Reflectance Accessory configuration.</v>
      </c>
      <c r="Q360" s="54"/>
      <c r="R360" s="54" t="str">
        <f t="shared" si="85"/>
        <v>FTIR Accessories applications; laboratory research, engineering development, quality control and industrial deployment where applicable. Suitability must be confirmed against the user's sample, process, environment and required standards.</v>
      </c>
      <c r="S360" s="54"/>
      <c r="T360" s="54" t="str">
        <f t="shared" si="86"/>
        <v>Variable Angle Reflectance Accessory from Specac Inc.</v>
      </c>
      <c r="U360" s="54"/>
      <c r="V360" s="54" t="s">
        <v>2673</v>
      </c>
      <c r="W360" s="54" t="str">
        <f t="shared" si="87"/>
        <v>See other FTIR Accessories products</v>
      </c>
      <c r="X360" s="54" t="str">
        <f t="shared" si="88"/>
        <v>FTIR Accessories enquiry → website group enquiry form → category owner assignment</v>
      </c>
      <c r="Y360" s="54" t="str">
        <f t="shared" si="89"/>
        <v>Variable Angle Reflectance Accessory, FTIR Accessories, Specac Inc., technical equipment, DIWAN</v>
      </c>
      <c r="Z360" s="54" t="s">
        <v>2281</v>
      </c>
      <c r="AA360" s="55">
        <v>46257</v>
      </c>
      <c r="AB360" s="54" t="s">
        <v>2465</v>
      </c>
      <c r="AC360" s="63" t="str">
        <f t="shared" si="90"/>
        <v>Content drafted - assets/specs pending</v>
      </c>
      <c r="AD36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0" s="58"/>
      <c r="AF360" s="58"/>
      <c r="AG360" s="58" t="s">
        <v>2467</v>
      </c>
      <c r="AH360" s="58" t="s">
        <v>2468</v>
      </c>
      <c r="AI360" s="58" t="s">
        <v>2469</v>
      </c>
    </row>
    <row r="361" spans="1:35" ht="42" customHeight="1" x14ac:dyDescent="0.35">
      <c r="A361" s="69">
        <f t="shared" si="81"/>
        <v>62</v>
      </c>
      <c r="B361" s="70" t="s">
        <v>387</v>
      </c>
      <c r="C361" s="71" t="s">
        <v>16</v>
      </c>
      <c r="D361" s="72" t="s">
        <v>6</v>
      </c>
      <c r="E361" s="45" t="s">
        <v>417</v>
      </c>
      <c r="F361" s="49" t="s">
        <v>3024</v>
      </c>
      <c r="G361" s="45" t="s">
        <v>3045</v>
      </c>
      <c r="H361" s="47">
        <v>46257</v>
      </c>
      <c r="I361" s="48" t="s">
        <v>1863</v>
      </c>
      <c r="J361" s="48" t="s">
        <v>1158</v>
      </c>
      <c r="K361" s="48" t="str">
        <f t="shared" si="82"/>
        <v>Accessory for Transmission &amp; Variable Reflectance is a ftir accessories product from Specac Inc. for application-specific laboratory, engineering or industrial use.</v>
      </c>
      <c r="L361" s="48" t="str">
        <f t="shared" si="83"/>
        <v>Accessory for Transmission &amp; Variable Reflectance from Specac Inc. for ftir accessories applications. Review configuration requirements and request technical information or a quotation from DIWAN.</v>
      </c>
      <c r="M361" s="48" t="s">
        <v>2020</v>
      </c>
      <c r="N361" s="61" t="s">
        <v>2672</v>
      </c>
      <c r="O361" s="54" t="str" cm="1">
        <f t="array" ref="O361">_xlfn.LET(_xlpm.n,LOWER(E361),_xlpm.c,LOWER(B361),_xlpm.t,_xlfn.IFS(OR(ISNUMBER(SEARCH("lens",_xlpm.n)),ISNUMBER(SEARCH("optic",_xlpm.n)),ISNUMBER(SEARCH("polarizer",_xlpm.n))),"precision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"),E361&amp;" is "&amp;_xlpm.art&amp;_xlpm.t&amp;" from "&amp;C361&amp;" designed for application-specific laboratory, engineering or industrial use. It belongs to DIWAN's "&amp;B361&amp;" portfolio; final configuration must be selected against performance, integration and compliance requirements.")</f>
        <v>Accessory for Transmission &amp; Variable Reflectance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1" s="54" t="str">
        <f t="shared" si="84"/>
        <v>Selection should confirm the model-specific operating range, capacity, accuracy, interfaces, utilities, accessories, standards, environmental limits and service requirements. Final capabilities depend on the approved Accessory for Transmission &amp; Variable Reflectance configuration.</v>
      </c>
      <c r="Q361" s="54"/>
      <c r="R361" s="54" t="str">
        <f t="shared" si="85"/>
        <v>FTIR Accessories applications; laboratory research, engineering development, quality control and industrial deployment where applicable. Suitability must be confirmed against the user's sample, process, environment and required standards.</v>
      </c>
      <c r="S361" s="54"/>
      <c r="T361" s="54" t="str">
        <f t="shared" si="86"/>
        <v>Accessory for Transmission &amp; Variable Reflectance from Specac Inc.</v>
      </c>
      <c r="U361" s="54"/>
      <c r="V361" s="54" t="s">
        <v>2673</v>
      </c>
      <c r="W361" s="54" t="str">
        <f t="shared" si="87"/>
        <v>See other FTIR Accessories products</v>
      </c>
      <c r="X361" s="54" t="str">
        <f t="shared" si="88"/>
        <v>FTIR Accessories enquiry → website group enquiry form → category owner assignment</v>
      </c>
      <c r="Y361" s="54" t="str">
        <f t="shared" si="89"/>
        <v>Accessory for Transmission &amp; Variable Reflectance, FTIR Accessories, Specac Inc., technical equipment, DIWAN</v>
      </c>
      <c r="Z361" s="54" t="s">
        <v>2281</v>
      </c>
      <c r="AA361" s="55">
        <v>46257</v>
      </c>
      <c r="AB361" s="54" t="s">
        <v>2465</v>
      </c>
      <c r="AC361" s="63" t="str">
        <f t="shared" si="90"/>
        <v>Content drafted - assets/specs pending</v>
      </c>
      <c r="AD36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1" s="58"/>
      <c r="AF361" s="58"/>
      <c r="AG361" s="58" t="s">
        <v>2467</v>
      </c>
      <c r="AH361" s="58" t="s">
        <v>2468</v>
      </c>
      <c r="AI361" s="58" t="s">
        <v>2469</v>
      </c>
    </row>
    <row r="362" spans="1:35" ht="42" customHeight="1" x14ac:dyDescent="0.35">
      <c r="A362" s="69">
        <f t="shared" si="81"/>
        <v>62</v>
      </c>
      <c r="B362" s="70" t="s">
        <v>387</v>
      </c>
      <c r="C362" s="71" t="s">
        <v>16</v>
      </c>
      <c r="D362" s="72" t="s">
        <v>6</v>
      </c>
      <c r="E362" s="45" t="s">
        <v>418</v>
      </c>
      <c r="F362" s="49" t="s">
        <v>3024</v>
      </c>
      <c r="G362" s="45" t="s">
        <v>3045</v>
      </c>
      <c r="H362" s="47">
        <v>46257</v>
      </c>
      <c r="I362" s="48" t="s">
        <v>1864</v>
      </c>
      <c r="J362" s="48" t="s">
        <v>1159</v>
      </c>
      <c r="K362" s="48" t="str">
        <f t="shared" si="82"/>
        <v>Monolayer / Grazing Angle Accessory is a ftir accessories product from Specac Inc. for application-specific laboratory, engineering or industrial use.</v>
      </c>
      <c r="L362" s="48" t="str">
        <f t="shared" si="83"/>
        <v>Monolayer / Grazing Angle Accessory from Specac Inc. for ftir accessories applications. Review configuration requirements and request technical information or a quotation from DIWAN.</v>
      </c>
      <c r="M362" s="48" t="s">
        <v>2020</v>
      </c>
      <c r="N362" s="61" t="s">
        <v>2672</v>
      </c>
      <c r="O362" s="54" t="str" cm="1">
        <f t="array" ref="O362">_xlfn.LET(_xlpm.n,LOWER(E362),_xlpm.c,LOWER(B362),_xlpm.t,_xlfn.IFS(OR(ISNUMBER(SEARCH("lens",_xlpm.n)),ISNUMBER(SEARCH("optic",_xlpm.n)),ISNUMBER(SEARCH("polarizer",_xlpm.n))),"precision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"),E362&amp;" is "&amp;_xlpm.art&amp;_xlpm.t&amp;" from "&amp;C362&amp;" designed for application-specific laboratory, engineering or industrial use. It belongs to DIWAN's "&amp;B362&amp;" portfolio; final configuration must be selected against performance, integration and compliance requirements.")</f>
        <v>Monolayer / Grazing Angle Accessory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2" s="54" t="str">
        <f t="shared" si="84"/>
        <v>Selection should confirm the model-specific operating range, capacity, accuracy, interfaces, utilities, accessories, standards, environmental limits and service requirements. Final capabilities depend on the approved Monolayer / Grazing Angle Accessory configuration.</v>
      </c>
      <c r="Q362" s="54"/>
      <c r="R362" s="54" t="str">
        <f t="shared" si="85"/>
        <v>FTIR Accessories applications; laboratory research, engineering development, quality control and industrial deployment where applicable. Suitability must be confirmed against the user's sample, process, environment and required standards.</v>
      </c>
      <c r="S362" s="54"/>
      <c r="T362" s="54" t="str">
        <f t="shared" si="86"/>
        <v>Monolayer / Grazing Angle Accessory from Specac Inc.</v>
      </c>
      <c r="U362" s="54"/>
      <c r="V362" s="54" t="s">
        <v>2673</v>
      </c>
      <c r="W362" s="54" t="str">
        <f t="shared" si="87"/>
        <v>See other FTIR Accessories products</v>
      </c>
      <c r="X362" s="54" t="str">
        <f t="shared" si="88"/>
        <v>FTIR Accessories enquiry → website group enquiry form → category owner assignment</v>
      </c>
      <c r="Y362" s="54" t="str">
        <f t="shared" si="89"/>
        <v>Monolayer / Grazing Angle Accessory, FTIR Accessories, Specac Inc., technical equipment, DIWAN</v>
      </c>
      <c r="Z362" s="54" t="s">
        <v>2281</v>
      </c>
      <c r="AA362" s="55">
        <v>46257</v>
      </c>
      <c r="AB362" s="54" t="s">
        <v>2465</v>
      </c>
      <c r="AC362" s="63" t="str">
        <f t="shared" si="90"/>
        <v>Content drafted - assets/specs pending</v>
      </c>
      <c r="AD362"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2" s="58"/>
      <c r="AF362" s="58"/>
      <c r="AG362" s="58" t="s">
        <v>2467</v>
      </c>
      <c r="AH362" s="58" t="s">
        <v>2468</v>
      </c>
      <c r="AI362" s="58" t="s">
        <v>2469</v>
      </c>
    </row>
    <row r="363" spans="1:35" ht="42" customHeight="1" x14ac:dyDescent="0.35">
      <c r="A363" s="69">
        <f t="shared" si="81"/>
        <v>62</v>
      </c>
      <c r="B363" s="70" t="s">
        <v>387</v>
      </c>
      <c r="C363" s="71" t="s">
        <v>16</v>
      </c>
      <c r="D363" s="72" t="s">
        <v>6</v>
      </c>
      <c r="E363" s="45" t="s">
        <v>419</v>
      </c>
      <c r="F363" s="49" t="s">
        <v>3024</v>
      </c>
      <c r="G363" s="45" t="s">
        <v>3045</v>
      </c>
      <c r="H363" s="47">
        <v>46257</v>
      </c>
      <c r="I363" s="48" t="s">
        <v>1865</v>
      </c>
      <c r="J363" s="48" t="s">
        <v>1160</v>
      </c>
      <c r="K363" s="48" t="str">
        <f t="shared" si="82"/>
        <v>External Sample Module is a ftir accessories product from Specac Inc. for application-specific laboratory, engineering or industrial use.</v>
      </c>
      <c r="L363" s="48" t="str">
        <f t="shared" si="83"/>
        <v>External Sample Module from Specac Inc. for ftir accessories applications. Review configuration requirements and request technical information or a quotation from DIWAN.</v>
      </c>
      <c r="M363" s="48" t="s">
        <v>2020</v>
      </c>
      <c r="N363" s="61" t="s">
        <v>2672</v>
      </c>
      <c r="O363" s="54" t="str" cm="1">
        <f t="array" ref="O363">_xlfn.LET(_xlpm.n,LOWER(E363),_xlpm.c,LOWER(B363),_xlpm.t,_xlfn.IFS(OR(ISNUMBER(SEARCH("lens",_xlpm.n)),ISNUMBER(SEARCH("optic",_xlpm.n)),ISNUMBER(SEARCH("polarizer",_xlpm.n))),"precision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"),E363&amp;" is "&amp;_xlpm.art&amp;_xlpm.t&amp;" from "&amp;C363&amp;" designed for application-specific laboratory, engineering or industrial use. It belongs to DIWAN's "&amp;B363&amp;" portfolio; final configuration must be selected against performance, integration and compliance requirements.")</f>
        <v>External Sample Module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3" s="54" t="str">
        <f t="shared" si="84"/>
        <v>Selection should confirm the model-specific operating range, capacity, accuracy, interfaces, utilities, accessories, standards, environmental limits and service requirements. Final capabilities depend on the approved External Sample Module configuration.</v>
      </c>
      <c r="Q363" s="54"/>
      <c r="R363" s="54" t="str">
        <f t="shared" si="85"/>
        <v>FTIR Accessories applications; laboratory research, engineering development, quality control and industrial deployment where applicable. Suitability must be confirmed against the user's sample, process, environment and required standards.</v>
      </c>
      <c r="S363" s="54"/>
      <c r="T363" s="54" t="str">
        <f t="shared" si="86"/>
        <v>External Sample Module from Specac Inc.</v>
      </c>
      <c r="U363" s="54"/>
      <c r="V363" s="54" t="s">
        <v>2673</v>
      </c>
      <c r="W363" s="54" t="str">
        <f t="shared" si="87"/>
        <v>See other FTIR Accessories products</v>
      </c>
      <c r="X363" s="54" t="str">
        <f t="shared" si="88"/>
        <v>FTIR Accessories enquiry → website group enquiry form → category owner assignment</v>
      </c>
      <c r="Y363" s="54" t="str">
        <f t="shared" si="89"/>
        <v>External Sample Module, FTIR Accessories, Specac Inc., technical equipment, DIWAN</v>
      </c>
      <c r="Z363" s="54" t="s">
        <v>2281</v>
      </c>
      <c r="AA363" s="55">
        <v>46257</v>
      </c>
      <c r="AB363" s="54" t="s">
        <v>2465</v>
      </c>
      <c r="AC363" s="63" t="str">
        <f t="shared" si="90"/>
        <v>Content drafted - assets/specs pending</v>
      </c>
      <c r="AD36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3" s="58"/>
      <c r="AF363" s="58"/>
      <c r="AG363" s="58" t="s">
        <v>2467</v>
      </c>
      <c r="AH363" s="58" t="s">
        <v>2468</v>
      </c>
      <c r="AI363" s="58" t="s">
        <v>2469</v>
      </c>
    </row>
    <row r="364" spans="1:35" ht="42" customHeight="1" x14ac:dyDescent="0.35">
      <c r="A364" s="69">
        <f t="shared" si="81"/>
        <v>62</v>
      </c>
      <c r="B364" s="70" t="s">
        <v>387</v>
      </c>
      <c r="C364" s="71" t="s">
        <v>16</v>
      </c>
      <c r="D364" s="72" t="s">
        <v>6</v>
      </c>
      <c r="E364" s="45" t="s">
        <v>420</v>
      </c>
      <c r="F364" s="49" t="s">
        <v>3024</v>
      </c>
      <c r="G364" s="45" t="s">
        <v>3045</v>
      </c>
      <c r="H364" s="47">
        <v>46257</v>
      </c>
      <c r="I364" s="48" t="s">
        <v>1866</v>
      </c>
      <c r="J364" s="48" t="s">
        <v>1161</v>
      </c>
      <c r="K364" s="48" t="str">
        <f t="shared" si="82"/>
        <v>Flyer Series is a ftir accessories product from Specac Inc. for application-specific laboratory, engineering or industrial use.</v>
      </c>
      <c r="L364" s="48" t="str">
        <f t="shared" si="83"/>
        <v>Flyer Series from Specac Inc. for ftir accessories applications. Review configuration requirements and request technical information or a quotation from DIWAN.</v>
      </c>
      <c r="M364" s="48" t="s">
        <v>2020</v>
      </c>
      <c r="N364" s="61" t="s">
        <v>2672</v>
      </c>
      <c r="O364" s="54" t="str" cm="1">
        <f t="array" ref="O364">_xlfn.LET(_xlpm.n,LOWER(E364),_xlpm.c,LOWER(B364),_xlpm.t,_xlfn.IFS(OR(ISNUMBER(SEARCH("lens",_xlpm.n)),ISNUMBER(SEARCH("optic",_xlpm.n)),ISNUMBER(SEARCH("polarizer",_xlpm.n))),"precision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"),E364&amp;" is "&amp;_xlpm.art&amp;_xlpm.t&amp;" from "&amp;C364&amp;" designed for application-specific laboratory, engineering or industrial use. It belongs to DIWAN's "&amp;B364&amp;" portfolio; final configuration must be selected against performance, integration and compliance requirements.")</f>
        <v>Flyer Series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4" s="54" t="str">
        <f t="shared" si="84"/>
        <v>Selection should confirm the model-specific operating range, capacity, accuracy, interfaces, utilities, accessories, standards, environmental limits and service requirements. Final capabilities depend on the approved Flyer Series configuration.</v>
      </c>
      <c r="Q364" s="54"/>
      <c r="R364" s="54" t="str">
        <f t="shared" si="85"/>
        <v>FTIR Accessories applications; laboratory research, engineering development, quality control and industrial deployment where applicable. Suitability must be confirmed against the user's sample, process, environment and required standards.</v>
      </c>
      <c r="S364" s="54"/>
      <c r="T364" s="54" t="str">
        <f t="shared" si="86"/>
        <v>Flyer Series from Specac Inc.</v>
      </c>
      <c r="U364" s="54"/>
      <c r="V364" s="54" t="s">
        <v>2673</v>
      </c>
      <c r="W364" s="54" t="str">
        <f t="shared" si="87"/>
        <v>See other FTIR Accessories products</v>
      </c>
      <c r="X364" s="54" t="str">
        <f t="shared" si="88"/>
        <v>FTIR Accessories enquiry → website group enquiry form → category owner assignment</v>
      </c>
      <c r="Y364" s="54" t="str">
        <f t="shared" si="89"/>
        <v>Flyer Series, FTIR Accessories, Specac Inc., technical equipment, DIWAN</v>
      </c>
      <c r="Z364" s="54" t="s">
        <v>2281</v>
      </c>
      <c r="AA364" s="55">
        <v>46257</v>
      </c>
      <c r="AB364" s="54" t="s">
        <v>2465</v>
      </c>
      <c r="AC364" s="63" t="str">
        <f t="shared" si="90"/>
        <v>Content drafted - assets/specs pending</v>
      </c>
      <c r="AD364"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4" s="58"/>
      <c r="AF364" s="58"/>
      <c r="AG364" s="58" t="s">
        <v>2467</v>
      </c>
      <c r="AH364" s="58" t="s">
        <v>2468</v>
      </c>
      <c r="AI364" s="58" t="s">
        <v>2469</v>
      </c>
    </row>
    <row r="365" spans="1:35" ht="42" customHeight="1" x14ac:dyDescent="0.35">
      <c r="A365" s="69">
        <f t="shared" si="81"/>
        <v>62</v>
      </c>
      <c r="B365" s="70" t="s">
        <v>387</v>
      </c>
      <c r="C365" s="71" t="s">
        <v>16</v>
      </c>
      <c r="D365" s="72" t="s">
        <v>6</v>
      </c>
      <c r="E365" s="45" t="s">
        <v>421</v>
      </c>
      <c r="F365" s="49" t="s">
        <v>3024</v>
      </c>
      <c r="G365" s="45" t="s">
        <v>3045</v>
      </c>
      <c r="H365" s="47">
        <v>46257</v>
      </c>
      <c r="I365" s="48" t="s">
        <v>1867</v>
      </c>
      <c r="J365" s="48" t="s">
        <v>1162</v>
      </c>
      <c r="K365" s="48" t="str">
        <f t="shared" si="82"/>
        <v>Vacuum Pellet Presses is a ftir accessories product from Specac Inc. for application-specific laboratory, engineering or industrial use.</v>
      </c>
      <c r="L365" s="48" t="str">
        <f t="shared" si="83"/>
        <v>Vacuum Pellet Presses from Specac Inc. for ftir accessories applications. Review configuration requirements and request technical information or a quotation from DIWAN.</v>
      </c>
      <c r="M365" s="48" t="s">
        <v>2020</v>
      </c>
      <c r="N365" s="61" t="s">
        <v>2672</v>
      </c>
      <c r="O365" s="54" t="str" cm="1">
        <f t="array" ref="O365">_xlfn.LET(_xlpm.n,LOWER(E365),_xlpm.c,LOWER(B365),_xlpm.t,_xlfn.IFS(OR(ISNUMBER(SEARCH("lens",_xlpm.n)),ISNUMBER(SEARCH("optic",_xlpm.n)),ISNUMBER(SEARCH("polarizer",_xlpm.n))),"precision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"),E365&amp;" is "&amp;_xlpm.art&amp;_xlpm.t&amp;" from "&amp;C365&amp;" designed for application-specific laboratory, engineering or industrial use. It belongs to DIWAN's "&amp;B365&amp;" portfolio; final configuration must be selected against performance, integration and compliance requirements.")</f>
        <v>Vacuum Pellet Presses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5" s="54" t="str">
        <f t="shared" si="84"/>
        <v>Selection should confirm the model-specific operating range, capacity, accuracy, interfaces, utilities, accessories, standards, environmental limits and service requirements. Final capabilities depend on the approved Vacuum Pellet Presses configuration.</v>
      </c>
      <c r="Q365" s="54"/>
      <c r="R365" s="54" t="str">
        <f t="shared" si="85"/>
        <v>FTIR Accessories applications; laboratory research, engineering development, quality control and industrial deployment where applicable. Suitability must be confirmed against the user's sample, process, environment and required standards.</v>
      </c>
      <c r="S365" s="54"/>
      <c r="T365" s="54" t="str">
        <f t="shared" si="86"/>
        <v>Vacuum Pellet Presses from Specac Inc.</v>
      </c>
      <c r="U365" s="54"/>
      <c r="V365" s="54" t="s">
        <v>2673</v>
      </c>
      <c r="W365" s="54" t="str">
        <f t="shared" si="87"/>
        <v>See other FTIR Accessories products</v>
      </c>
      <c r="X365" s="54" t="str">
        <f t="shared" si="88"/>
        <v>FTIR Accessories enquiry → website group enquiry form → category owner assignment</v>
      </c>
      <c r="Y365" s="54" t="str">
        <f t="shared" si="89"/>
        <v>Vacuum Pellet Presses, FTIR Accessories, Specac Inc., technical equipment, DIWAN</v>
      </c>
      <c r="Z365" s="54" t="s">
        <v>2281</v>
      </c>
      <c r="AA365" s="55">
        <v>46257</v>
      </c>
      <c r="AB365" s="54" t="s">
        <v>2465</v>
      </c>
      <c r="AC365" s="63" t="str">
        <f t="shared" si="90"/>
        <v>Content drafted - assets/specs pending</v>
      </c>
      <c r="AD36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5" s="58"/>
      <c r="AF365" s="58"/>
      <c r="AG365" s="58" t="s">
        <v>2467</v>
      </c>
      <c r="AH365" s="58" t="s">
        <v>2468</v>
      </c>
      <c r="AI365" s="58" t="s">
        <v>2469</v>
      </c>
    </row>
    <row r="366" spans="1:35" ht="42" customHeight="1" x14ac:dyDescent="0.35">
      <c r="A366" s="69">
        <f t="shared" si="81"/>
        <v>62</v>
      </c>
      <c r="B366" s="70" t="s">
        <v>387</v>
      </c>
      <c r="C366" s="71" t="s">
        <v>16</v>
      </c>
      <c r="D366" s="72" t="s">
        <v>6</v>
      </c>
      <c r="E366" s="45" t="s">
        <v>422</v>
      </c>
      <c r="F366" s="49" t="s">
        <v>3024</v>
      </c>
      <c r="G366" s="45" t="s">
        <v>3045</v>
      </c>
      <c r="H366" s="47">
        <v>46257</v>
      </c>
      <c r="I366" s="48" t="s">
        <v>1868</v>
      </c>
      <c r="J366" s="48" t="s">
        <v>1163</v>
      </c>
      <c r="K366" s="48" t="str">
        <f t="shared" si="82"/>
        <v>HPHT Cell is a ftir accessories product from Specac Inc. for application-specific laboratory, engineering or industrial use.</v>
      </c>
      <c r="L366" s="48" t="str">
        <f t="shared" si="83"/>
        <v>HPHT Cell from Specac Inc. for ftir accessories applications. Review configuration requirements and request technical information or a quotation from DIWAN.</v>
      </c>
      <c r="M366" s="48" t="s">
        <v>2020</v>
      </c>
      <c r="N366" s="61" t="s">
        <v>2672</v>
      </c>
      <c r="O366" s="54" t="str" cm="1">
        <f t="array" ref="O366">_xlfn.LET(_xlpm.n,LOWER(E366),_xlpm.c,LOWER(B366),_xlpm.t,_xlfn.IFS(OR(ISNUMBER(SEARCH("lens",_xlpm.n)),ISNUMBER(SEARCH("optic",_xlpm.n)),ISNUMBER(SEARCH("polarizer",_xlpm.n))),"precision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"),E366&amp;" is "&amp;_xlpm.art&amp;_xlpm.t&amp;" from "&amp;C366&amp;" designed for application-specific laboratory, engineering or industrial use. It belongs to DIWAN's "&amp;B366&amp;" portfolio; final configuration must be selected against performance, integration and compliance requirements.")</f>
        <v>HPHT Cell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6" s="54" t="str">
        <f t="shared" si="84"/>
        <v>Selection should confirm the model-specific operating range, capacity, accuracy, interfaces, utilities, accessories, standards, environmental limits and service requirements. Final capabilities depend on the approved HPHT Cell configuration.</v>
      </c>
      <c r="Q366" s="54"/>
      <c r="R366" s="54" t="str">
        <f t="shared" si="85"/>
        <v>FTIR Accessories applications; laboratory research, engineering development, quality control and industrial deployment where applicable. Suitability must be confirmed against the user's sample, process, environment and required standards.</v>
      </c>
      <c r="S366" s="54"/>
      <c r="T366" s="54" t="str">
        <f t="shared" si="86"/>
        <v>HPHT Cell from Specac Inc.</v>
      </c>
      <c r="U366" s="54"/>
      <c r="V366" s="54" t="s">
        <v>2673</v>
      </c>
      <c r="W366" s="54" t="str">
        <f t="shared" si="87"/>
        <v>See other FTIR Accessories products</v>
      </c>
      <c r="X366" s="54" t="str">
        <f t="shared" si="88"/>
        <v>FTIR Accessories enquiry → website group enquiry form → category owner assignment</v>
      </c>
      <c r="Y366" s="54" t="str">
        <f t="shared" si="89"/>
        <v>HPHT Cell, FTIR Accessories, Specac Inc., technical equipment, DIWAN</v>
      </c>
      <c r="Z366" s="54" t="s">
        <v>2281</v>
      </c>
      <c r="AA366" s="55">
        <v>46257</v>
      </c>
      <c r="AB366" s="54" t="s">
        <v>2465</v>
      </c>
      <c r="AC366" s="63" t="str">
        <f t="shared" si="90"/>
        <v>Content drafted - assets/specs pending</v>
      </c>
      <c r="AD366"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6" s="58"/>
      <c r="AF366" s="58"/>
      <c r="AG366" s="58" t="s">
        <v>2467</v>
      </c>
      <c r="AH366" s="58" t="s">
        <v>2468</v>
      </c>
      <c r="AI366" s="58" t="s">
        <v>2469</v>
      </c>
    </row>
    <row r="367" spans="1:35" ht="42" customHeight="1" x14ac:dyDescent="0.35">
      <c r="A367" s="69">
        <f t="shared" si="81"/>
        <v>62</v>
      </c>
      <c r="B367" s="70" t="s">
        <v>387</v>
      </c>
      <c r="C367" s="71" t="s">
        <v>16</v>
      </c>
      <c r="D367" s="72" t="s">
        <v>6</v>
      </c>
      <c r="E367" s="45" t="s">
        <v>423</v>
      </c>
      <c r="F367" s="49" t="s">
        <v>3024</v>
      </c>
      <c r="G367" s="45" t="s">
        <v>3045</v>
      </c>
      <c r="H367" s="47">
        <v>46257</v>
      </c>
      <c r="I367" s="48" t="s">
        <v>1869</v>
      </c>
      <c r="J367" s="48" t="s">
        <v>1164</v>
      </c>
      <c r="K367" s="48" t="str">
        <f t="shared" si="82"/>
        <v>XRD Sample Holders is a ftir accessories product from Specac Inc. for application-specific laboratory, engineering or industrial use.</v>
      </c>
      <c r="L367" s="48" t="str">
        <f t="shared" si="83"/>
        <v>XRD Sample Holders from Specac Inc. for ftir accessories applications. Review configuration requirements and request technical information or a quotation from DIWAN.</v>
      </c>
      <c r="M367" s="48" t="s">
        <v>2020</v>
      </c>
      <c r="N367" s="61" t="s">
        <v>2672</v>
      </c>
      <c r="O367" s="54" t="str" cm="1">
        <f t="array" ref="O367">_xlfn.LET(_xlpm.n,LOWER(E367),_xlpm.c,LOWER(B367),_xlpm.t,_xlfn.IFS(OR(ISNUMBER(SEARCH("lens",_xlpm.n)),ISNUMBER(SEARCH("optic",_xlpm.n)),ISNUMBER(SEARCH("polarizer",_xlpm.n))),"precision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"),E367&amp;" is "&amp;_xlpm.art&amp;_xlpm.t&amp;" from "&amp;C367&amp;" designed for application-specific laboratory, engineering or industrial use. It belongs to DIWAN's "&amp;B367&amp;" portfolio; final configuration must be selected against performance, integration and compliance requirements.")</f>
        <v>XRD Sample Holders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7" s="54" t="str">
        <f t="shared" si="84"/>
        <v>Selection should confirm the model-specific operating range, capacity, accuracy, interfaces, utilities, accessories, standards, environmental limits and service requirements. Final capabilities depend on the approved XRD Sample Holders configuration.</v>
      </c>
      <c r="Q367" s="54"/>
      <c r="R367" s="54" t="str">
        <f t="shared" si="85"/>
        <v>FTIR Accessories applications; laboratory research, engineering development, quality control and industrial deployment where applicable. Suitability must be confirmed against the user's sample, process, environment and required standards.</v>
      </c>
      <c r="S367" s="54"/>
      <c r="T367" s="54" t="str">
        <f t="shared" si="86"/>
        <v>XRD Sample Holders from Specac Inc.</v>
      </c>
      <c r="U367" s="54"/>
      <c r="V367" s="54" t="s">
        <v>2673</v>
      </c>
      <c r="W367" s="54" t="str">
        <f t="shared" si="87"/>
        <v>See other FTIR Accessories products</v>
      </c>
      <c r="X367" s="54" t="str">
        <f t="shared" si="88"/>
        <v>FTIR Accessories enquiry → website group enquiry form → category owner assignment</v>
      </c>
      <c r="Y367" s="54" t="str">
        <f t="shared" si="89"/>
        <v>XRD Sample Holders, FTIR Accessories, Specac Inc., technical equipment, DIWAN</v>
      </c>
      <c r="Z367" s="54" t="s">
        <v>2281</v>
      </c>
      <c r="AA367" s="55">
        <v>46257</v>
      </c>
      <c r="AB367" s="54" t="s">
        <v>2465</v>
      </c>
      <c r="AC367" s="63" t="str">
        <f t="shared" si="90"/>
        <v>Content drafted - assets/specs pending</v>
      </c>
      <c r="AD36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7" s="58"/>
      <c r="AF367" s="58"/>
      <c r="AG367" s="58" t="s">
        <v>2467</v>
      </c>
      <c r="AH367" s="58" t="s">
        <v>2468</v>
      </c>
      <c r="AI367" s="58" t="s">
        <v>2469</v>
      </c>
    </row>
    <row r="368" spans="1:35" ht="42" customHeight="1" thickBot="1" x14ac:dyDescent="0.4">
      <c r="A368" s="69">
        <f t="shared" si="81"/>
        <v>62</v>
      </c>
      <c r="B368" s="70" t="s">
        <v>387</v>
      </c>
      <c r="C368" s="71" t="s">
        <v>16</v>
      </c>
      <c r="D368" s="72" t="s">
        <v>6</v>
      </c>
      <c r="E368" s="45" t="s">
        <v>424</v>
      </c>
      <c r="F368" s="49" t="s">
        <v>3024</v>
      </c>
      <c r="G368" s="45" t="s">
        <v>3045</v>
      </c>
      <c r="H368" s="47">
        <v>46257</v>
      </c>
      <c r="I368" s="48" t="s">
        <v>1870</v>
      </c>
      <c r="J368" s="48" t="s">
        <v>1165</v>
      </c>
      <c r="K368" s="48" t="str">
        <f t="shared" si="82"/>
        <v>Transmission Sample Holders is a ftir accessories product from Specac Inc. for application-specific laboratory, engineering or industrial use.</v>
      </c>
      <c r="L368" s="48" t="str">
        <f t="shared" si="83"/>
        <v>Transmission Sample Holders from Specac Inc. for ftir accessories applications. Review configuration requirements and request technical information or a quotation from DIWAN.</v>
      </c>
      <c r="M368" s="48" t="s">
        <v>2020</v>
      </c>
      <c r="N368" s="61" t="s">
        <v>2672</v>
      </c>
      <c r="O368" s="54" t="str" cm="1">
        <f t="array" ref="O368">_xlfn.LET(_xlpm.n,LOWER(E368),_xlpm.c,LOWER(B368),_xlpm.t,_xlfn.IFS(OR(ISNUMBER(SEARCH("lens",_xlpm.n)),ISNUMBER(SEARCH("optic",_xlpm.n)),ISNUMBER(SEARCH("polarizer",_xlpm.n))),"precision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"),E368&amp;" is "&amp;_xlpm.art&amp;_xlpm.t&amp;" from "&amp;C368&amp;" designed for application-specific laboratory, engineering or industrial use. It belongs to DIWAN's "&amp;B368&amp;" portfolio; final configuration must be selected against performance, integration and compliance requirements.")</f>
        <v>Transmission Sample Holders is a specialized ftir accessories product from Specac Inc. designed for application-specific laboratory, engineering or industrial use. It belongs to DIWAN's FTIR Accessories portfolio; final configuration must be selected against performance, integration and compliance requirements.</v>
      </c>
      <c r="P368" s="54" t="str">
        <f t="shared" si="84"/>
        <v>Selection should confirm the model-specific operating range, capacity, accuracy, interfaces, utilities, accessories, standards, environmental limits and service requirements. Final capabilities depend on the approved Transmission Sample Holders configuration.</v>
      </c>
      <c r="Q368" s="54"/>
      <c r="R368" s="54" t="str">
        <f t="shared" si="85"/>
        <v>FTIR Accessories applications; laboratory research, engineering development, quality control and industrial deployment where applicable. Suitability must be confirmed against the user's sample, process, environment and required standards.</v>
      </c>
      <c r="S368" s="54"/>
      <c r="T368" s="54" t="str">
        <f t="shared" si="86"/>
        <v>Transmission Sample Holders from Specac Inc.</v>
      </c>
      <c r="U368" s="54"/>
      <c r="V368" s="54" t="s">
        <v>2673</v>
      </c>
      <c r="W368" s="54" t="str">
        <f t="shared" si="87"/>
        <v>See other FTIR Accessories products</v>
      </c>
      <c r="X368" s="54" t="str">
        <f t="shared" si="88"/>
        <v>FTIR Accessories enquiry → website group enquiry form → category owner assignment</v>
      </c>
      <c r="Y368" s="54" t="str">
        <f t="shared" si="89"/>
        <v>Transmission Sample Holders, FTIR Accessories, Specac Inc., technical equipment, DIWAN</v>
      </c>
      <c r="Z368" s="54" t="s">
        <v>2281</v>
      </c>
      <c r="AA368" s="55">
        <v>46257</v>
      </c>
      <c r="AB368" s="54" t="s">
        <v>2465</v>
      </c>
      <c r="AC368" s="63" t="str">
        <f t="shared" si="90"/>
        <v>Content drafted - assets/specs pending</v>
      </c>
      <c r="AD368"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8" s="58"/>
      <c r="AF368" s="58"/>
      <c r="AG368" s="58" t="s">
        <v>2467</v>
      </c>
      <c r="AH368" s="58" t="s">
        <v>2468</v>
      </c>
      <c r="AI368" s="58" t="s">
        <v>2469</v>
      </c>
    </row>
    <row r="369" spans="1:35" ht="42" customHeight="1" x14ac:dyDescent="0.35">
      <c r="A369" s="69">
        <f t="shared" si="81"/>
        <v>63</v>
      </c>
      <c r="B369" s="74" t="s">
        <v>425</v>
      </c>
      <c r="C369" s="75" t="s">
        <v>16</v>
      </c>
      <c r="D369" s="76" t="s">
        <v>6</v>
      </c>
      <c r="E369" s="77" t="s">
        <v>426</v>
      </c>
      <c r="F369" s="86" t="s">
        <v>3025</v>
      </c>
      <c r="G369" s="77" t="s">
        <v>3045</v>
      </c>
      <c r="H369" s="79">
        <v>46257</v>
      </c>
      <c r="I369" s="80" t="s">
        <v>1871</v>
      </c>
      <c r="J369" s="80" t="s">
        <v>1166</v>
      </c>
      <c r="K369" s="80" t="str">
        <f t="shared" si="82"/>
        <v>Manual Hydraulic Pellet Press is a sample preparation equipment product from Specac Inc. for application-specific laboratory, engineering or industrial use.</v>
      </c>
      <c r="L369" s="80" t="str">
        <f t="shared" si="83"/>
        <v>Manual Hydraulic Pellet Press from Specac Inc. for sample preparation equipment applications. Review configuration requirements and request technical information or a quotation from DIWAN.</v>
      </c>
      <c r="M369" s="80" t="s">
        <v>2020</v>
      </c>
      <c r="N369" s="81" t="s">
        <v>2672</v>
      </c>
      <c r="O369" s="82" t="str" cm="1">
        <f t="array" ref="O369">_xlfn.LET(_xlpm.n,LOWER(E369),_xlpm.c,LOWER(B369),_xlpm.t,_xlfn.IFS(OR(ISNUMBER(SEARCH("lens",_xlpm.n)),ISNUMBER(SEARCH("optic",_xlpm.n)),ISNUMBER(SEARCH("polarizer",_xlpm.n))),"precision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"),E369&amp;" is "&amp;_xlpm.art&amp;_xlpm.t&amp;" from "&amp;C369&amp;" designed for application-specific laboratory, engineering or industrial use. It belongs to DIWAN's "&amp;B369&amp;" portfolio; final configuration must be selected against performance, integration and compliance requirements.")</f>
        <v>Manual Hydraulic Pellet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69" s="82" t="str">
        <f t="shared" si="84"/>
        <v>Selection should confirm the model-specific operating range, capacity, accuracy, interfaces, utilities, accessories, standards, environmental limits and service requirements. Final capabilities depend on the approved Manual Hydraulic Pellet Press configuration.</v>
      </c>
      <c r="Q369" s="82"/>
      <c r="R369" s="82" t="str">
        <f t="shared" si="85"/>
        <v>Sample Preparation Equipment applications; laboratory research, engineering development, quality control and industrial deployment where applicable. Suitability must be confirmed against the user's sample, process, environment and required standards.</v>
      </c>
      <c r="S369" s="82"/>
      <c r="T369" s="82" t="str">
        <f t="shared" si="86"/>
        <v>Manual Hydraulic Pellet Press from Specac Inc.</v>
      </c>
      <c r="U369" s="82"/>
      <c r="V369" s="82" t="s">
        <v>2673</v>
      </c>
      <c r="W369" s="82" t="str">
        <f t="shared" si="87"/>
        <v>See other Sample Preparation Equipment products</v>
      </c>
      <c r="X369" s="82" t="str">
        <f t="shared" si="88"/>
        <v>Sample Preparation Equipment enquiry → website group enquiry form → category owner assignment</v>
      </c>
      <c r="Y369" s="82" t="str">
        <f t="shared" si="89"/>
        <v>Manual Hydraulic Pellet Press, Sample Preparation Equipment, Specac Inc., technical equipment, DIWAN</v>
      </c>
      <c r="Z369" s="82" t="s">
        <v>2282</v>
      </c>
      <c r="AA369" s="83">
        <v>46257</v>
      </c>
      <c r="AB369" s="82" t="s">
        <v>2465</v>
      </c>
      <c r="AC369" s="84" t="str">
        <f t="shared" si="90"/>
        <v>Content drafted - assets/specs pending</v>
      </c>
      <c r="AD369"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69" s="85"/>
      <c r="AF369" s="85"/>
      <c r="AG369" s="85" t="s">
        <v>2467</v>
      </c>
      <c r="AH369" s="85" t="s">
        <v>2468</v>
      </c>
      <c r="AI369" s="85" t="s">
        <v>2469</v>
      </c>
    </row>
    <row r="370" spans="1:35" ht="42" customHeight="1" x14ac:dyDescent="0.35">
      <c r="A370" s="69">
        <f t="shared" si="81"/>
        <v>63</v>
      </c>
      <c r="B370" s="70" t="s">
        <v>425</v>
      </c>
      <c r="C370" s="71" t="s">
        <v>16</v>
      </c>
      <c r="D370" s="72" t="s">
        <v>6</v>
      </c>
      <c r="E370" s="45" t="s">
        <v>427</v>
      </c>
      <c r="F370" s="49" t="s">
        <v>3025</v>
      </c>
      <c r="G370" s="45" t="s">
        <v>3045</v>
      </c>
      <c r="H370" s="47">
        <v>46257</v>
      </c>
      <c r="I370" s="48" t="s">
        <v>1872</v>
      </c>
      <c r="J370" s="48" t="s">
        <v>1167</v>
      </c>
      <c r="K370" s="48" t="str">
        <f t="shared" si="82"/>
        <v>25T Atlas Automatic Pellet Press is a sample preparation equipment product from Specac Inc. for application-specific laboratory, engineering or industrial use.</v>
      </c>
      <c r="L370" s="48" t="str">
        <f t="shared" si="83"/>
        <v>25T Atlas Automatic Pellet Press from Specac Inc. for sample preparation equipment applications. Review configuration requirements and request technical information or a quotation from DIWAN.</v>
      </c>
      <c r="M370" s="48" t="s">
        <v>2020</v>
      </c>
      <c r="N370" s="61" t="s">
        <v>2672</v>
      </c>
      <c r="O370" s="54" t="str" cm="1">
        <f t="array" ref="O370">_xlfn.LET(_xlpm.n,LOWER(E370),_xlpm.c,LOWER(B370),_xlpm.t,_xlfn.IFS(OR(ISNUMBER(SEARCH("lens",_xlpm.n)),ISNUMBER(SEARCH("optic",_xlpm.n)),ISNUMBER(SEARCH("polarizer",_xlpm.n))),"precision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"),E370&amp;" is "&amp;_xlpm.art&amp;_xlpm.t&amp;" from "&amp;C370&amp;" designed for application-specific laboratory, engineering or industrial use. It belongs to DIWAN's "&amp;B370&amp;" portfolio; final configuration must be selected against performance, integration and compliance requirements.")</f>
        <v>25T Atlas Automatic Pellet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0" s="54" t="str">
        <f t="shared" si="84"/>
        <v>Selection should confirm the model-specific operating range, capacity, accuracy, interfaces, utilities, accessories, standards, environmental limits and service requirements. Final capabilities depend on the approved 25T Atlas Automatic Pellet Press configuration.</v>
      </c>
      <c r="Q370" s="54"/>
      <c r="R370" s="54" t="str">
        <f t="shared" si="85"/>
        <v>Sample Preparation Equipment applications; laboratory research, engineering development, quality control and industrial deployment where applicable. Suitability must be confirmed against the user's sample, process, environment and required standards.</v>
      </c>
      <c r="S370" s="54"/>
      <c r="T370" s="54" t="str">
        <f t="shared" si="86"/>
        <v>25T Atlas Automatic Pellet Press from Specac Inc.</v>
      </c>
      <c r="U370" s="54"/>
      <c r="V370" s="54" t="s">
        <v>2673</v>
      </c>
      <c r="W370" s="54" t="str">
        <f t="shared" si="87"/>
        <v>See other Sample Preparation Equipment products</v>
      </c>
      <c r="X370" s="54" t="str">
        <f t="shared" si="88"/>
        <v>Sample Preparation Equipment enquiry → website group enquiry form → category owner assignment</v>
      </c>
      <c r="Y370" s="54" t="str">
        <f t="shared" si="89"/>
        <v>25T Atlas Automatic Pellet Press, Sample Preparation Equipment, Specac Inc., technical equipment, DIWAN</v>
      </c>
      <c r="Z370" s="54" t="s">
        <v>2282</v>
      </c>
      <c r="AA370" s="55">
        <v>46257</v>
      </c>
      <c r="AB370" s="54" t="s">
        <v>2465</v>
      </c>
      <c r="AC370" s="63" t="str">
        <f t="shared" si="90"/>
        <v>Content drafted - assets/specs pending</v>
      </c>
      <c r="AD37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0" s="58"/>
      <c r="AF370" s="58"/>
      <c r="AG370" s="58" t="s">
        <v>2467</v>
      </c>
      <c r="AH370" s="58" t="s">
        <v>2468</v>
      </c>
      <c r="AI370" s="58" t="s">
        <v>2469</v>
      </c>
    </row>
    <row r="371" spans="1:35" ht="42" customHeight="1" x14ac:dyDescent="0.35">
      <c r="A371" s="69">
        <f t="shared" si="81"/>
        <v>63</v>
      </c>
      <c r="B371" s="70" t="s">
        <v>425</v>
      </c>
      <c r="C371" s="71" t="s">
        <v>16</v>
      </c>
      <c r="D371" s="72" t="s">
        <v>6</v>
      </c>
      <c r="E371" s="45" t="s">
        <v>428</v>
      </c>
      <c r="F371" s="49" t="s">
        <v>3025</v>
      </c>
      <c r="G371" s="45" t="s">
        <v>3045</v>
      </c>
      <c r="H371" s="47">
        <v>46257</v>
      </c>
      <c r="I371" s="48" t="s">
        <v>1873</v>
      </c>
      <c r="J371" s="48" t="s">
        <v>1168</v>
      </c>
      <c r="K371" s="48" t="str">
        <f t="shared" si="82"/>
        <v>15T Atlas Power Press is a sample preparation equipment product from Specac Inc. for application-specific laboratory, engineering or industrial use.</v>
      </c>
      <c r="L371" s="48" t="str">
        <f t="shared" si="83"/>
        <v>15T Atlas Power Press from Specac Inc. for sample preparation equipment applications. Review configuration requirements and request technical information or a quotation from DIWAN.</v>
      </c>
      <c r="M371" s="48" t="s">
        <v>2020</v>
      </c>
      <c r="N371" s="61" t="s">
        <v>2672</v>
      </c>
      <c r="O371" s="54" t="str" cm="1">
        <f t="array" ref="O371">_xlfn.LET(_xlpm.n,LOWER(E371),_xlpm.c,LOWER(B371),_xlpm.t,_xlfn.IFS(OR(ISNUMBER(SEARCH("lens",_xlpm.n)),ISNUMBER(SEARCH("optic",_xlpm.n)),ISNUMBER(SEARCH("polarizer",_xlpm.n))),"precision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"),E371&amp;" is "&amp;_xlpm.art&amp;_xlpm.t&amp;" from "&amp;C371&amp;" designed for application-specific laboratory, engineering or industrial use. It belongs to DIWAN's "&amp;B371&amp;" portfolio; final configuration must be selected against performance, integration and compliance requirements.")</f>
        <v>15T Atlas Power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1" s="54" t="str">
        <f t="shared" si="84"/>
        <v>Selection should confirm the model-specific operating range, capacity, accuracy, interfaces, utilities, accessories, standards, environmental limits and service requirements. Final capabilities depend on the approved 15T Atlas Power Press configuration.</v>
      </c>
      <c r="Q371" s="54"/>
      <c r="R371" s="54" t="str">
        <f t="shared" si="85"/>
        <v>Sample Preparation Equipment applications; laboratory research, engineering development, quality control and industrial deployment where applicable. Suitability must be confirmed against the user's sample, process, environment and required standards.</v>
      </c>
      <c r="S371" s="54"/>
      <c r="T371" s="54" t="str">
        <f t="shared" si="86"/>
        <v>15T Atlas Power Press from Specac Inc.</v>
      </c>
      <c r="U371" s="54"/>
      <c r="V371" s="54" t="s">
        <v>2673</v>
      </c>
      <c r="W371" s="54" t="str">
        <f t="shared" si="87"/>
        <v>See other Sample Preparation Equipment products</v>
      </c>
      <c r="X371" s="54" t="str">
        <f t="shared" si="88"/>
        <v>Sample Preparation Equipment enquiry → website group enquiry form → category owner assignment</v>
      </c>
      <c r="Y371" s="54" t="str">
        <f t="shared" si="89"/>
        <v>15T Atlas Power Press, Sample Preparation Equipment, Specac Inc., technical equipment, DIWAN</v>
      </c>
      <c r="Z371" s="54" t="s">
        <v>2282</v>
      </c>
      <c r="AA371" s="55">
        <v>46257</v>
      </c>
      <c r="AB371" s="54" t="s">
        <v>2465</v>
      </c>
      <c r="AC371" s="63" t="str">
        <f t="shared" si="90"/>
        <v>Content drafted - assets/specs pending</v>
      </c>
      <c r="AD37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1" s="58"/>
      <c r="AF371" s="58"/>
      <c r="AG371" s="58" t="s">
        <v>2467</v>
      </c>
      <c r="AH371" s="58" t="s">
        <v>2468</v>
      </c>
      <c r="AI371" s="58" t="s">
        <v>2469</v>
      </c>
    </row>
    <row r="372" spans="1:35" ht="42" customHeight="1" x14ac:dyDescent="0.35">
      <c r="A372" s="69">
        <f t="shared" si="81"/>
        <v>63</v>
      </c>
      <c r="B372" s="70" t="s">
        <v>425</v>
      </c>
      <c r="C372" s="71" t="s">
        <v>16</v>
      </c>
      <c r="D372" s="72" t="s">
        <v>6</v>
      </c>
      <c r="E372" s="45" t="s">
        <v>429</v>
      </c>
      <c r="F372" s="49" t="s">
        <v>3025</v>
      </c>
      <c r="G372" s="45" t="s">
        <v>3045</v>
      </c>
      <c r="H372" s="47">
        <v>46257</v>
      </c>
      <c r="I372" s="48" t="s">
        <v>1874</v>
      </c>
      <c r="J372" s="48" t="s">
        <v>1169</v>
      </c>
      <c r="K372" s="48" t="str">
        <f t="shared" si="82"/>
        <v>40T Atlas Power Press is a sample preparation equipment product from Specac Inc. for application-specific laboratory, engineering or industrial use.</v>
      </c>
      <c r="L372" s="48" t="str">
        <f t="shared" si="83"/>
        <v>40T Atlas Power Press from Specac Inc. for sample preparation equipment applications. Review configuration requirements and request technical information or a quotation from DIWAN.</v>
      </c>
      <c r="M372" s="48" t="s">
        <v>2020</v>
      </c>
      <c r="N372" s="61" t="s">
        <v>2672</v>
      </c>
      <c r="O372" s="54" t="str" cm="1">
        <f t="array" ref="O372">_xlfn.LET(_xlpm.n,LOWER(E372),_xlpm.c,LOWER(B372),_xlpm.t,_xlfn.IFS(OR(ISNUMBER(SEARCH("lens",_xlpm.n)),ISNUMBER(SEARCH("optic",_xlpm.n)),ISNUMBER(SEARCH("polarizer",_xlpm.n))),"precision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"),E372&amp;" is "&amp;_xlpm.art&amp;_xlpm.t&amp;" from "&amp;C372&amp;" designed for application-specific laboratory, engineering or industrial use. It belongs to DIWAN's "&amp;B372&amp;" portfolio; final configuration must be selected against performance, integration and compliance requirements.")</f>
        <v>40T Atlas Power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2" s="54" t="str">
        <f t="shared" si="84"/>
        <v>Selection should confirm the model-specific operating range, capacity, accuracy, interfaces, utilities, accessories, standards, environmental limits and service requirements. Final capabilities depend on the approved 40T Atlas Power Press configuration.</v>
      </c>
      <c r="Q372" s="54"/>
      <c r="R372" s="54" t="str">
        <f t="shared" si="85"/>
        <v>Sample Preparation Equipment applications; laboratory research, engineering development, quality control and industrial deployment where applicable. Suitability must be confirmed against the user's sample, process, environment and required standards.</v>
      </c>
      <c r="S372" s="54"/>
      <c r="T372" s="54" t="str">
        <f t="shared" si="86"/>
        <v>40T Atlas Power Press from Specac Inc.</v>
      </c>
      <c r="U372" s="54"/>
      <c r="V372" s="54" t="s">
        <v>2673</v>
      </c>
      <c r="W372" s="54" t="str">
        <f t="shared" si="87"/>
        <v>See other Sample Preparation Equipment products</v>
      </c>
      <c r="X372" s="54" t="str">
        <f t="shared" si="88"/>
        <v>Sample Preparation Equipment enquiry → website group enquiry form → category owner assignment</v>
      </c>
      <c r="Y372" s="54" t="str">
        <f t="shared" si="89"/>
        <v>40T Atlas Power Press, Sample Preparation Equipment, Specac Inc., technical equipment, DIWAN</v>
      </c>
      <c r="Z372" s="54" t="s">
        <v>2282</v>
      </c>
      <c r="AA372" s="55">
        <v>46257</v>
      </c>
      <c r="AB372" s="54" t="s">
        <v>2465</v>
      </c>
      <c r="AC372" s="63" t="str">
        <f t="shared" si="90"/>
        <v>Content drafted - assets/specs pending</v>
      </c>
      <c r="AD372"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2" s="58"/>
      <c r="AF372" s="58"/>
      <c r="AG372" s="58" t="s">
        <v>2467</v>
      </c>
      <c r="AH372" s="58" t="s">
        <v>2468</v>
      </c>
      <c r="AI372" s="58" t="s">
        <v>2469</v>
      </c>
    </row>
    <row r="373" spans="1:35" ht="42" customHeight="1" x14ac:dyDescent="0.35">
      <c r="A373" s="69">
        <f t="shared" si="81"/>
        <v>63</v>
      </c>
      <c r="B373" s="70" t="s">
        <v>425</v>
      </c>
      <c r="C373" s="71" t="s">
        <v>16</v>
      </c>
      <c r="D373" s="72" t="s">
        <v>6</v>
      </c>
      <c r="E373" s="45" t="s">
        <v>430</v>
      </c>
      <c r="F373" s="49" t="s">
        <v>3025</v>
      </c>
      <c r="G373" s="45" t="s">
        <v>3045</v>
      </c>
      <c r="H373" s="47">
        <v>46257</v>
      </c>
      <c r="I373" s="48" t="s">
        <v>1875</v>
      </c>
      <c r="J373" s="48" t="s">
        <v>1170</v>
      </c>
      <c r="K373" s="48" t="str">
        <f t="shared" si="82"/>
        <v>Atlas Autotouch Press is a sample preparation equipment product from Specac Inc. for application-specific laboratory, engineering or industrial use.</v>
      </c>
      <c r="L373" s="48" t="str">
        <f t="shared" si="83"/>
        <v>Atlas Autotouch Press from Specac Inc. for sample preparation equipment applications. Review configuration requirements and request technical information or a quotation from DIWAN.</v>
      </c>
      <c r="M373" s="48" t="s">
        <v>2020</v>
      </c>
      <c r="N373" s="61" t="s">
        <v>2672</v>
      </c>
      <c r="O373" s="54" t="str" cm="1">
        <f t="array" ref="O373">_xlfn.LET(_xlpm.n,LOWER(E373),_xlpm.c,LOWER(B373),_xlpm.t,_xlfn.IFS(OR(ISNUMBER(SEARCH("lens",_xlpm.n)),ISNUMBER(SEARCH("optic",_xlpm.n)),ISNUMBER(SEARCH("polarizer",_xlpm.n))),"precision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"),E373&amp;" is "&amp;_xlpm.art&amp;_xlpm.t&amp;" from "&amp;C373&amp;" designed for application-specific laboratory, engineering or industrial use. It belongs to DIWAN's "&amp;B373&amp;" portfolio; final configuration must be selected against performance, integration and compliance requirements.")</f>
        <v>Atlas Autotouch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3" s="54" t="str">
        <f t="shared" si="84"/>
        <v>Selection should confirm the model-specific operating range, capacity, accuracy, interfaces, utilities, accessories, standards, environmental limits and service requirements. Final capabilities depend on the approved Atlas Autotouch Press configuration.</v>
      </c>
      <c r="Q373" s="54"/>
      <c r="R373" s="54" t="str">
        <f t="shared" si="85"/>
        <v>Sample Preparation Equipment applications; laboratory research, engineering development, quality control and industrial deployment where applicable. Suitability must be confirmed against the user's sample, process, environment and required standards.</v>
      </c>
      <c r="S373" s="54"/>
      <c r="T373" s="54" t="str">
        <f t="shared" si="86"/>
        <v>Atlas Autotouch Press from Specac Inc.</v>
      </c>
      <c r="U373" s="54"/>
      <c r="V373" s="54" t="s">
        <v>2673</v>
      </c>
      <c r="W373" s="54" t="str">
        <f t="shared" si="87"/>
        <v>See other Sample Preparation Equipment products</v>
      </c>
      <c r="X373" s="54" t="str">
        <f t="shared" si="88"/>
        <v>Sample Preparation Equipment enquiry → website group enquiry form → category owner assignment</v>
      </c>
      <c r="Y373" s="54" t="str">
        <f t="shared" si="89"/>
        <v>Atlas Autotouch Press, Sample Preparation Equipment, Specac Inc., technical equipment, DIWAN</v>
      </c>
      <c r="Z373" s="54" t="s">
        <v>2282</v>
      </c>
      <c r="AA373" s="55">
        <v>46257</v>
      </c>
      <c r="AB373" s="54" t="s">
        <v>2465</v>
      </c>
      <c r="AC373" s="63" t="str">
        <f t="shared" si="90"/>
        <v>Content drafted - assets/specs pending</v>
      </c>
      <c r="AD37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3" s="58"/>
      <c r="AF373" s="58"/>
      <c r="AG373" s="58" t="s">
        <v>2467</v>
      </c>
      <c r="AH373" s="58" t="s">
        <v>2468</v>
      </c>
      <c r="AI373" s="58" t="s">
        <v>2469</v>
      </c>
    </row>
    <row r="374" spans="1:35" ht="42" customHeight="1" x14ac:dyDescent="0.35">
      <c r="A374" s="69">
        <f t="shared" si="81"/>
        <v>63</v>
      </c>
      <c r="B374" s="70" t="s">
        <v>425</v>
      </c>
      <c r="C374" s="71" t="s">
        <v>16</v>
      </c>
      <c r="D374" s="72" t="s">
        <v>6</v>
      </c>
      <c r="E374" s="45" t="s">
        <v>431</v>
      </c>
      <c r="F374" s="49" t="s">
        <v>3025</v>
      </c>
      <c r="G374" s="45" t="s">
        <v>3045</v>
      </c>
      <c r="H374" s="47">
        <v>46257</v>
      </c>
      <c r="I374" s="48" t="s">
        <v>1876</v>
      </c>
      <c r="J374" s="48" t="s">
        <v>1171</v>
      </c>
      <c r="K374" s="48" t="str">
        <f t="shared" si="82"/>
        <v>Atlas E-Series Electric Hydraulic Press is a sample preparation equipment product from Specac Inc. for application-specific laboratory, engineering or industrial use.</v>
      </c>
      <c r="L374" s="48" t="str">
        <f t="shared" si="83"/>
        <v>Atlas E-Series Electric Hydraulic Press from Specac Inc. for sample preparation equipment applications. Review configuration requirements and request technical information or a quotation from DIWAN.</v>
      </c>
      <c r="M374" s="48" t="s">
        <v>2020</v>
      </c>
      <c r="N374" s="61" t="s">
        <v>2672</v>
      </c>
      <c r="O374" s="54" t="str" cm="1">
        <f t="array" ref="O374">_xlfn.LET(_xlpm.n,LOWER(E374),_xlpm.c,LOWER(B374),_xlpm.t,_xlfn.IFS(OR(ISNUMBER(SEARCH("lens",_xlpm.n)),ISNUMBER(SEARCH("optic",_xlpm.n)),ISNUMBER(SEARCH("polarizer",_xlpm.n))),"precision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"),E374&amp;" is "&amp;_xlpm.art&amp;_xlpm.t&amp;" from "&amp;C374&amp;" designed for application-specific laboratory, engineering or industrial use. It belongs to DIWAN's "&amp;B374&amp;" portfolio; final configuration must be selected against performance, integration and compliance requirements.")</f>
        <v>Atlas E-Series Electric Hydraulic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4" s="54" t="str">
        <f t="shared" si="84"/>
        <v>Selection should confirm the model-specific operating range, capacity, accuracy, interfaces, utilities, accessories, standards, environmental limits and service requirements. Final capabilities depend on the approved Atlas E-Series Electric Hydraulic Press configuration.</v>
      </c>
      <c r="Q374" s="54"/>
      <c r="R374" s="54" t="str">
        <f t="shared" si="85"/>
        <v>Sample Preparation Equipment applications; laboratory research, engineering development, quality control and industrial deployment where applicable. Suitability must be confirmed against the user's sample, process, environment and required standards.</v>
      </c>
      <c r="S374" s="54"/>
      <c r="T374" s="54" t="str">
        <f t="shared" si="86"/>
        <v>Atlas E-Series Electric Hydraulic Press from Specac Inc.</v>
      </c>
      <c r="U374" s="54"/>
      <c r="V374" s="54" t="s">
        <v>2673</v>
      </c>
      <c r="W374" s="54" t="str">
        <f t="shared" si="87"/>
        <v>See other Sample Preparation Equipment products</v>
      </c>
      <c r="X374" s="54" t="str">
        <f t="shared" si="88"/>
        <v>Sample Preparation Equipment enquiry → website group enquiry form → category owner assignment</v>
      </c>
      <c r="Y374" s="54" t="str">
        <f t="shared" si="89"/>
        <v>Atlas E-Series Electric Hydraulic Press, Sample Preparation Equipment, Specac Inc., technical equipment, DIWAN</v>
      </c>
      <c r="Z374" s="54" t="s">
        <v>2282</v>
      </c>
      <c r="AA374" s="55">
        <v>46257</v>
      </c>
      <c r="AB374" s="54" t="s">
        <v>2465</v>
      </c>
      <c r="AC374" s="63" t="str">
        <f t="shared" si="90"/>
        <v>Content drafted - assets/specs pending</v>
      </c>
      <c r="AD374"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4" s="58"/>
      <c r="AF374" s="58"/>
      <c r="AG374" s="58" t="s">
        <v>2467</v>
      </c>
      <c r="AH374" s="58" t="s">
        <v>2468</v>
      </c>
      <c r="AI374" s="58" t="s">
        <v>2469</v>
      </c>
    </row>
    <row r="375" spans="1:35" ht="42" customHeight="1" x14ac:dyDescent="0.35">
      <c r="A375" s="69">
        <f t="shared" si="81"/>
        <v>63</v>
      </c>
      <c r="B375" s="70" t="s">
        <v>425</v>
      </c>
      <c r="C375" s="71" t="s">
        <v>16</v>
      </c>
      <c r="D375" s="72" t="s">
        <v>6</v>
      </c>
      <c r="E375" s="45" t="s">
        <v>432</v>
      </c>
      <c r="F375" s="49" t="s">
        <v>3025</v>
      </c>
      <c r="G375" s="45" t="s">
        <v>3045</v>
      </c>
      <c r="H375" s="47">
        <v>46257</v>
      </c>
      <c r="I375" s="48" t="s">
        <v>1877</v>
      </c>
      <c r="J375" s="48" t="s">
        <v>1172</v>
      </c>
      <c r="K375" s="48" t="str">
        <f t="shared" si="82"/>
        <v>50T Autotouch Automatic Press is a sample preparation equipment product from Specac Inc. for application-specific laboratory, engineering or industrial use.</v>
      </c>
      <c r="L375" s="48" t="str">
        <f t="shared" si="83"/>
        <v>50T Autotouch Automatic Press from Specac Inc. for sample preparation equipment applications. Review configuration requirements and request technical information or a quotation from DIWAN.</v>
      </c>
      <c r="M375" s="48" t="s">
        <v>2020</v>
      </c>
      <c r="N375" s="61" t="s">
        <v>2672</v>
      </c>
      <c r="O375" s="54" t="str" cm="1">
        <f t="array" ref="O375">_xlfn.LET(_xlpm.n,LOWER(E375),_xlpm.c,LOWER(B375),_xlpm.t,_xlfn.IFS(OR(ISNUMBER(SEARCH("lens",_xlpm.n)),ISNUMBER(SEARCH("optic",_xlpm.n)),ISNUMBER(SEARCH("polarizer",_xlpm.n))),"precision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"),E375&amp;" is "&amp;_xlpm.art&amp;_xlpm.t&amp;" from "&amp;C375&amp;" designed for application-specific laboratory, engineering or industrial use. It belongs to DIWAN's "&amp;B375&amp;" portfolio; final configuration must be selected against performance, integration and compliance requirements.")</f>
        <v>50T Autotouch Automatic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5" s="54" t="str">
        <f t="shared" si="84"/>
        <v>Selection should confirm the model-specific operating range, capacity, accuracy, interfaces, utilities, accessories, standards, environmental limits and service requirements. Final capabilities depend on the approved 50T Autotouch Automatic Press configuration.</v>
      </c>
      <c r="Q375" s="54"/>
      <c r="R375" s="54" t="str">
        <f t="shared" si="85"/>
        <v>Sample Preparation Equipment applications; laboratory research, engineering development, quality control and industrial deployment where applicable. Suitability must be confirmed against the user's sample, process, environment and required standards.</v>
      </c>
      <c r="S375" s="54"/>
      <c r="T375" s="54" t="str">
        <f t="shared" si="86"/>
        <v>50T Autotouch Automatic Press from Specac Inc.</v>
      </c>
      <c r="U375" s="54"/>
      <c r="V375" s="54" t="s">
        <v>2673</v>
      </c>
      <c r="W375" s="54" t="str">
        <f t="shared" si="87"/>
        <v>See other Sample Preparation Equipment products</v>
      </c>
      <c r="X375" s="54" t="str">
        <f t="shared" si="88"/>
        <v>Sample Preparation Equipment enquiry → website group enquiry form → category owner assignment</v>
      </c>
      <c r="Y375" s="54" t="str">
        <f t="shared" si="89"/>
        <v>50T Autotouch Automatic Press, Sample Preparation Equipment, Specac Inc., technical equipment, DIWAN</v>
      </c>
      <c r="Z375" s="54" t="s">
        <v>2282</v>
      </c>
      <c r="AA375" s="55">
        <v>46257</v>
      </c>
      <c r="AB375" s="54" t="s">
        <v>2465</v>
      </c>
      <c r="AC375" s="63" t="str">
        <f t="shared" si="90"/>
        <v>Content drafted - assets/specs pending</v>
      </c>
      <c r="AD37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5" s="58"/>
      <c r="AF375" s="58"/>
      <c r="AG375" s="58" t="s">
        <v>2467</v>
      </c>
      <c r="AH375" s="58" t="s">
        <v>2468</v>
      </c>
      <c r="AI375" s="58" t="s">
        <v>2469</v>
      </c>
    </row>
    <row r="376" spans="1:35" ht="42" customHeight="1" x14ac:dyDescent="0.35">
      <c r="A376" s="69">
        <f t="shared" si="81"/>
        <v>63</v>
      </c>
      <c r="B376" s="70" t="s">
        <v>425</v>
      </c>
      <c r="C376" s="71" t="s">
        <v>16</v>
      </c>
      <c r="D376" s="72" t="s">
        <v>6</v>
      </c>
      <c r="E376" s="45" t="s">
        <v>433</v>
      </c>
      <c r="F376" s="49" t="s">
        <v>3025</v>
      </c>
      <c r="G376" s="45" t="s">
        <v>3045</v>
      </c>
      <c r="H376" s="47">
        <v>46257</v>
      </c>
      <c r="I376" s="48" t="s">
        <v>1878</v>
      </c>
      <c r="J376" s="48" t="s">
        <v>1173</v>
      </c>
      <c r="K376" s="48" t="str">
        <f t="shared" si="82"/>
        <v>KBr Pellet Kit is a sample preparation equipment product from Specac Inc. for application-specific laboratory, engineering or industrial use.</v>
      </c>
      <c r="L376" s="48" t="str">
        <f t="shared" si="83"/>
        <v>KBr Pellet Kit from Specac Inc. for sample preparation equipment applications. Review configuration requirements and request technical information or a quotation from DIWAN.</v>
      </c>
      <c r="M376" s="48" t="s">
        <v>2020</v>
      </c>
      <c r="N376" s="61" t="s">
        <v>2672</v>
      </c>
      <c r="O376" s="54" t="str" cm="1">
        <f t="array" ref="O376">_xlfn.LET(_xlpm.n,LOWER(E376),_xlpm.c,LOWER(B376),_xlpm.t,_xlfn.IFS(OR(ISNUMBER(SEARCH("lens",_xlpm.n)),ISNUMBER(SEARCH("optic",_xlpm.n)),ISNUMBER(SEARCH("polarizer",_xlpm.n))),"precision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"),E376&amp;" is "&amp;_xlpm.art&amp;_xlpm.t&amp;" from "&amp;C376&amp;" designed for application-specific laboratory, engineering or industrial use. It belongs to DIWAN's "&amp;B376&amp;" portfolio; final configuration must be selected against performance, integration and compliance requirements.")</f>
        <v>KBr Pellet Kit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6" s="54" t="str">
        <f t="shared" si="84"/>
        <v>Selection should confirm the model-specific operating range, capacity, accuracy, interfaces, utilities, accessories, standards, environmental limits and service requirements. Final capabilities depend on the approved KBr Pellet Kit configuration.</v>
      </c>
      <c r="Q376" s="54"/>
      <c r="R376" s="54" t="str">
        <f t="shared" si="85"/>
        <v>Sample Preparation Equipment applications; laboratory research, engineering development, quality control and industrial deployment where applicable. Suitability must be confirmed against the user's sample, process, environment and required standards.</v>
      </c>
      <c r="S376" s="54"/>
      <c r="T376" s="54" t="str">
        <f t="shared" si="86"/>
        <v>KBr Pellet Kit from Specac Inc.</v>
      </c>
      <c r="U376" s="54"/>
      <c r="V376" s="54" t="s">
        <v>2673</v>
      </c>
      <c r="W376" s="54" t="str">
        <f t="shared" si="87"/>
        <v>See other Sample Preparation Equipment products</v>
      </c>
      <c r="X376" s="54" t="str">
        <f t="shared" si="88"/>
        <v>Sample Preparation Equipment enquiry → website group enquiry form → category owner assignment</v>
      </c>
      <c r="Y376" s="54" t="str">
        <f t="shared" si="89"/>
        <v>KBr Pellet Kit, Sample Preparation Equipment, Specac Inc., technical equipment, DIWAN</v>
      </c>
      <c r="Z376" s="54" t="s">
        <v>2282</v>
      </c>
      <c r="AA376" s="55">
        <v>46257</v>
      </c>
      <c r="AB376" s="54" t="s">
        <v>2465</v>
      </c>
      <c r="AC376" s="63" t="str">
        <f t="shared" si="90"/>
        <v>Content drafted - assets/specs pending</v>
      </c>
      <c r="AD376"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6" s="58"/>
      <c r="AF376" s="58"/>
      <c r="AG376" s="58" t="s">
        <v>2467</v>
      </c>
      <c r="AH376" s="58" t="s">
        <v>2468</v>
      </c>
      <c r="AI376" s="58" t="s">
        <v>2469</v>
      </c>
    </row>
    <row r="377" spans="1:35" ht="42" customHeight="1" x14ac:dyDescent="0.35">
      <c r="A377" s="69">
        <f t="shared" si="81"/>
        <v>63</v>
      </c>
      <c r="B377" s="70" t="s">
        <v>425</v>
      </c>
      <c r="C377" s="71" t="s">
        <v>16</v>
      </c>
      <c r="D377" s="72" t="s">
        <v>6</v>
      </c>
      <c r="E377" s="45" t="s">
        <v>434</v>
      </c>
      <c r="F377" s="49" t="s">
        <v>3025</v>
      </c>
      <c r="G377" s="45" t="s">
        <v>3045</v>
      </c>
      <c r="H377" s="47">
        <v>46257</v>
      </c>
      <c r="I377" s="48" t="s">
        <v>1879</v>
      </c>
      <c r="J377" s="48" t="s">
        <v>1174</v>
      </c>
      <c r="K377" s="48" t="str">
        <f t="shared" si="82"/>
        <v>Basic Solid Sampling Kit is a sample preparation equipment product from Specac Inc. for application-specific laboratory, engineering or industrial use.</v>
      </c>
      <c r="L377" s="48" t="str">
        <f t="shared" si="83"/>
        <v>Basic Solid Sampling Kit from Specac Inc. for sample preparation equipment applications. Review configuration requirements and request technical information or a quotation from DIWAN.</v>
      </c>
      <c r="M377" s="48" t="s">
        <v>2020</v>
      </c>
      <c r="N377" s="61" t="s">
        <v>2672</v>
      </c>
      <c r="O377" s="54" t="str" cm="1">
        <f t="array" ref="O377">_xlfn.LET(_xlpm.n,LOWER(E377),_xlpm.c,LOWER(B377),_xlpm.t,_xlfn.IFS(OR(ISNUMBER(SEARCH("lens",_xlpm.n)),ISNUMBER(SEARCH("optic",_xlpm.n)),ISNUMBER(SEARCH("polarizer",_xlpm.n))),"precision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"),E377&amp;" is "&amp;_xlpm.art&amp;_xlpm.t&amp;" from "&amp;C377&amp;" designed for application-specific laboratory, engineering or industrial use. It belongs to DIWAN's "&amp;B377&amp;" portfolio; final configuration must be selected against performance, integration and compliance requirements.")</f>
        <v>Basic Solid Sampling Kit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7" s="54" t="str">
        <f t="shared" si="84"/>
        <v>Selection should confirm the model-specific operating range, capacity, accuracy, interfaces, utilities, accessories, standards, environmental limits and service requirements. Final capabilities depend on the approved Basic Solid Sampling Kit configuration.</v>
      </c>
      <c r="Q377" s="54"/>
      <c r="R377" s="54" t="str">
        <f t="shared" si="85"/>
        <v>Sample Preparation Equipment applications; laboratory research, engineering development, quality control and industrial deployment where applicable. Suitability must be confirmed against the user's sample, process, environment and required standards.</v>
      </c>
      <c r="S377" s="54"/>
      <c r="T377" s="54" t="str">
        <f t="shared" si="86"/>
        <v>Basic Solid Sampling Kit from Specac Inc.</v>
      </c>
      <c r="U377" s="54"/>
      <c r="V377" s="54" t="s">
        <v>2673</v>
      </c>
      <c r="W377" s="54" t="str">
        <f t="shared" si="87"/>
        <v>See other Sample Preparation Equipment products</v>
      </c>
      <c r="X377" s="54" t="str">
        <f t="shared" si="88"/>
        <v>Sample Preparation Equipment enquiry → website group enquiry form → category owner assignment</v>
      </c>
      <c r="Y377" s="54" t="str">
        <f t="shared" si="89"/>
        <v>Basic Solid Sampling Kit, Sample Preparation Equipment, Specac Inc., technical equipment, DIWAN</v>
      </c>
      <c r="Z377" s="54" t="s">
        <v>2282</v>
      </c>
      <c r="AA377" s="55">
        <v>46257</v>
      </c>
      <c r="AB377" s="54" t="s">
        <v>2465</v>
      </c>
      <c r="AC377" s="63" t="str">
        <f t="shared" si="90"/>
        <v>Content drafted - assets/specs pending</v>
      </c>
      <c r="AD37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7" s="58"/>
      <c r="AF377" s="58"/>
      <c r="AG377" s="58" t="s">
        <v>2467</v>
      </c>
      <c r="AH377" s="58" t="s">
        <v>2468</v>
      </c>
      <c r="AI377" s="58" t="s">
        <v>2469</v>
      </c>
    </row>
    <row r="378" spans="1:35" ht="42" customHeight="1" x14ac:dyDescent="0.35">
      <c r="A378" s="69">
        <f t="shared" si="81"/>
        <v>63</v>
      </c>
      <c r="B378" s="70" t="s">
        <v>425</v>
      </c>
      <c r="C378" s="71" t="s">
        <v>16</v>
      </c>
      <c r="D378" s="72" t="s">
        <v>6</v>
      </c>
      <c r="E378" s="45" t="s">
        <v>435</v>
      </c>
      <c r="F378" s="49" t="s">
        <v>3025</v>
      </c>
      <c r="G378" s="45" t="s">
        <v>3045</v>
      </c>
      <c r="H378" s="47">
        <v>46257</v>
      </c>
      <c r="I378" s="48" t="s">
        <v>1880</v>
      </c>
      <c r="J378" s="48" t="s">
        <v>1175</v>
      </c>
      <c r="K378" s="48" t="str">
        <f t="shared" si="82"/>
        <v>Evacuable Pellet Dies is a sample preparation equipment product from Specac Inc. for application-specific laboratory, engineering or industrial use.</v>
      </c>
      <c r="L378" s="48" t="str">
        <f t="shared" si="83"/>
        <v>Evacuable Pellet Dies from Specac Inc. for sample preparation equipment applications. Review configuration requirements and request technical information or a quotation from DIWAN.</v>
      </c>
      <c r="M378" s="48" t="s">
        <v>2020</v>
      </c>
      <c r="N378" s="61" t="s">
        <v>2672</v>
      </c>
      <c r="O378" s="54" t="str" cm="1">
        <f t="array" ref="O378">_xlfn.LET(_xlpm.n,LOWER(E378),_xlpm.c,LOWER(B378),_xlpm.t,_xlfn.IFS(OR(ISNUMBER(SEARCH("lens",_xlpm.n)),ISNUMBER(SEARCH("optic",_xlpm.n)),ISNUMBER(SEARCH("polarizer",_xlpm.n))),"precision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"),E378&amp;" is "&amp;_xlpm.art&amp;_xlpm.t&amp;" from "&amp;C378&amp;" designed for application-specific laboratory, engineering or industrial use. It belongs to DIWAN's "&amp;B378&amp;" portfolio; final configuration must be selected against performance, integration and compliance requirements.")</f>
        <v>Evacuable Pellet Dies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8" s="54" t="str">
        <f t="shared" si="84"/>
        <v>Selection should confirm the model-specific operating range, capacity, accuracy, interfaces, utilities, accessories, standards, environmental limits and service requirements. Final capabilities depend on the approved Evacuable Pellet Dies configuration.</v>
      </c>
      <c r="Q378" s="54"/>
      <c r="R378" s="54" t="str">
        <f t="shared" si="85"/>
        <v>Sample Preparation Equipment applications; laboratory research, engineering development, quality control and industrial deployment where applicable. Suitability must be confirmed against the user's sample, process, environment and required standards.</v>
      </c>
      <c r="S378" s="54"/>
      <c r="T378" s="54" t="str">
        <f t="shared" si="86"/>
        <v>Evacuable Pellet Dies from Specac Inc.</v>
      </c>
      <c r="U378" s="54"/>
      <c r="V378" s="54" t="s">
        <v>2673</v>
      </c>
      <c r="W378" s="54" t="str">
        <f t="shared" si="87"/>
        <v>See other Sample Preparation Equipment products</v>
      </c>
      <c r="X378" s="54" t="str">
        <f t="shared" si="88"/>
        <v>Sample Preparation Equipment enquiry → website group enquiry form → category owner assignment</v>
      </c>
      <c r="Y378" s="54" t="str">
        <f t="shared" si="89"/>
        <v>Evacuable Pellet Dies, Sample Preparation Equipment, Specac Inc., technical equipment, DIWAN</v>
      </c>
      <c r="Z378" s="54" t="s">
        <v>2282</v>
      </c>
      <c r="AA378" s="55">
        <v>46257</v>
      </c>
      <c r="AB378" s="54" t="s">
        <v>2465</v>
      </c>
      <c r="AC378" s="63" t="str">
        <f t="shared" si="90"/>
        <v>Content drafted - assets/specs pending</v>
      </c>
      <c r="AD378"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8" s="58"/>
      <c r="AF378" s="58"/>
      <c r="AG378" s="58" t="s">
        <v>2467</v>
      </c>
      <c r="AH378" s="58" t="s">
        <v>2468</v>
      </c>
      <c r="AI378" s="58" t="s">
        <v>2469</v>
      </c>
    </row>
    <row r="379" spans="1:35" ht="42" customHeight="1" x14ac:dyDescent="0.35">
      <c r="A379" s="69">
        <f t="shared" si="81"/>
        <v>63</v>
      </c>
      <c r="B379" s="70" t="s">
        <v>425</v>
      </c>
      <c r="C379" s="71" t="s">
        <v>16</v>
      </c>
      <c r="D379" s="72" t="s">
        <v>6</v>
      </c>
      <c r="E379" s="45" t="s">
        <v>436</v>
      </c>
      <c r="F379" s="49" t="s">
        <v>3025</v>
      </c>
      <c r="G379" s="45" t="s">
        <v>3045</v>
      </c>
      <c r="H379" s="47">
        <v>46257</v>
      </c>
      <c r="I379" s="48" t="s">
        <v>1881</v>
      </c>
      <c r="J379" s="48" t="s">
        <v>1176</v>
      </c>
      <c r="K379" s="48" t="str">
        <f t="shared" si="82"/>
        <v>Gas Loadable Pellet Die is a sample preparation equipment product from Specac Inc. for application-specific laboratory, engineering or industrial use.</v>
      </c>
      <c r="L379" s="48" t="str">
        <f t="shared" si="83"/>
        <v>Gas Loadable Pellet Die from Specac Inc. for sample preparation equipment applications. Review configuration requirements and request technical information or a quotation from DIWAN.</v>
      </c>
      <c r="M379" s="48" t="s">
        <v>2020</v>
      </c>
      <c r="N379" s="61" t="s">
        <v>2672</v>
      </c>
      <c r="O379" s="54" t="str" cm="1">
        <f t="array" ref="O379">_xlfn.LET(_xlpm.n,LOWER(E379),_xlpm.c,LOWER(B379),_xlpm.t,_xlfn.IFS(OR(ISNUMBER(SEARCH("lens",_xlpm.n)),ISNUMBER(SEARCH("optic",_xlpm.n)),ISNUMBER(SEARCH("polarizer",_xlpm.n))),"precision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"),E379&amp;" is "&amp;_xlpm.art&amp;_xlpm.t&amp;" from "&amp;C379&amp;" designed for application-specific laboratory, engineering or industrial use. It belongs to DIWAN's "&amp;B379&amp;" portfolio; final configuration must be selected against performance, integration and compliance requirements.")</f>
        <v>Gas Loadable Pellet Die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79" s="54" t="str">
        <f t="shared" si="84"/>
        <v>Selection should confirm the model-specific operating range, capacity, accuracy, interfaces, utilities, accessories, standards, environmental limits and service requirements. Final capabilities depend on the approved Gas Loadable Pellet Die configuration.</v>
      </c>
      <c r="Q379" s="54"/>
      <c r="R379" s="54" t="str">
        <f t="shared" si="85"/>
        <v>Sample Preparation Equipment applications; laboratory research, engineering development, quality control and industrial deployment where applicable. Suitability must be confirmed against the user's sample, process, environment and required standards.</v>
      </c>
      <c r="S379" s="54"/>
      <c r="T379" s="54" t="str">
        <f t="shared" si="86"/>
        <v>Gas Loadable Pellet Die from Specac Inc.</v>
      </c>
      <c r="U379" s="54"/>
      <c r="V379" s="54" t="s">
        <v>2673</v>
      </c>
      <c r="W379" s="54" t="str">
        <f t="shared" si="87"/>
        <v>See other Sample Preparation Equipment products</v>
      </c>
      <c r="X379" s="54" t="str">
        <f t="shared" si="88"/>
        <v>Sample Preparation Equipment enquiry → website group enquiry form → category owner assignment</v>
      </c>
      <c r="Y379" s="54" t="str">
        <f t="shared" si="89"/>
        <v>Gas Loadable Pellet Die, Sample Preparation Equipment, Specac Inc., technical equipment, DIWAN</v>
      </c>
      <c r="Z379" s="54" t="s">
        <v>2282</v>
      </c>
      <c r="AA379" s="55">
        <v>46257</v>
      </c>
      <c r="AB379" s="54" t="s">
        <v>2465</v>
      </c>
      <c r="AC379" s="63" t="str">
        <f t="shared" si="90"/>
        <v>Content drafted - assets/specs pending</v>
      </c>
      <c r="AD379"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79" s="58"/>
      <c r="AF379" s="58"/>
      <c r="AG379" s="58" t="s">
        <v>2467</v>
      </c>
      <c r="AH379" s="58" t="s">
        <v>2468</v>
      </c>
      <c r="AI379" s="58" t="s">
        <v>2469</v>
      </c>
    </row>
    <row r="380" spans="1:35" ht="42" customHeight="1" x14ac:dyDescent="0.35">
      <c r="A380" s="69">
        <f t="shared" si="81"/>
        <v>63</v>
      </c>
      <c r="B380" s="70" t="s">
        <v>425</v>
      </c>
      <c r="C380" s="71" t="s">
        <v>16</v>
      </c>
      <c r="D380" s="72" t="s">
        <v>6</v>
      </c>
      <c r="E380" s="45" t="s">
        <v>437</v>
      </c>
      <c r="F380" s="49" t="s">
        <v>3025</v>
      </c>
      <c r="G380" s="45" t="s">
        <v>3045</v>
      </c>
      <c r="H380" s="47">
        <v>46257</v>
      </c>
      <c r="I380" s="48" t="s">
        <v>1882</v>
      </c>
      <c r="J380" s="48" t="s">
        <v>1177</v>
      </c>
      <c r="K380" s="48" t="str">
        <f t="shared" si="82"/>
        <v>Lab Pellet Press Die Sets is a sample preparation equipment product from Specac Inc. for application-specific laboratory, engineering or industrial use.</v>
      </c>
      <c r="L380" s="48" t="str">
        <f t="shared" si="83"/>
        <v>Lab Pellet Press Die Sets from Specac Inc. for sample preparation equipment applications. Review configuration requirements and request technical information or a quotation from DIWAN.</v>
      </c>
      <c r="M380" s="48" t="s">
        <v>2020</v>
      </c>
      <c r="N380" s="61" t="s">
        <v>2672</v>
      </c>
      <c r="O380" s="54" t="str" cm="1">
        <f t="array" ref="O380">_xlfn.LET(_xlpm.n,LOWER(E380),_xlpm.c,LOWER(B380),_xlpm.t,_xlfn.IFS(OR(ISNUMBER(SEARCH("lens",_xlpm.n)),ISNUMBER(SEARCH("optic",_xlpm.n)),ISNUMBER(SEARCH("polarizer",_xlpm.n))),"precision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"),E380&amp;" is "&amp;_xlpm.art&amp;_xlpm.t&amp;" from "&amp;C380&amp;" designed for application-specific laboratory, engineering or industrial use. It belongs to DIWAN's "&amp;B380&amp;" portfolio; final configuration must be selected against performance, integration and compliance requirements.")</f>
        <v>Lab Pellet Press Die Sets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0" s="54" t="str">
        <f t="shared" si="84"/>
        <v>Selection should confirm the model-specific operating range, capacity, accuracy, interfaces, utilities, accessories, standards, environmental limits and service requirements. Final capabilities depend on the approved Lab Pellet Press Die Sets configuration.</v>
      </c>
      <c r="Q380" s="54"/>
      <c r="R380" s="54" t="str">
        <f t="shared" si="85"/>
        <v>Sample Preparation Equipment applications; laboratory research, engineering development, quality control and industrial deployment where applicable. Suitability must be confirmed against the user's sample, process, environment and required standards.</v>
      </c>
      <c r="S380" s="54"/>
      <c r="T380" s="54" t="str">
        <f t="shared" si="86"/>
        <v>Lab Pellet Press Die Sets from Specac Inc.</v>
      </c>
      <c r="U380" s="54"/>
      <c r="V380" s="54" t="s">
        <v>2673</v>
      </c>
      <c r="W380" s="54" t="str">
        <f t="shared" si="87"/>
        <v>See other Sample Preparation Equipment products</v>
      </c>
      <c r="X380" s="54" t="str">
        <f t="shared" si="88"/>
        <v>Sample Preparation Equipment enquiry → website group enquiry form → category owner assignment</v>
      </c>
      <c r="Y380" s="54" t="str">
        <f t="shared" si="89"/>
        <v>Lab Pellet Press Die Sets, Sample Preparation Equipment, Specac Inc., technical equipment, DIWAN</v>
      </c>
      <c r="Z380" s="54" t="s">
        <v>2282</v>
      </c>
      <c r="AA380" s="55">
        <v>46257</v>
      </c>
      <c r="AB380" s="54" t="s">
        <v>2465</v>
      </c>
      <c r="AC380" s="63" t="str">
        <f t="shared" si="90"/>
        <v>Content drafted - assets/specs pending</v>
      </c>
      <c r="AD38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0" s="58"/>
      <c r="AF380" s="58"/>
      <c r="AG380" s="58" t="s">
        <v>2467</v>
      </c>
      <c r="AH380" s="58" t="s">
        <v>2468</v>
      </c>
      <c r="AI380" s="58" t="s">
        <v>2469</v>
      </c>
    </row>
    <row r="381" spans="1:35" ht="42" customHeight="1" x14ac:dyDescent="0.35">
      <c r="A381" s="69">
        <f t="shared" si="81"/>
        <v>63</v>
      </c>
      <c r="B381" s="70" t="s">
        <v>425</v>
      </c>
      <c r="C381" s="71" t="s">
        <v>16</v>
      </c>
      <c r="D381" s="72" t="s">
        <v>6</v>
      </c>
      <c r="E381" s="45" t="s">
        <v>438</v>
      </c>
      <c r="F381" s="49" t="s">
        <v>3025</v>
      </c>
      <c r="G381" s="45" t="s">
        <v>3045</v>
      </c>
      <c r="H381" s="47">
        <v>46257</v>
      </c>
      <c r="I381" s="48" t="s">
        <v>1883</v>
      </c>
      <c r="J381" s="48" t="s">
        <v>1178</v>
      </c>
      <c r="K381" s="48" t="str">
        <f t="shared" si="82"/>
        <v>Vacuum Pellet Die Assembly is a sample preparation equipment product from Specac Inc. for application-specific laboratory, engineering or industrial use.</v>
      </c>
      <c r="L381" s="48" t="str">
        <f t="shared" si="83"/>
        <v>Vacuum Pellet Die Assembly from Specac Inc. for sample preparation equipment applications. Review configuration requirements and request technical information or a quotation from DIWAN.</v>
      </c>
      <c r="M381" s="48" t="s">
        <v>2020</v>
      </c>
      <c r="N381" s="61" t="s">
        <v>2672</v>
      </c>
      <c r="O381" s="54" t="str" cm="1">
        <f t="array" ref="O381">_xlfn.LET(_xlpm.n,LOWER(E381),_xlpm.c,LOWER(B381),_xlpm.t,_xlfn.IFS(OR(ISNUMBER(SEARCH("lens",_xlpm.n)),ISNUMBER(SEARCH("optic",_xlpm.n)),ISNUMBER(SEARCH("polarizer",_xlpm.n))),"precision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"),E381&amp;" is "&amp;_xlpm.art&amp;_xlpm.t&amp;" from "&amp;C381&amp;" designed for application-specific laboratory, engineering or industrial use. It belongs to DIWAN's "&amp;B381&amp;" portfolio; final configuration must be selected against performance, integration and compliance requirements.")</f>
        <v>Vacuum Pellet Die Assembly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1" s="54" t="str">
        <f t="shared" si="84"/>
        <v>Selection should confirm the model-specific operating range, capacity, accuracy, interfaces, utilities, accessories, standards, environmental limits and service requirements. Final capabilities depend on the approved Vacuum Pellet Die Assembly configuration.</v>
      </c>
      <c r="Q381" s="54"/>
      <c r="R381" s="54" t="str">
        <f t="shared" si="85"/>
        <v>Sample Preparation Equipment applications; laboratory research, engineering development, quality control and industrial deployment where applicable. Suitability must be confirmed against the user's sample, process, environment and required standards.</v>
      </c>
      <c r="S381" s="54"/>
      <c r="T381" s="54" t="str">
        <f t="shared" si="86"/>
        <v>Vacuum Pellet Die Assembly from Specac Inc.</v>
      </c>
      <c r="U381" s="54"/>
      <c r="V381" s="54" t="s">
        <v>2673</v>
      </c>
      <c r="W381" s="54" t="str">
        <f t="shared" si="87"/>
        <v>See other Sample Preparation Equipment products</v>
      </c>
      <c r="X381" s="54" t="str">
        <f t="shared" si="88"/>
        <v>Sample Preparation Equipment enquiry → website group enquiry form → category owner assignment</v>
      </c>
      <c r="Y381" s="54" t="str">
        <f t="shared" si="89"/>
        <v>Vacuum Pellet Die Assembly, Sample Preparation Equipment, Specac Inc., technical equipment, DIWAN</v>
      </c>
      <c r="Z381" s="54" t="s">
        <v>2282</v>
      </c>
      <c r="AA381" s="55">
        <v>46257</v>
      </c>
      <c r="AB381" s="54" t="s">
        <v>2465</v>
      </c>
      <c r="AC381" s="63" t="str">
        <f t="shared" si="90"/>
        <v>Content drafted - assets/specs pending</v>
      </c>
      <c r="AD38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1" s="58"/>
      <c r="AF381" s="58"/>
      <c r="AG381" s="58" t="s">
        <v>2467</v>
      </c>
      <c r="AH381" s="58" t="s">
        <v>2468</v>
      </c>
      <c r="AI381" s="58" t="s">
        <v>2469</v>
      </c>
    </row>
    <row r="382" spans="1:35" ht="42" customHeight="1" x14ac:dyDescent="0.35">
      <c r="A382" s="69">
        <f t="shared" si="81"/>
        <v>63</v>
      </c>
      <c r="B382" s="70" t="s">
        <v>425</v>
      </c>
      <c r="C382" s="71" t="s">
        <v>16</v>
      </c>
      <c r="D382" s="72" t="s">
        <v>6</v>
      </c>
      <c r="E382" s="45" t="s">
        <v>439</v>
      </c>
      <c r="F382" s="49" t="s">
        <v>3025</v>
      </c>
      <c r="G382" s="45" t="s">
        <v>3045</v>
      </c>
      <c r="H382" s="47">
        <v>46257</v>
      </c>
      <c r="I382" s="48" t="s">
        <v>1884</v>
      </c>
      <c r="J382" s="48" t="s">
        <v>1179</v>
      </c>
      <c r="K382" s="48" t="str">
        <f t="shared" si="82"/>
        <v>Constant Thickness Film Maker is a sample preparation equipment product from Specac Inc. for application-specific laboratory, engineering or industrial use.</v>
      </c>
      <c r="L382" s="48" t="str">
        <f t="shared" si="83"/>
        <v>Constant Thickness Film Maker from Specac Inc. for sample preparation equipment applications. Review configuration requirements and request technical information or a quotation from DIWAN.</v>
      </c>
      <c r="M382" s="48" t="s">
        <v>2020</v>
      </c>
      <c r="N382" s="61" t="s">
        <v>2672</v>
      </c>
      <c r="O382" s="54" t="str" cm="1">
        <f t="array" ref="O382">_xlfn.LET(_xlpm.n,LOWER(E382),_xlpm.c,LOWER(B382),_xlpm.t,_xlfn.IFS(OR(ISNUMBER(SEARCH("lens",_xlpm.n)),ISNUMBER(SEARCH("optic",_xlpm.n)),ISNUMBER(SEARCH("polarizer",_xlpm.n))),"precision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"),E382&amp;" is "&amp;_xlpm.art&amp;_xlpm.t&amp;" from "&amp;C382&amp;" designed for application-specific laboratory, engineering or industrial use. It belongs to DIWAN's "&amp;B382&amp;" portfolio; final configuration must be selected against performance, integration and compliance requirements.")</f>
        <v>Constant Thickness Film Maker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2" s="54" t="str">
        <f t="shared" si="84"/>
        <v>Selection should confirm the model-specific operating range, capacity, accuracy, interfaces, utilities, accessories, standards, environmental limits and service requirements. Final capabilities depend on the approved Constant Thickness Film Maker configuration.</v>
      </c>
      <c r="Q382" s="54"/>
      <c r="R382" s="54" t="str">
        <f t="shared" si="85"/>
        <v>Sample Preparation Equipment applications; laboratory research, engineering development, quality control and industrial deployment where applicable. Suitability must be confirmed against the user's sample, process, environment and required standards.</v>
      </c>
      <c r="S382" s="54"/>
      <c r="T382" s="54" t="str">
        <f t="shared" si="86"/>
        <v>Constant Thickness Film Maker from Specac Inc.</v>
      </c>
      <c r="U382" s="54"/>
      <c r="V382" s="54" t="s">
        <v>2673</v>
      </c>
      <c r="W382" s="54" t="str">
        <f t="shared" si="87"/>
        <v>See other Sample Preparation Equipment products</v>
      </c>
      <c r="X382" s="54" t="str">
        <f t="shared" si="88"/>
        <v>Sample Preparation Equipment enquiry → website group enquiry form → category owner assignment</v>
      </c>
      <c r="Y382" s="54" t="str">
        <f t="shared" si="89"/>
        <v>Constant Thickness Film Maker, Sample Preparation Equipment, Specac Inc., technical equipment, DIWAN</v>
      </c>
      <c r="Z382" s="54" t="s">
        <v>2282</v>
      </c>
      <c r="AA382" s="55">
        <v>46257</v>
      </c>
      <c r="AB382" s="54" t="s">
        <v>2465</v>
      </c>
      <c r="AC382" s="63" t="str">
        <f t="shared" si="90"/>
        <v>Content drafted - assets/specs pending</v>
      </c>
      <c r="AD382"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2" s="58"/>
      <c r="AF382" s="58"/>
      <c r="AG382" s="58" t="s">
        <v>2467</v>
      </c>
      <c r="AH382" s="58" t="s">
        <v>2468</v>
      </c>
      <c r="AI382" s="58" t="s">
        <v>2469</v>
      </c>
    </row>
    <row r="383" spans="1:35" ht="42" customHeight="1" x14ac:dyDescent="0.35">
      <c r="A383" s="69">
        <f t="shared" si="81"/>
        <v>63</v>
      </c>
      <c r="B383" s="70" t="s">
        <v>425</v>
      </c>
      <c r="C383" s="71" t="s">
        <v>16</v>
      </c>
      <c r="D383" s="72" t="s">
        <v>6</v>
      </c>
      <c r="E383" s="45" t="s">
        <v>440</v>
      </c>
      <c r="F383" s="49" t="s">
        <v>3025</v>
      </c>
      <c r="G383" s="45" t="s">
        <v>3045</v>
      </c>
      <c r="H383" s="47">
        <v>46257</v>
      </c>
      <c r="I383" s="48" t="s">
        <v>1885</v>
      </c>
      <c r="J383" s="48" t="s">
        <v>1180</v>
      </c>
      <c r="K383" s="48" t="str">
        <f t="shared" si="82"/>
        <v>Atlas Heated Platen is a sample preparation equipment product from Specac Inc. for application-specific laboratory, engineering or industrial use.</v>
      </c>
      <c r="L383" s="48" t="str">
        <f t="shared" si="83"/>
        <v>Atlas Heated Platen from Specac Inc. for sample preparation equipment applications. Review configuration requirements and request technical information or a quotation from DIWAN.</v>
      </c>
      <c r="M383" s="48" t="s">
        <v>2020</v>
      </c>
      <c r="N383" s="61" t="s">
        <v>2672</v>
      </c>
      <c r="O383" s="54" t="str" cm="1">
        <f t="array" ref="O383">_xlfn.LET(_xlpm.n,LOWER(E383),_xlpm.c,LOWER(B383),_xlpm.t,_xlfn.IFS(OR(ISNUMBER(SEARCH("lens",_xlpm.n)),ISNUMBER(SEARCH("optic",_xlpm.n)),ISNUMBER(SEARCH("polarizer",_xlpm.n))),"precision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"),E383&amp;" is "&amp;_xlpm.art&amp;_xlpm.t&amp;" from "&amp;C383&amp;" designed for application-specific laboratory, engineering or industrial use. It belongs to DIWAN's "&amp;B383&amp;" portfolio; final configuration must be selected against performance, integration and compliance requirements.")</f>
        <v>Atlas Heated Platen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3" s="54" t="str">
        <f t="shared" si="84"/>
        <v>Selection should confirm the model-specific operating range, capacity, accuracy, interfaces, utilities, accessories, standards, environmental limits and service requirements. Final capabilities depend on the approved Atlas Heated Platen configuration.</v>
      </c>
      <c r="Q383" s="54"/>
      <c r="R383" s="54" t="str">
        <f t="shared" si="85"/>
        <v>Sample Preparation Equipment applications; laboratory research, engineering development, quality control and industrial deployment where applicable. Suitability must be confirmed against the user's sample, process, environment and required standards.</v>
      </c>
      <c r="S383" s="54"/>
      <c r="T383" s="54" t="str">
        <f t="shared" si="86"/>
        <v>Atlas Heated Platen from Specac Inc.</v>
      </c>
      <c r="U383" s="54"/>
      <c r="V383" s="54" t="s">
        <v>2673</v>
      </c>
      <c r="W383" s="54" t="str">
        <f t="shared" si="87"/>
        <v>See other Sample Preparation Equipment products</v>
      </c>
      <c r="X383" s="54" t="str">
        <f t="shared" si="88"/>
        <v>Sample Preparation Equipment enquiry → website group enquiry form → category owner assignment</v>
      </c>
      <c r="Y383" s="54" t="str">
        <f t="shared" si="89"/>
        <v>Atlas Heated Platen, Sample Preparation Equipment, Specac Inc., technical equipment, DIWAN</v>
      </c>
      <c r="Z383" s="54" t="s">
        <v>2282</v>
      </c>
      <c r="AA383" s="55">
        <v>46257</v>
      </c>
      <c r="AB383" s="54" t="s">
        <v>2465</v>
      </c>
      <c r="AC383" s="63" t="str">
        <f t="shared" si="90"/>
        <v>Content drafted - assets/specs pending</v>
      </c>
      <c r="AD38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3" s="58"/>
      <c r="AF383" s="58"/>
      <c r="AG383" s="58" t="s">
        <v>2467</v>
      </c>
      <c r="AH383" s="58" t="s">
        <v>2468</v>
      </c>
      <c r="AI383" s="58" t="s">
        <v>2469</v>
      </c>
    </row>
    <row r="384" spans="1:35" ht="42" customHeight="1" x14ac:dyDescent="0.35">
      <c r="A384" s="69">
        <f t="shared" si="81"/>
        <v>63</v>
      </c>
      <c r="B384" s="70" t="s">
        <v>425</v>
      </c>
      <c r="C384" s="71" t="s">
        <v>16</v>
      </c>
      <c r="D384" s="72" t="s">
        <v>6</v>
      </c>
      <c r="E384" s="45" t="s">
        <v>441</v>
      </c>
      <c r="F384" s="49" t="s">
        <v>3025</v>
      </c>
      <c r="G384" s="45" t="s">
        <v>3045</v>
      </c>
      <c r="H384" s="47">
        <v>46257</v>
      </c>
      <c r="I384" s="48" t="s">
        <v>1886</v>
      </c>
      <c r="J384" s="48" t="s">
        <v>1181</v>
      </c>
      <c r="K384" s="48" t="str">
        <f t="shared" si="82"/>
        <v>Atlas Heated Platens and Film Maker is a sample preparation equipment product from Specac Inc. for application-specific laboratory, engineering or industrial use.</v>
      </c>
      <c r="L384" s="48" t="str">
        <f t="shared" si="83"/>
        <v>Atlas Heated Platens and Film Maker from Specac Inc. for sample preparation equipment applications. Review configuration requirements and request technical information or a quotation from DIWAN.</v>
      </c>
      <c r="M384" s="48" t="s">
        <v>2020</v>
      </c>
      <c r="N384" s="61" t="s">
        <v>2672</v>
      </c>
      <c r="O384" s="54" t="str" cm="1">
        <f t="array" ref="O384">_xlfn.LET(_xlpm.n,LOWER(E384),_xlpm.c,LOWER(B384),_xlpm.t,_xlfn.IFS(OR(ISNUMBER(SEARCH("lens",_xlpm.n)),ISNUMBER(SEARCH("optic",_xlpm.n)),ISNUMBER(SEARCH("polarizer",_xlpm.n))),"precision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"),E384&amp;" is "&amp;_xlpm.art&amp;_xlpm.t&amp;" from "&amp;C384&amp;" designed for application-specific laboratory, engineering or industrial use. It belongs to DIWAN's "&amp;B384&amp;" portfolio; final configuration must be selected against performance, integration and compliance requirements.")</f>
        <v>Atlas Heated Platens and Film Maker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4" s="54" t="str">
        <f t="shared" si="84"/>
        <v>Selection should confirm the model-specific operating range, capacity, accuracy, interfaces, utilities, accessories, standards, environmental limits and service requirements. Final capabilities depend on the approved Atlas Heated Platens and Film Maker configuration.</v>
      </c>
      <c r="Q384" s="54"/>
      <c r="R384" s="54" t="str">
        <f t="shared" si="85"/>
        <v>Sample Preparation Equipment applications; laboratory research, engineering development, quality control and industrial deployment where applicable. Suitability must be confirmed against the user's sample, process, environment and required standards.</v>
      </c>
      <c r="S384" s="54"/>
      <c r="T384" s="54" t="str">
        <f t="shared" si="86"/>
        <v>Atlas Heated Platens and Film Maker from Specac Inc.</v>
      </c>
      <c r="U384" s="54"/>
      <c r="V384" s="54" t="s">
        <v>2673</v>
      </c>
      <c r="W384" s="54" t="str">
        <f t="shared" si="87"/>
        <v>See other Sample Preparation Equipment products</v>
      </c>
      <c r="X384" s="54" t="str">
        <f t="shared" si="88"/>
        <v>Sample Preparation Equipment enquiry → website group enquiry form → category owner assignment</v>
      </c>
      <c r="Y384" s="54" t="str">
        <f t="shared" si="89"/>
        <v>Atlas Heated Platens and Film Maker, Sample Preparation Equipment, Specac Inc., technical equipment, DIWAN</v>
      </c>
      <c r="Z384" s="54" t="s">
        <v>2282</v>
      </c>
      <c r="AA384" s="55">
        <v>46257</v>
      </c>
      <c r="AB384" s="54" t="s">
        <v>2465</v>
      </c>
      <c r="AC384" s="63" t="str">
        <f t="shared" si="90"/>
        <v>Content drafted - assets/specs pending</v>
      </c>
      <c r="AD384"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4" s="58"/>
      <c r="AF384" s="58"/>
      <c r="AG384" s="58" t="s">
        <v>2467</v>
      </c>
      <c r="AH384" s="58" t="s">
        <v>2468</v>
      </c>
      <c r="AI384" s="58" t="s">
        <v>2469</v>
      </c>
    </row>
    <row r="385" spans="1:35" ht="42" customHeight="1" thickBot="1" x14ac:dyDescent="0.4">
      <c r="A385" s="69">
        <f t="shared" si="81"/>
        <v>63</v>
      </c>
      <c r="B385" s="70" t="s">
        <v>425</v>
      </c>
      <c r="C385" s="71" t="s">
        <v>16</v>
      </c>
      <c r="D385" s="72" t="s">
        <v>6</v>
      </c>
      <c r="E385" s="45" t="s">
        <v>442</v>
      </c>
      <c r="F385" s="49" t="s">
        <v>3025</v>
      </c>
      <c r="G385" s="45" t="s">
        <v>3045</v>
      </c>
      <c r="H385" s="47">
        <v>46257</v>
      </c>
      <c r="I385" s="48" t="s">
        <v>1887</v>
      </c>
      <c r="J385" s="48" t="s">
        <v>1182</v>
      </c>
      <c r="K385" s="48" t="str">
        <f t="shared" si="82"/>
        <v>Electron Microscopy Press is a sample preparation equipment product from Specac Inc. for application-specific laboratory, engineering or industrial use.</v>
      </c>
      <c r="L385" s="48" t="str">
        <f t="shared" si="83"/>
        <v>Electron Microscopy Press from Specac Inc. for sample preparation equipment applications. Review configuration requirements and request technical information or a quotation from DIWAN.</v>
      </c>
      <c r="M385" s="48" t="s">
        <v>2020</v>
      </c>
      <c r="N385" s="61" t="s">
        <v>2672</v>
      </c>
      <c r="O385" s="54" t="str" cm="1">
        <f t="array" ref="O385">_xlfn.LET(_xlpm.n,LOWER(E385),_xlpm.c,LOWER(B385),_xlpm.t,_xlfn.IFS(OR(ISNUMBER(SEARCH("lens",_xlpm.n)),ISNUMBER(SEARCH("optic",_xlpm.n)),ISNUMBER(SEARCH("polarizer",_xlpm.n))),"precision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"),E385&amp;" is "&amp;_xlpm.art&amp;_xlpm.t&amp;" from "&amp;C385&amp;" designed for application-specific laboratory, engineering or industrial use. It belongs to DIWAN's "&amp;B385&amp;" portfolio; final configuration must be selected against performance, integration and compliance requirements.")</f>
        <v>Electron Microscopy Press is a specialized sample preparation equipment product from Specac Inc. designed for application-specific laboratory, engineering or industrial use. It belongs to DIWAN's Sample Preparation Equipment portfolio; final configuration must be selected against performance, integration and compliance requirements.</v>
      </c>
      <c r="P385" s="54" t="str">
        <f t="shared" si="84"/>
        <v>Selection should confirm the model-specific operating range, capacity, accuracy, interfaces, utilities, accessories, standards, environmental limits and service requirements. Final capabilities depend on the approved Electron Microscopy Press configuration.</v>
      </c>
      <c r="Q385" s="54"/>
      <c r="R385" s="54" t="str">
        <f t="shared" si="85"/>
        <v>Sample Preparation Equipment applications; laboratory research, engineering development, quality control and industrial deployment where applicable. Suitability must be confirmed against the user's sample, process, environment and required standards.</v>
      </c>
      <c r="S385" s="54"/>
      <c r="T385" s="54" t="str">
        <f t="shared" si="86"/>
        <v>Electron Microscopy Press from Specac Inc.</v>
      </c>
      <c r="U385" s="54"/>
      <c r="V385" s="54" t="s">
        <v>2673</v>
      </c>
      <c r="W385" s="54" t="str">
        <f t="shared" si="87"/>
        <v>See other Sample Preparation Equipment products</v>
      </c>
      <c r="X385" s="54" t="str">
        <f t="shared" si="88"/>
        <v>Sample Preparation Equipment enquiry → website group enquiry form → category owner assignment</v>
      </c>
      <c r="Y385" s="54" t="str">
        <f t="shared" si="89"/>
        <v>Electron Microscopy Press, Sample Preparation Equipment, Specac Inc., technical equipment, DIWAN</v>
      </c>
      <c r="Z385" s="54" t="s">
        <v>2282</v>
      </c>
      <c r="AA385" s="55">
        <v>46257</v>
      </c>
      <c r="AB385" s="54" t="s">
        <v>2465</v>
      </c>
      <c r="AC385" s="63" t="str">
        <f t="shared" si="90"/>
        <v>Content drafted - assets/specs pending</v>
      </c>
      <c r="AD38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5" s="58"/>
      <c r="AF385" s="58"/>
      <c r="AG385" s="58" t="s">
        <v>2467</v>
      </c>
      <c r="AH385" s="58" t="s">
        <v>2468</v>
      </c>
      <c r="AI385" s="58" t="s">
        <v>2469</v>
      </c>
    </row>
    <row r="386" spans="1:35" ht="42" customHeight="1" x14ac:dyDescent="0.35">
      <c r="A386" s="69">
        <f t="shared" si="81"/>
        <v>64</v>
      </c>
      <c r="B386" s="74" t="s">
        <v>443</v>
      </c>
      <c r="C386" s="75" t="s">
        <v>16</v>
      </c>
      <c r="D386" s="76" t="s">
        <v>6</v>
      </c>
      <c r="E386" s="77" t="s">
        <v>444</v>
      </c>
      <c r="F386" s="86" t="s">
        <v>3026</v>
      </c>
      <c r="G386" s="77" t="s">
        <v>3045</v>
      </c>
      <c r="H386" s="79">
        <v>46257</v>
      </c>
      <c r="I386" s="80" t="s">
        <v>1888</v>
      </c>
      <c r="J386" s="80" t="s">
        <v>1183</v>
      </c>
      <c r="K386" s="80" t="str">
        <f t="shared" si="82"/>
        <v>Zephyr NIR and UV Process Cell is a nir / uv process cells product from Specac Inc. for application-specific laboratory, engineering or industrial use.</v>
      </c>
      <c r="L386" s="80" t="str">
        <f t="shared" si="83"/>
        <v>Zephyr NIR and UV Process Cell from Specac Inc. for nir / uv process cells applications. Review configuration requirements and request technical information or a quotation from DIWAN.</v>
      </c>
      <c r="M386" s="80" t="s">
        <v>2020</v>
      </c>
      <c r="N386" s="81" t="s">
        <v>2672</v>
      </c>
      <c r="O386" s="82" t="str" cm="1">
        <f t="array" ref="O386">_xlfn.LET(_xlpm.n,LOWER(E386),_xlpm.c,LOWER(B386),_xlpm.t,_xlfn.IFS(OR(ISNUMBER(SEARCH("lens",_xlpm.n)),ISNUMBER(SEARCH("optic",_xlpm.n)),ISNUMBER(SEARCH("polarizer",_xlpm.n))),"precision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"),E386&amp;" is "&amp;_xlpm.art&amp;_xlpm.t&amp;" from "&amp;C386&amp;" designed for application-specific laboratory, engineering or industrial use. It belongs to DIWAN's "&amp;B386&amp;" portfolio; final configuration must be selected against performance, integration and compliance requirements.")</f>
        <v>Zephyr NIR and UV Process Cell is a specialized nir / uv process cells product from Specac Inc. designed for application-specific laboratory, engineering or industrial use. It belongs to DIWAN's NIR / UV Process Cells portfolio; final configuration must be selected against performance, integration and compliance requirements.</v>
      </c>
      <c r="P386" s="82" t="str">
        <f t="shared" si="84"/>
        <v>Selection should confirm the model-specific operating range, capacity, accuracy, interfaces, utilities, accessories, standards, environmental limits and service requirements. Final capabilities depend on the approved Zephyr NIR and UV Process Cell configuration.</v>
      </c>
      <c r="Q386" s="82"/>
      <c r="R386" s="82" t="str">
        <f t="shared" si="85"/>
        <v>NIR / UV Process Cells applications; laboratory research, engineering development, quality control and industrial deployment where applicable. Suitability must be confirmed against the user's sample, process, environment and required standards.</v>
      </c>
      <c r="S386" s="82"/>
      <c r="T386" s="82" t="str">
        <f t="shared" si="86"/>
        <v>Zephyr NIR and UV Process Cell from Specac Inc.</v>
      </c>
      <c r="U386" s="82"/>
      <c r="V386" s="82" t="s">
        <v>2673</v>
      </c>
      <c r="W386" s="82" t="str">
        <f t="shared" si="87"/>
        <v>See other NIR / UV Process Cells products</v>
      </c>
      <c r="X386" s="82" t="str">
        <f t="shared" si="88"/>
        <v>NIR / UV Process Cells enquiry → website group enquiry form → category owner assignment</v>
      </c>
      <c r="Y386" s="82" t="str">
        <f t="shared" si="89"/>
        <v>Zephyr NIR and UV Process Cell, NIR / UV Process Cells, Specac Inc., technical equipment, DIWAN</v>
      </c>
      <c r="Z386" s="82" t="s">
        <v>2283</v>
      </c>
      <c r="AA386" s="83">
        <v>46257</v>
      </c>
      <c r="AB386" s="82" t="s">
        <v>2465</v>
      </c>
      <c r="AC386" s="84" t="str">
        <f t="shared" si="90"/>
        <v>Content drafted - assets/specs pending</v>
      </c>
      <c r="AD386"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6" s="85"/>
      <c r="AF386" s="85"/>
      <c r="AG386" s="85" t="s">
        <v>2467</v>
      </c>
      <c r="AH386" s="85" t="s">
        <v>2468</v>
      </c>
      <c r="AI386" s="85" t="s">
        <v>2469</v>
      </c>
    </row>
    <row r="387" spans="1:35" ht="42" customHeight="1" x14ac:dyDescent="0.35">
      <c r="A387" s="69">
        <f t="shared" si="81"/>
        <v>64</v>
      </c>
      <c r="B387" s="70" t="s">
        <v>443</v>
      </c>
      <c r="C387" s="71" t="s">
        <v>16</v>
      </c>
      <c r="D387" s="72" t="s">
        <v>6</v>
      </c>
      <c r="E387" s="45" t="s">
        <v>445</v>
      </c>
      <c r="F387" s="49" t="s">
        <v>3026</v>
      </c>
      <c r="G387" s="45" t="s">
        <v>3045</v>
      </c>
      <c r="H387" s="47">
        <v>46257</v>
      </c>
      <c r="I387" s="48" t="s">
        <v>1889</v>
      </c>
      <c r="J387" s="48" t="s">
        <v>1184</v>
      </c>
      <c r="K387" s="48" t="str">
        <f t="shared" si="82"/>
        <v>Kestrel NIR and UV Diffuse Reflection Probe is a nir / uv process cells product from Specac Inc. for application-specific laboratory, engineering or industrial use.</v>
      </c>
      <c r="L387" s="48" t="str">
        <f t="shared" si="83"/>
        <v>Kestrel NIR and UV Diffuse Reflection Probe from Specac Inc. for nir / uv process cells applications. Review configuration requirements and request technical information or a quotation from DIWAN.</v>
      </c>
      <c r="M387" s="48" t="s">
        <v>2020</v>
      </c>
      <c r="N387" s="61" t="s">
        <v>2672</v>
      </c>
      <c r="O387" s="54" t="str" cm="1">
        <f t="array" ref="O387">_xlfn.LET(_xlpm.n,LOWER(E387),_xlpm.c,LOWER(B387),_xlpm.t,_xlfn.IFS(OR(ISNUMBER(SEARCH("lens",_xlpm.n)),ISNUMBER(SEARCH("optic",_xlpm.n)),ISNUMBER(SEARCH("polarizer",_xlpm.n))),"precision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"),E387&amp;" is "&amp;_xlpm.art&amp;_xlpm.t&amp;" from "&amp;C387&amp;" designed for application-specific laboratory, engineering or industrial use. It belongs to DIWAN's "&amp;B387&amp;" portfolio; final configuration must be selected against performance, integration and compliance requirements.")</f>
        <v>Kestrel NIR and UV Diffuse Reflection Probe is a specialized nir / uv process cells product from Specac Inc. designed for application-specific laboratory, engineering or industrial use. It belongs to DIWAN's NIR / UV Process Cells portfolio; final configuration must be selected against performance, integration and compliance requirements.</v>
      </c>
      <c r="P387" s="54" t="str">
        <f t="shared" si="84"/>
        <v>Selection should confirm the model-specific operating range, capacity, accuracy, interfaces, utilities, accessories, standards, environmental limits and service requirements. Final capabilities depend on the approved Kestrel NIR and UV Diffuse Reflection Probe configuration.</v>
      </c>
      <c r="Q387" s="54"/>
      <c r="R387" s="54" t="str">
        <f t="shared" si="85"/>
        <v>NIR / UV Process Cells applications; laboratory research, engineering development, quality control and industrial deployment where applicable. Suitability must be confirmed against the user's sample, process, environment and required standards.</v>
      </c>
      <c r="S387" s="54"/>
      <c r="T387" s="54" t="str">
        <f t="shared" si="86"/>
        <v>Kestrel NIR and UV Diffuse Reflection Probe from Specac Inc.</v>
      </c>
      <c r="U387" s="54"/>
      <c r="V387" s="54" t="s">
        <v>2673</v>
      </c>
      <c r="W387" s="54" t="str">
        <f t="shared" si="87"/>
        <v>See other NIR / UV Process Cells products</v>
      </c>
      <c r="X387" s="54" t="str">
        <f t="shared" si="88"/>
        <v>NIR / UV Process Cells enquiry → website group enquiry form → category owner assignment</v>
      </c>
      <c r="Y387" s="54" t="str">
        <f t="shared" si="89"/>
        <v>Kestrel NIR and UV Diffuse Reflection Probe, NIR / UV Process Cells, Specac Inc., technical equipment, DIWAN</v>
      </c>
      <c r="Z387" s="54" t="s">
        <v>2283</v>
      </c>
      <c r="AA387" s="55">
        <v>46257</v>
      </c>
      <c r="AB387" s="54" t="s">
        <v>2465</v>
      </c>
      <c r="AC387" s="63" t="str">
        <f t="shared" si="90"/>
        <v>Content drafted - assets/specs pending</v>
      </c>
      <c r="AD38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7" s="58"/>
      <c r="AF387" s="58"/>
      <c r="AG387" s="58" t="s">
        <v>2467</v>
      </c>
      <c r="AH387" s="58" t="s">
        <v>2468</v>
      </c>
      <c r="AI387" s="58" t="s">
        <v>2469</v>
      </c>
    </row>
    <row r="388" spans="1:35" ht="42" customHeight="1" thickBot="1" x14ac:dyDescent="0.4">
      <c r="A388" s="69">
        <f t="shared" ref="A388:A451" si="92">IF(B388=B387,A387,A387+1)</f>
        <v>64</v>
      </c>
      <c r="B388" s="70" t="s">
        <v>443</v>
      </c>
      <c r="C388" s="71" t="s">
        <v>16</v>
      </c>
      <c r="D388" s="72" t="s">
        <v>6</v>
      </c>
      <c r="E388" s="45" t="s">
        <v>446</v>
      </c>
      <c r="F388" s="49" t="s">
        <v>3026</v>
      </c>
      <c r="G388" s="45" t="s">
        <v>3045</v>
      </c>
      <c r="H388" s="47">
        <v>46257</v>
      </c>
      <c r="I388" s="48" t="s">
        <v>1890</v>
      </c>
      <c r="J388" s="48" t="s">
        <v>1185</v>
      </c>
      <c r="K388" s="48" t="str">
        <f t="shared" si="82"/>
        <v>Kestrel NIR and UV Process Flow-Through Cell is a nir / uv process cells product from Specac Inc. for application-specific laboratory, engineering or industrial use.</v>
      </c>
      <c r="L388" s="48" t="str">
        <f t="shared" si="83"/>
        <v>Kestrel NIR and UV Process Flow-Through Cell from Specac Inc. for nir / uv process cells applications. Review configuration requirements and request technical information or a quotation from DIWAN.</v>
      </c>
      <c r="M388" s="48" t="s">
        <v>2020</v>
      </c>
      <c r="N388" s="61" t="s">
        <v>2672</v>
      </c>
      <c r="O388" s="54" t="str" cm="1">
        <f t="array" ref="O388">_xlfn.LET(_xlpm.n,LOWER(E388),_xlpm.c,LOWER(B388),_xlpm.t,_xlfn.IFS(OR(ISNUMBER(SEARCH("lens",_xlpm.n)),ISNUMBER(SEARCH("optic",_xlpm.n)),ISNUMBER(SEARCH("polarizer",_xlpm.n))),"precision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"),E388&amp;" is "&amp;_xlpm.art&amp;_xlpm.t&amp;" from "&amp;C388&amp;" designed for application-specific laboratory, engineering or industrial use. It belongs to DIWAN's "&amp;B388&amp;" portfolio; final configuration must be selected against performance, integration and compliance requirements.")</f>
        <v>Kestrel NIR and UV Process Flow-Through Cell is a specialized nir / uv process cells product from Specac Inc. designed for application-specific laboratory, engineering or industrial use. It belongs to DIWAN's NIR / UV Process Cells portfolio; final configuration must be selected against performance, integration and compliance requirements.</v>
      </c>
      <c r="P388" s="54" t="str">
        <f t="shared" si="84"/>
        <v>Selection should confirm the model-specific operating range, capacity, accuracy, interfaces, utilities, accessories, standards, environmental limits and service requirements. Final capabilities depend on the approved Kestrel NIR and UV Process Flow-Through Cell configuration.</v>
      </c>
      <c r="Q388" s="54"/>
      <c r="R388" s="54" t="str">
        <f t="shared" si="85"/>
        <v>NIR / UV Process Cells applications; laboratory research, engineering development, quality control and industrial deployment where applicable. Suitability must be confirmed against the user's sample, process, environment and required standards.</v>
      </c>
      <c r="S388" s="54"/>
      <c r="T388" s="54" t="str">
        <f t="shared" si="86"/>
        <v>Kestrel NIR and UV Process Flow-Through Cell from Specac Inc.</v>
      </c>
      <c r="U388" s="54"/>
      <c r="V388" s="54" t="s">
        <v>2673</v>
      </c>
      <c r="W388" s="54" t="str">
        <f t="shared" si="87"/>
        <v>See other NIR / UV Process Cells products</v>
      </c>
      <c r="X388" s="54" t="str">
        <f t="shared" si="88"/>
        <v>NIR / UV Process Cells enquiry → website group enquiry form → category owner assignment</v>
      </c>
      <c r="Y388" s="54" t="str">
        <f t="shared" si="89"/>
        <v>Kestrel NIR and UV Process Flow-Through Cell, NIR / UV Process Cells, Specac Inc., technical equipment, DIWAN</v>
      </c>
      <c r="Z388" s="54" t="s">
        <v>2283</v>
      </c>
      <c r="AA388" s="55">
        <v>46257</v>
      </c>
      <c r="AB388" s="54" t="s">
        <v>2465</v>
      </c>
      <c r="AC388" s="63" t="str">
        <f t="shared" si="90"/>
        <v>Content drafted - assets/specs pending</v>
      </c>
      <c r="AD388"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8" s="58"/>
      <c r="AF388" s="58"/>
      <c r="AG388" s="58" t="s">
        <v>2467</v>
      </c>
      <c r="AH388" s="58" t="s">
        <v>2468</v>
      </c>
      <c r="AI388" s="58" t="s">
        <v>2469</v>
      </c>
    </row>
    <row r="389" spans="1:35" ht="42" customHeight="1" x14ac:dyDescent="0.35">
      <c r="A389" s="69">
        <f t="shared" si="92"/>
        <v>65</v>
      </c>
      <c r="B389" s="74" t="s">
        <v>447</v>
      </c>
      <c r="C389" s="75" t="s">
        <v>16</v>
      </c>
      <c r="D389" s="76" t="s">
        <v>6</v>
      </c>
      <c r="E389" s="77" t="s">
        <v>448</v>
      </c>
      <c r="F389" s="86" t="s">
        <v>3027</v>
      </c>
      <c r="G389" s="77" t="s">
        <v>3045</v>
      </c>
      <c r="H389" s="79">
        <v>46257</v>
      </c>
      <c r="I389" s="80" t="s">
        <v>1891</v>
      </c>
      <c r="J389" s="80" t="s">
        <v>1186</v>
      </c>
      <c r="K389" s="80" t="str">
        <f t="shared" si="82"/>
        <v>Infrared Wire Grid Polarizers is an infrared polarizers product from Specac Inc. for application-specific laboratory, engineering or industrial use.</v>
      </c>
      <c r="L389" s="80" t="str">
        <f t="shared" si="83"/>
        <v>Infrared Wire Grid Polarizers from Specac Inc. for infrared polarizers applications. Review configuration requirements and request technical information or a quotation from DIWAN.</v>
      </c>
      <c r="M389" s="80" t="s">
        <v>2020</v>
      </c>
      <c r="N389" s="81" t="s">
        <v>2672</v>
      </c>
      <c r="O389" s="82" t="str" cm="1">
        <f t="array" ref="O389">_xlfn.LET(_xlpm.n,LOWER(E389),_xlpm.c,LOWER(B389),_xlpm.t,_xlfn.IFS(OR(ISNUMBER(SEARCH("lens",_xlpm.n)),ISNUMBER(SEARCH("optic",_xlpm.n)),ISNUMBER(SEARCH("polarizer",_xlpm.n))),"precision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"),E389&amp;" is "&amp;_xlpm.art&amp;_xlpm.t&amp;" from "&amp;C389&amp;" designed for application-specific laboratory, engineering or industrial use. It belongs to DIWAN's "&amp;B389&amp;" portfolio; final configuration must be selected against performance, integration and compliance requirements.")</f>
        <v>Infrared Wire Grid Polarizers is a precision optical component from Specac Inc. designed for application-specific laboratory, engineering or industrial use. It belongs to DIWAN's Infrared Polarizers portfolio; final configuration must be selected against performance, integration and compliance requirements.</v>
      </c>
      <c r="P389" s="82" t="str">
        <f t="shared" si="84"/>
        <v>Selection should confirm the model-specific operating range, capacity, accuracy, interfaces, utilities, accessories, standards, environmental limits and service requirements. Final capabilities depend on the approved Infrared Wire Grid Polarizers configuration.</v>
      </c>
      <c r="Q389" s="82"/>
      <c r="R389" s="82" t="str">
        <f t="shared" si="85"/>
        <v>Infrared Polarizers applications; laboratory research, engineering development, quality control and industrial deployment where applicable. Suitability must be confirmed against the user's sample, process, environment and required standards.</v>
      </c>
      <c r="S389" s="82"/>
      <c r="T389" s="82" t="str">
        <f t="shared" si="86"/>
        <v>Infrared Wire Grid Polarizers from Specac Inc.</v>
      </c>
      <c r="U389" s="82"/>
      <c r="V389" s="82" t="s">
        <v>2673</v>
      </c>
      <c r="W389" s="82" t="str">
        <f t="shared" si="87"/>
        <v>See other Infrared Polarizers products</v>
      </c>
      <c r="X389" s="82" t="str">
        <f t="shared" si="88"/>
        <v>Infrared Polarizers enquiry → website group enquiry form → category owner assignment</v>
      </c>
      <c r="Y389" s="82" t="str">
        <f t="shared" si="89"/>
        <v>Infrared Wire Grid Polarizers, Infrared Polarizers, Specac Inc., technical equipment, DIWAN</v>
      </c>
      <c r="Z389" s="82" t="s">
        <v>2284</v>
      </c>
      <c r="AA389" s="83">
        <v>46257</v>
      </c>
      <c r="AB389" s="82" t="s">
        <v>2465</v>
      </c>
      <c r="AC389" s="84" t="str">
        <f t="shared" si="90"/>
        <v>Content drafted - assets/specs pending</v>
      </c>
      <c r="AD389"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89" s="85"/>
      <c r="AF389" s="85"/>
      <c r="AG389" s="85" t="s">
        <v>2467</v>
      </c>
      <c r="AH389" s="85" t="s">
        <v>2468</v>
      </c>
      <c r="AI389" s="85" t="s">
        <v>2469</v>
      </c>
    </row>
    <row r="390" spans="1:35" ht="42" customHeight="1" x14ac:dyDescent="0.35">
      <c r="A390" s="69">
        <f t="shared" si="92"/>
        <v>65</v>
      </c>
      <c r="B390" s="70" t="s">
        <v>447</v>
      </c>
      <c r="C390" s="71" t="s">
        <v>16</v>
      </c>
      <c r="D390" s="72" t="s">
        <v>6</v>
      </c>
      <c r="E390" s="45" t="s">
        <v>449</v>
      </c>
      <c r="F390" s="49" t="s">
        <v>3027</v>
      </c>
      <c r="G390" s="45" t="s">
        <v>3045</v>
      </c>
      <c r="H390" s="47">
        <v>46257</v>
      </c>
      <c r="I390" s="48" t="s">
        <v>1892</v>
      </c>
      <c r="J390" s="48" t="s">
        <v>1187</v>
      </c>
      <c r="K390" s="48" t="str">
        <f t="shared" si="82"/>
        <v>ZnSe Wire Grid Polarizer is an infrared polarizers product from Specac Inc. for application-specific laboratory, engineering or industrial use.</v>
      </c>
      <c r="L390" s="48" t="str">
        <f t="shared" si="83"/>
        <v>ZnSe Wire Grid Polarizer from Specac Inc. for infrared polarizers applications. Review configuration requirements and request technical information or a quotation from DIWAN.</v>
      </c>
      <c r="M390" s="48" t="s">
        <v>2020</v>
      </c>
      <c r="N390" s="61" t="s">
        <v>2672</v>
      </c>
      <c r="O390" s="54" t="str" cm="1">
        <f t="array" ref="O390">_xlfn.LET(_xlpm.n,LOWER(E390),_xlpm.c,LOWER(B390),_xlpm.t,_xlfn.IFS(OR(ISNUMBER(SEARCH("lens",_xlpm.n)),ISNUMBER(SEARCH("optic",_xlpm.n)),ISNUMBER(SEARCH("polarizer",_xlpm.n))),"precision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"),E390&amp;" is "&amp;_xlpm.art&amp;_xlpm.t&amp;" from "&amp;C390&amp;" designed for application-specific laboratory, engineering or industrial use. It belongs to DIWAN's "&amp;B390&amp;" portfolio; final configuration must be selected against performance, integration and compliance requirements.")</f>
        <v>ZnSe Wire Grid Polarizer is a precision optical component from Specac Inc. designed for application-specific laboratory, engineering or industrial use. It belongs to DIWAN's Infrared Polarizers portfolio; final configuration must be selected against performance, integration and compliance requirements.</v>
      </c>
      <c r="P390" s="54" t="str">
        <f t="shared" si="84"/>
        <v>Selection should confirm the model-specific operating range, capacity, accuracy, interfaces, utilities, accessories, standards, environmental limits and service requirements. Final capabilities depend on the approved ZnSe Wire Grid Polarizer configuration.</v>
      </c>
      <c r="Q390" s="54"/>
      <c r="R390" s="54" t="str">
        <f t="shared" si="85"/>
        <v>Infrared Polarizers applications; laboratory research, engineering development, quality control and industrial deployment where applicable. Suitability must be confirmed against the user's sample, process, environment and required standards.</v>
      </c>
      <c r="S390" s="54"/>
      <c r="T390" s="54" t="str">
        <f t="shared" si="86"/>
        <v>ZnSe Wire Grid Polarizer from Specac Inc.</v>
      </c>
      <c r="U390" s="54"/>
      <c r="V390" s="54" t="s">
        <v>2673</v>
      </c>
      <c r="W390" s="54" t="str">
        <f t="shared" si="87"/>
        <v>See other Infrared Polarizers products</v>
      </c>
      <c r="X390" s="54" t="str">
        <f t="shared" si="88"/>
        <v>Infrared Polarizers enquiry → website group enquiry form → category owner assignment</v>
      </c>
      <c r="Y390" s="54" t="str">
        <f t="shared" si="89"/>
        <v>ZnSe Wire Grid Polarizer, Infrared Polarizers, Specac Inc., technical equipment, DIWAN</v>
      </c>
      <c r="Z390" s="54" t="s">
        <v>2284</v>
      </c>
      <c r="AA390" s="55">
        <v>46257</v>
      </c>
      <c r="AB390" s="54" t="s">
        <v>2465</v>
      </c>
      <c r="AC390" s="63" t="str">
        <f t="shared" si="90"/>
        <v>Content drafted - assets/specs pending</v>
      </c>
      <c r="AD39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0" s="58"/>
      <c r="AF390" s="58"/>
      <c r="AG390" s="58" t="s">
        <v>2467</v>
      </c>
      <c r="AH390" s="58" t="s">
        <v>2468</v>
      </c>
      <c r="AI390" s="58" t="s">
        <v>2469</v>
      </c>
    </row>
    <row r="391" spans="1:35" ht="42" customHeight="1" x14ac:dyDescent="0.35">
      <c r="A391" s="69">
        <f t="shared" si="92"/>
        <v>65</v>
      </c>
      <c r="B391" s="70" t="s">
        <v>447</v>
      </c>
      <c r="C391" s="71" t="s">
        <v>16</v>
      </c>
      <c r="D391" s="72" t="s">
        <v>6</v>
      </c>
      <c r="E391" s="45" t="s">
        <v>450</v>
      </c>
      <c r="F391" s="49" t="s">
        <v>3027</v>
      </c>
      <c r="G391" s="45" t="s">
        <v>3045</v>
      </c>
      <c r="H391" s="47">
        <v>46257</v>
      </c>
      <c r="I391" s="48" t="s">
        <v>1893</v>
      </c>
      <c r="J391" s="48" t="s">
        <v>1188</v>
      </c>
      <c r="K391" s="48" t="str">
        <f t="shared" si="82"/>
        <v>BaF2 Wire Grid Polarizer is an infrared polarizers product from Specac Inc. for application-specific laboratory, engineering or industrial use.</v>
      </c>
      <c r="L391" s="48" t="str">
        <f t="shared" si="83"/>
        <v>BaF2 Wire Grid Polarizer from Specac Inc. for infrared polarizers applications. Review configuration requirements and request technical information or a quotation from DIWAN.</v>
      </c>
      <c r="M391" s="48" t="s">
        <v>2020</v>
      </c>
      <c r="N391" s="61" t="s">
        <v>2672</v>
      </c>
      <c r="O391" s="54" t="str" cm="1">
        <f t="array" ref="O391">_xlfn.LET(_xlpm.n,LOWER(E391),_xlpm.c,LOWER(B391),_xlpm.t,_xlfn.IFS(OR(ISNUMBER(SEARCH("lens",_xlpm.n)),ISNUMBER(SEARCH("optic",_xlpm.n)),ISNUMBER(SEARCH("polarizer",_xlpm.n))),"precision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"),E391&amp;" is "&amp;_xlpm.art&amp;_xlpm.t&amp;" from "&amp;C391&amp;" designed for application-specific laboratory, engineering or industrial use. It belongs to DIWAN's "&amp;B391&amp;" portfolio; final configuration must be selected against performance, integration and compliance requirements.")</f>
        <v>BaF2 Wire Grid Polarizer is a precision optical component from Specac Inc. designed for application-specific laboratory, engineering or industrial use. It belongs to DIWAN's Infrared Polarizers portfolio; final configuration must be selected against performance, integration and compliance requirements.</v>
      </c>
      <c r="P391" s="54" t="str">
        <f t="shared" si="84"/>
        <v>Selection should confirm the model-specific operating range, capacity, accuracy, interfaces, utilities, accessories, standards, environmental limits and service requirements. Final capabilities depend on the approved BaF2 Wire Grid Polarizer configuration.</v>
      </c>
      <c r="Q391" s="54"/>
      <c r="R391" s="54" t="str">
        <f t="shared" si="85"/>
        <v>Infrared Polarizers applications; laboratory research, engineering development, quality control and industrial deployment where applicable. Suitability must be confirmed against the user's sample, process, environment and required standards.</v>
      </c>
      <c r="S391" s="54"/>
      <c r="T391" s="54" t="str">
        <f t="shared" si="86"/>
        <v>BaF2 Wire Grid Polarizer from Specac Inc.</v>
      </c>
      <c r="U391" s="54"/>
      <c r="V391" s="54" t="s">
        <v>2673</v>
      </c>
      <c r="W391" s="54" t="str">
        <f t="shared" si="87"/>
        <v>See other Infrared Polarizers products</v>
      </c>
      <c r="X391" s="54" t="str">
        <f t="shared" si="88"/>
        <v>Infrared Polarizers enquiry → website group enquiry form → category owner assignment</v>
      </c>
      <c r="Y391" s="54" t="str">
        <f t="shared" si="89"/>
        <v>BaF2 Wire Grid Polarizer, Infrared Polarizers, Specac Inc., technical equipment, DIWAN</v>
      </c>
      <c r="Z391" s="54" t="s">
        <v>2284</v>
      </c>
      <c r="AA391" s="55">
        <v>46257</v>
      </c>
      <c r="AB391" s="54" t="s">
        <v>2465</v>
      </c>
      <c r="AC391" s="63" t="str">
        <f t="shared" si="90"/>
        <v>Content drafted - assets/specs pending</v>
      </c>
      <c r="AD39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1" s="58"/>
      <c r="AF391" s="58"/>
      <c r="AG391" s="58" t="s">
        <v>2467</v>
      </c>
      <c r="AH391" s="58" t="s">
        <v>2468</v>
      </c>
      <c r="AI391" s="58" t="s">
        <v>2469</v>
      </c>
    </row>
    <row r="392" spans="1:35" ht="42" customHeight="1" x14ac:dyDescent="0.35">
      <c r="A392" s="69">
        <f t="shared" si="92"/>
        <v>65</v>
      </c>
      <c r="B392" s="70" t="s">
        <v>447</v>
      </c>
      <c r="C392" s="71" t="s">
        <v>16</v>
      </c>
      <c r="D392" s="72" t="s">
        <v>6</v>
      </c>
      <c r="E392" s="45" t="s">
        <v>451</v>
      </c>
      <c r="F392" s="49" t="s">
        <v>3027</v>
      </c>
      <c r="G392" s="45" t="s">
        <v>3045</v>
      </c>
      <c r="H392" s="47">
        <v>46257</v>
      </c>
      <c r="I392" s="48" t="s">
        <v>1894</v>
      </c>
      <c r="J392" s="48" t="s">
        <v>1189</v>
      </c>
      <c r="K392" s="48" t="str">
        <f t="shared" si="82"/>
        <v>KRS-5 Wire Grid Polarizer is an infrared polarizers product from Specac Inc. for application-specific laboratory, engineering or industrial use.</v>
      </c>
      <c r="L392" s="48" t="str">
        <f t="shared" si="83"/>
        <v>KRS-5 Wire Grid Polarizer from Specac Inc. for infrared polarizers applications. Review configuration requirements and request technical information or a quotation from DIWAN.</v>
      </c>
      <c r="M392" s="48" t="s">
        <v>2020</v>
      </c>
      <c r="N392" s="61" t="s">
        <v>2672</v>
      </c>
      <c r="O392" s="54" t="str" cm="1">
        <f t="array" ref="O392">_xlfn.LET(_xlpm.n,LOWER(E392),_xlpm.c,LOWER(B392),_xlpm.t,_xlfn.IFS(OR(ISNUMBER(SEARCH("lens",_xlpm.n)),ISNUMBER(SEARCH("optic",_xlpm.n)),ISNUMBER(SEARCH("polarizer",_xlpm.n))),"precision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"),E392&amp;" is "&amp;_xlpm.art&amp;_xlpm.t&amp;" from "&amp;C392&amp;" designed for application-specific laboratory, engineering or industrial use. It belongs to DIWAN's "&amp;B392&amp;" portfolio; final configuration must be selected against performance, integration and compliance requirements.")</f>
        <v>KRS-5 Wire Grid Polarizer is a precision optical component from Specac Inc. designed for application-specific laboratory, engineering or industrial use. It belongs to DIWAN's Infrared Polarizers portfolio; final configuration must be selected against performance, integration and compliance requirements.</v>
      </c>
      <c r="P392" s="54" t="str">
        <f t="shared" si="84"/>
        <v>Selection should confirm the model-specific operating range, capacity, accuracy, interfaces, utilities, accessories, standards, environmental limits and service requirements. Final capabilities depend on the approved KRS-5 Wire Grid Polarizer configuration.</v>
      </c>
      <c r="Q392" s="54"/>
      <c r="R392" s="54" t="str">
        <f t="shared" si="85"/>
        <v>Infrared Polarizers applications; laboratory research, engineering development, quality control and industrial deployment where applicable. Suitability must be confirmed against the user's sample, process, environment and required standards.</v>
      </c>
      <c r="S392" s="54"/>
      <c r="T392" s="54" t="str">
        <f t="shared" si="86"/>
        <v>KRS-5 Wire Grid Polarizer from Specac Inc.</v>
      </c>
      <c r="U392" s="54"/>
      <c r="V392" s="54" t="s">
        <v>2673</v>
      </c>
      <c r="W392" s="54" t="str">
        <f t="shared" si="87"/>
        <v>See other Infrared Polarizers products</v>
      </c>
      <c r="X392" s="54" t="str">
        <f t="shared" si="88"/>
        <v>Infrared Polarizers enquiry → website group enquiry form → category owner assignment</v>
      </c>
      <c r="Y392" s="54" t="str">
        <f t="shared" si="89"/>
        <v>KRS-5 Wire Grid Polarizer, Infrared Polarizers, Specac Inc., technical equipment, DIWAN</v>
      </c>
      <c r="Z392" s="54" t="s">
        <v>2284</v>
      </c>
      <c r="AA392" s="55">
        <v>46257</v>
      </c>
      <c r="AB392" s="54" t="s">
        <v>2465</v>
      </c>
      <c r="AC392" s="63" t="str">
        <f t="shared" si="90"/>
        <v>Content drafted - assets/specs pending</v>
      </c>
      <c r="AD392"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2" s="58"/>
      <c r="AF392" s="58"/>
      <c r="AG392" s="58" t="s">
        <v>2467</v>
      </c>
      <c r="AH392" s="58" t="s">
        <v>2468</v>
      </c>
      <c r="AI392" s="58" t="s">
        <v>2469</v>
      </c>
    </row>
    <row r="393" spans="1:35" ht="42" customHeight="1" thickBot="1" x14ac:dyDescent="0.4">
      <c r="A393" s="69">
        <f t="shared" si="92"/>
        <v>65</v>
      </c>
      <c r="B393" s="70" t="s">
        <v>447</v>
      </c>
      <c r="C393" s="71" t="s">
        <v>16</v>
      </c>
      <c r="D393" s="72" t="s">
        <v>6</v>
      </c>
      <c r="E393" s="45" t="s">
        <v>452</v>
      </c>
      <c r="F393" s="49" t="s">
        <v>3027</v>
      </c>
      <c r="G393" s="45" t="s">
        <v>3045</v>
      </c>
      <c r="H393" s="47">
        <v>46257</v>
      </c>
      <c r="I393" s="48" t="s">
        <v>1895</v>
      </c>
      <c r="J393" s="48" t="s">
        <v>1190</v>
      </c>
      <c r="K393" s="48" t="str">
        <f t="shared" si="82"/>
        <v>Ge Wire Grid Polarizer is an infrared polarizers product from Specac Inc. for application-specific laboratory, engineering or industrial use.</v>
      </c>
      <c r="L393" s="48" t="str">
        <f t="shared" si="83"/>
        <v>Ge Wire Grid Polarizer from Specac Inc. for infrared polarizers applications. Review configuration requirements and request technical information or a quotation from DIWAN.</v>
      </c>
      <c r="M393" s="48" t="s">
        <v>2020</v>
      </c>
      <c r="N393" s="61" t="s">
        <v>2672</v>
      </c>
      <c r="O393" s="54" t="str" cm="1">
        <f t="array" ref="O393">_xlfn.LET(_xlpm.n,LOWER(E393),_xlpm.c,LOWER(B393),_xlpm.t,_xlfn.IFS(OR(ISNUMBER(SEARCH("lens",_xlpm.n)),ISNUMBER(SEARCH("optic",_xlpm.n)),ISNUMBER(SEARCH("polarizer",_xlpm.n))),"precision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"),E393&amp;" is "&amp;_xlpm.art&amp;_xlpm.t&amp;" from "&amp;C393&amp;" designed for application-specific laboratory, engineering or industrial use. It belongs to DIWAN's "&amp;B393&amp;" portfolio; final configuration must be selected against performance, integration and compliance requirements.")</f>
        <v>Ge Wire Grid Polarizer is a precision optical component from Specac Inc. designed for application-specific laboratory, engineering or industrial use. It belongs to DIWAN's Infrared Polarizers portfolio; final configuration must be selected against performance, integration and compliance requirements.</v>
      </c>
      <c r="P393" s="54" t="str">
        <f t="shared" si="84"/>
        <v>Selection should confirm the model-specific operating range, capacity, accuracy, interfaces, utilities, accessories, standards, environmental limits and service requirements. Final capabilities depend on the approved Ge Wire Grid Polarizer configuration.</v>
      </c>
      <c r="Q393" s="54"/>
      <c r="R393" s="54" t="str">
        <f t="shared" si="85"/>
        <v>Infrared Polarizers applications; laboratory research, engineering development, quality control and industrial deployment where applicable. Suitability must be confirmed against the user's sample, process, environment and required standards.</v>
      </c>
      <c r="S393" s="54"/>
      <c r="T393" s="54" t="str">
        <f t="shared" si="86"/>
        <v>Ge Wire Grid Polarizer from Specac Inc.</v>
      </c>
      <c r="U393" s="54"/>
      <c r="V393" s="54" t="s">
        <v>2673</v>
      </c>
      <c r="W393" s="54" t="str">
        <f t="shared" si="87"/>
        <v>See other Infrared Polarizers products</v>
      </c>
      <c r="X393" s="54" t="str">
        <f t="shared" si="88"/>
        <v>Infrared Polarizers enquiry → website group enquiry form → category owner assignment</v>
      </c>
      <c r="Y393" s="54" t="str">
        <f t="shared" si="89"/>
        <v>Ge Wire Grid Polarizer, Infrared Polarizers, Specac Inc., technical equipment, DIWAN</v>
      </c>
      <c r="Z393" s="54" t="s">
        <v>2284</v>
      </c>
      <c r="AA393" s="55">
        <v>46257</v>
      </c>
      <c r="AB393" s="54" t="s">
        <v>2465</v>
      </c>
      <c r="AC393" s="63" t="str">
        <f t="shared" si="90"/>
        <v>Content drafted - assets/specs pending</v>
      </c>
      <c r="AD39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3" s="58"/>
      <c r="AF393" s="58"/>
      <c r="AG393" s="58" t="s">
        <v>2467</v>
      </c>
      <c r="AH393" s="58" t="s">
        <v>2468</v>
      </c>
      <c r="AI393" s="58" t="s">
        <v>2469</v>
      </c>
    </row>
    <row r="394" spans="1:35" ht="42" customHeight="1" x14ac:dyDescent="0.35">
      <c r="A394" s="69">
        <f t="shared" si="92"/>
        <v>66</v>
      </c>
      <c r="B394" s="74" t="s">
        <v>453</v>
      </c>
      <c r="C394" s="75" t="s">
        <v>17</v>
      </c>
      <c r="D394" s="76" t="s">
        <v>4</v>
      </c>
      <c r="E394" s="77" t="s">
        <v>454</v>
      </c>
      <c r="F394" s="86" t="s">
        <v>3028</v>
      </c>
      <c r="G394" s="77" t="s">
        <v>3045</v>
      </c>
      <c r="H394" s="79">
        <v>46257</v>
      </c>
      <c r="I394" s="80" t="s">
        <v>1896</v>
      </c>
      <c r="J394" s="80" t="s">
        <v>1191</v>
      </c>
      <c r="K394" s="80" t="str">
        <f t="shared" si="82"/>
        <v>PV-100 Tabletop Tungsten SEM is a tabletop tungsten sem product from ModuleSci for application-specific laboratory, engineering or industrial use.</v>
      </c>
      <c r="L394" s="80" t="str">
        <f t="shared" si="83"/>
        <v>PV-100 Tabletop Tungsten SEM from ModuleSci for tabletop tungsten sem applications. Review configuration requirements and request technical information or a quotation from DIWAN.</v>
      </c>
      <c r="M394" s="80" t="s">
        <v>2020</v>
      </c>
      <c r="N394" s="81" t="s">
        <v>2672</v>
      </c>
      <c r="O394" s="82" t="str" cm="1">
        <f t="array" ref="O394">_xlfn.LET(_xlpm.n,LOWER(E394),_xlpm.c,LOWER(B394),_xlpm.t,_xlfn.IFS(OR(ISNUMBER(SEARCH("lens",_xlpm.n)),ISNUMBER(SEARCH("optic",_xlpm.n)),ISNUMBER(SEARCH("polarizer",_xlpm.n))),"precision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"),E394&amp;" is "&amp;_xlpm.art&amp;_xlpm.t&amp;" from "&amp;C394&amp;" designed for application-specific laboratory, engineering or industrial use. It belongs to DIWAN's "&amp;B394&amp;" portfolio; final configuration must be selected against performance, integration and compliance requirements.")</f>
        <v>PV-100 Tabletop Tungsten SEM is a specialized tabletop tungsten sem product from ModuleSci designed for application-specific laboratory, engineering or industrial use. It belongs to DIWAN's Tabletop Tungsten SEM portfolio; final configuration must be selected against performance, integration and compliance requirements.</v>
      </c>
      <c r="P394" s="82" t="str">
        <f t="shared" si="84"/>
        <v>Selection should confirm the model-specific operating range, capacity, accuracy, interfaces, utilities, accessories, standards, environmental limits and service requirements. Final capabilities depend on the approved PV-100 Tabletop Tungsten SEM configuration.</v>
      </c>
      <c r="Q394" s="82"/>
      <c r="R394" s="82" t="str">
        <f t="shared" si="85"/>
        <v>Tabletop Tungsten SEM applications; laboratory research, engineering development, quality control and industrial deployment where applicable. Suitability must be confirmed against the user's sample, process, environment and required standards.</v>
      </c>
      <c r="S394" s="82"/>
      <c r="T394" s="82" t="str">
        <f t="shared" si="86"/>
        <v>PV-100 Tabletop Tungsten SEM from ModuleSci</v>
      </c>
      <c r="U394" s="82"/>
      <c r="V394" s="82" t="s">
        <v>2673</v>
      </c>
      <c r="W394" s="82" t="str">
        <f t="shared" si="87"/>
        <v>See other Tabletop Tungsten SEM products</v>
      </c>
      <c r="X394" s="82" t="str">
        <f t="shared" si="88"/>
        <v>Tabletop Tungsten SEM enquiry → website group enquiry form → category owner assignment</v>
      </c>
      <c r="Y394" s="82" t="str">
        <f t="shared" si="89"/>
        <v>PV-100 Tabletop Tungsten SEM, Tabletop Tungsten SEM, ModuleSci, technical equipment, DIWAN</v>
      </c>
      <c r="Z394" s="82" t="s">
        <v>2285</v>
      </c>
      <c r="AA394" s="83">
        <v>46257</v>
      </c>
      <c r="AB394" s="82" t="s">
        <v>2465</v>
      </c>
      <c r="AC394" s="84" t="str">
        <f t="shared" si="90"/>
        <v>Content drafted - assets/specs pending</v>
      </c>
      <c r="AD394"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4" s="85"/>
      <c r="AF394" s="85"/>
      <c r="AG394" s="85" t="s">
        <v>2467</v>
      </c>
      <c r="AH394" s="85" t="s">
        <v>2468</v>
      </c>
      <c r="AI394" s="85" t="s">
        <v>2469</v>
      </c>
    </row>
    <row r="395" spans="1:35" ht="42" customHeight="1" x14ac:dyDescent="0.35">
      <c r="A395" s="69">
        <f t="shared" si="92"/>
        <v>66</v>
      </c>
      <c r="B395" s="70" t="s">
        <v>453</v>
      </c>
      <c r="C395" s="71" t="s">
        <v>17</v>
      </c>
      <c r="D395" s="72" t="s">
        <v>4</v>
      </c>
      <c r="E395" s="45" t="s">
        <v>455</v>
      </c>
      <c r="F395" s="49" t="s">
        <v>3028</v>
      </c>
      <c r="G395" s="45" t="s">
        <v>3045</v>
      </c>
      <c r="H395" s="47">
        <v>46257</v>
      </c>
      <c r="I395" s="48" t="s">
        <v>1897</v>
      </c>
      <c r="J395" s="48" t="s">
        <v>1192</v>
      </c>
      <c r="K395" s="48" t="str">
        <f t="shared" si="82"/>
        <v>PV-100+ Tabletop Tungsten SEM is a tabletop tungsten sem product from ModuleSci for application-specific laboratory, engineering or industrial use.</v>
      </c>
      <c r="L395" s="48" t="str">
        <f t="shared" si="83"/>
        <v>PV-100+ Tabletop Tungsten SEM from ModuleSci for tabletop tungsten sem applications. Review configuration requirements and request technical information or a quotation from DIWAN.</v>
      </c>
      <c r="M395" s="48" t="s">
        <v>2020</v>
      </c>
      <c r="N395" s="61" t="s">
        <v>2672</v>
      </c>
      <c r="O395" s="54" t="str" cm="1">
        <f t="array" ref="O395">_xlfn.LET(_xlpm.n,LOWER(E395),_xlpm.c,LOWER(B395),_xlpm.t,_xlfn.IFS(OR(ISNUMBER(SEARCH("lens",_xlpm.n)),ISNUMBER(SEARCH("optic",_xlpm.n)),ISNUMBER(SEARCH("polarizer",_xlpm.n))),"precision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"),E395&amp;" is "&amp;_xlpm.art&amp;_xlpm.t&amp;" from "&amp;C395&amp;" designed for application-specific laboratory, engineering or industrial use. It belongs to DIWAN's "&amp;B395&amp;" portfolio; final configuration must be selected against performance, integration and compliance requirements.")</f>
        <v>PV-100+ Tabletop Tungsten SEM is a specialized tabletop tungsten sem product from ModuleSci designed for application-specific laboratory, engineering or industrial use. It belongs to DIWAN's Tabletop Tungsten SEM portfolio; final configuration must be selected against performance, integration and compliance requirements.</v>
      </c>
      <c r="P395" s="54" t="str">
        <f t="shared" si="84"/>
        <v>Selection should confirm the model-specific operating range, capacity, accuracy, interfaces, utilities, accessories, standards, environmental limits and service requirements. Final capabilities depend on the approved PV-100+ Tabletop Tungsten SEM configuration.</v>
      </c>
      <c r="Q395" s="54"/>
      <c r="R395" s="54" t="str">
        <f t="shared" si="85"/>
        <v>Tabletop Tungsten SEM applications; laboratory research, engineering development, quality control and industrial deployment where applicable. Suitability must be confirmed against the user's sample, process, environment and required standards.</v>
      </c>
      <c r="S395" s="54"/>
      <c r="T395" s="54" t="str">
        <f t="shared" si="86"/>
        <v>PV-100+ Tabletop Tungsten SEM from ModuleSci</v>
      </c>
      <c r="U395" s="54"/>
      <c r="V395" s="54" t="s">
        <v>2673</v>
      </c>
      <c r="W395" s="54" t="str">
        <f t="shared" si="87"/>
        <v>See other Tabletop Tungsten SEM products</v>
      </c>
      <c r="X395" s="54" t="str">
        <f t="shared" si="88"/>
        <v>Tabletop Tungsten SEM enquiry → website group enquiry form → category owner assignment</v>
      </c>
      <c r="Y395" s="54" t="str">
        <f t="shared" si="89"/>
        <v>PV-100+ Tabletop Tungsten SEM, Tabletop Tungsten SEM, ModuleSci, technical equipment, DIWAN</v>
      </c>
      <c r="Z395" s="54" t="s">
        <v>2285</v>
      </c>
      <c r="AA395" s="55">
        <v>46257</v>
      </c>
      <c r="AB395" s="54" t="s">
        <v>2465</v>
      </c>
      <c r="AC395" s="63" t="str">
        <f t="shared" si="90"/>
        <v>Content drafted - assets/specs pending</v>
      </c>
      <c r="AD39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5" s="58"/>
      <c r="AF395" s="58"/>
      <c r="AG395" s="58" t="s">
        <v>2467</v>
      </c>
      <c r="AH395" s="58" t="s">
        <v>2468</v>
      </c>
      <c r="AI395" s="58" t="s">
        <v>2469</v>
      </c>
    </row>
    <row r="396" spans="1:35" ht="42" customHeight="1" x14ac:dyDescent="0.35">
      <c r="A396" s="69">
        <f t="shared" si="92"/>
        <v>66</v>
      </c>
      <c r="B396" s="70" t="s">
        <v>453</v>
      </c>
      <c r="C396" s="71" t="s">
        <v>17</v>
      </c>
      <c r="D396" s="72" t="s">
        <v>4</v>
      </c>
      <c r="E396" s="45" t="s">
        <v>456</v>
      </c>
      <c r="F396" s="49" t="s">
        <v>3028</v>
      </c>
      <c r="G396" s="45" t="s">
        <v>3045</v>
      </c>
      <c r="H396" s="47">
        <v>46257</v>
      </c>
      <c r="I396" s="48" t="s">
        <v>1898</v>
      </c>
      <c r="J396" s="48" t="s">
        <v>1193</v>
      </c>
      <c r="K396" s="48" t="str">
        <f t="shared" si="82"/>
        <v>PV-150 Tabletop Tungsten SEM is a tabletop tungsten sem product from ModuleSci for application-specific laboratory, engineering or industrial use.</v>
      </c>
      <c r="L396" s="48" t="str">
        <f t="shared" si="83"/>
        <v>PV-150 Tabletop Tungsten SEM from ModuleSci for tabletop tungsten sem applications. Review configuration requirements and request technical information or a quotation from DIWAN.</v>
      </c>
      <c r="M396" s="48" t="s">
        <v>2020</v>
      </c>
      <c r="N396" s="61" t="s">
        <v>2672</v>
      </c>
      <c r="O396" s="54" t="str" cm="1">
        <f t="array" ref="O396">_xlfn.LET(_xlpm.n,LOWER(E396),_xlpm.c,LOWER(B396),_xlpm.t,_xlfn.IFS(OR(ISNUMBER(SEARCH("lens",_xlpm.n)),ISNUMBER(SEARCH("optic",_xlpm.n)),ISNUMBER(SEARCH("polarizer",_xlpm.n))),"precision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"),E396&amp;" is "&amp;_xlpm.art&amp;_xlpm.t&amp;" from "&amp;C396&amp;" designed for application-specific laboratory, engineering or industrial use. It belongs to DIWAN's "&amp;B396&amp;" portfolio; final configuration must be selected against performance, integration and compliance requirements.")</f>
        <v>PV-150 Tabletop Tungsten SEM is a specialized tabletop tungsten sem product from ModuleSci designed for application-specific laboratory, engineering or industrial use. It belongs to DIWAN's Tabletop Tungsten SEM portfolio; final configuration must be selected against performance, integration and compliance requirements.</v>
      </c>
      <c r="P396" s="54" t="str">
        <f t="shared" si="84"/>
        <v>Selection should confirm the model-specific operating range, capacity, accuracy, interfaces, utilities, accessories, standards, environmental limits and service requirements. Final capabilities depend on the approved PV-150 Tabletop Tungsten SEM configuration.</v>
      </c>
      <c r="Q396" s="54"/>
      <c r="R396" s="54" t="str">
        <f t="shared" si="85"/>
        <v>Tabletop Tungsten SEM applications; laboratory research, engineering development, quality control and industrial deployment where applicable. Suitability must be confirmed against the user's sample, process, environment and required standards.</v>
      </c>
      <c r="S396" s="54"/>
      <c r="T396" s="54" t="str">
        <f t="shared" si="86"/>
        <v>PV-150 Tabletop Tungsten SEM from ModuleSci</v>
      </c>
      <c r="U396" s="54"/>
      <c r="V396" s="54" t="s">
        <v>2673</v>
      </c>
      <c r="W396" s="54" t="str">
        <f t="shared" si="87"/>
        <v>See other Tabletop Tungsten SEM products</v>
      </c>
      <c r="X396" s="54" t="str">
        <f t="shared" si="88"/>
        <v>Tabletop Tungsten SEM enquiry → website group enquiry form → category owner assignment</v>
      </c>
      <c r="Y396" s="54" t="str">
        <f t="shared" si="89"/>
        <v>PV-150 Tabletop Tungsten SEM, Tabletop Tungsten SEM, ModuleSci, technical equipment, DIWAN</v>
      </c>
      <c r="Z396" s="54" t="s">
        <v>2285</v>
      </c>
      <c r="AA396" s="55">
        <v>46257</v>
      </c>
      <c r="AB396" s="54" t="s">
        <v>2465</v>
      </c>
      <c r="AC396" s="63" t="str">
        <f t="shared" si="90"/>
        <v>Content drafted - assets/specs pending</v>
      </c>
      <c r="AD396"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6" s="58"/>
      <c r="AF396" s="58"/>
      <c r="AG396" s="58" t="s">
        <v>2467</v>
      </c>
      <c r="AH396" s="58" t="s">
        <v>2468</v>
      </c>
      <c r="AI396" s="58" t="s">
        <v>2469</v>
      </c>
    </row>
    <row r="397" spans="1:35" ht="42" customHeight="1" thickBot="1" x14ac:dyDescent="0.4">
      <c r="A397" s="69">
        <f t="shared" si="92"/>
        <v>66</v>
      </c>
      <c r="B397" s="70" t="s">
        <v>453</v>
      </c>
      <c r="C397" s="71" t="s">
        <v>17</v>
      </c>
      <c r="D397" s="72" t="s">
        <v>4</v>
      </c>
      <c r="E397" s="45" t="s">
        <v>457</v>
      </c>
      <c r="F397" s="49" t="s">
        <v>3028</v>
      </c>
      <c r="G397" s="45" t="s">
        <v>3045</v>
      </c>
      <c r="H397" s="47">
        <v>46257</v>
      </c>
      <c r="I397" s="48" t="s">
        <v>1899</v>
      </c>
      <c r="J397" s="48" t="s">
        <v>1194</v>
      </c>
      <c r="K397" s="48" t="str">
        <f t="shared" si="82"/>
        <v>PV-150+ Tabletop Tungsten SEM is a tabletop tungsten sem product from ModuleSci for application-specific laboratory, engineering or industrial use.</v>
      </c>
      <c r="L397" s="48" t="str">
        <f t="shared" si="83"/>
        <v>PV-150+ Tabletop Tungsten SEM from ModuleSci for tabletop tungsten sem applications. Review configuration requirements and request technical information or a quotation from DIWAN.</v>
      </c>
      <c r="M397" s="48" t="s">
        <v>2020</v>
      </c>
      <c r="N397" s="61" t="s">
        <v>2672</v>
      </c>
      <c r="O397" s="54" t="str" cm="1">
        <f t="array" ref="O397">_xlfn.LET(_xlpm.n,LOWER(E397),_xlpm.c,LOWER(B397),_xlpm.t,_xlfn.IFS(OR(ISNUMBER(SEARCH("lens",_xlpm.n)),ISNUMBER(SEARCH("optic",_xlpm.n)),ISNUMBER(SEARCH("polarizer",_xlpm.n))),"precision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"),E397&amp;" is "&amp;_xlpm.art&amp;_xlpm.t&amp;" from "&amp;C397&amp;" designed for application-specific laboratory, engineering or industrial use. It belongs to DIWAN's "&amp;B397&amp;" portfolio; final configuration must be selected against performance, integration and compliance requirements.")</f>
        <v>PV-150+ Tabletop Tungsten SEM is a specialized tabletop tungsten sem product from ModuleSci designed for application-specific laboratory, engineering or industrial use. It belongs to DIWAN's Tabletop Tungsten SEM portfolio; final configuration must be selected against performance, integration and compliance requirements.</v>
      </c>
      <c r="P397" s="54" t="str">
        <f t="shared" si="84"/>
        <v>Selection should confirm the model-specific operating range, capacity, accuracy, interfaces, utilities, accessories, standards, environmental limits and service requirements. Final capabilities depend on the approved PV-150+ Tabletop Tungsten SEM configuration.</v>
      </c>
      <c r="Q397" s="54"/>
      <c r="R397" s="54" t="str">
        <f t="shared" si="85"/>
        <v>Tabletop Tungsten SEM applications; laboratory research, engineering development, quality control and industrial deployment where applicable. Suitability must be confirmed against the user's sample, process, environment and required standards.</v>
      </c>
      <c r="S397" s="54"/>
      <c r="T397" s="54" t="str">
        <f t="shared" si="86"/>
        <v>PV-150+ Tabletop Tungsten SEM from ModuleSci</v>
      </c>
      <c r="U397" s="54"/>
      <c r="V397" s="54" t="s">
        <v>2673</v>
      </c>
      <c r="W397" s="54" t="str">
        <f t="shared" si="87"/>
        <v>See other Tabletop Tungsten SEM products</v>
      </c>
      <c r="X397" s="54" t="str">
        <f t="shared" si="88"/>
        <v>Tabletop Tungsten SEM enquiry → website group enquiry form → category owner assignment</v>
      </c>
      <c r="Y397" s="54" t="str">
        <f t="shared" si="89"/>
        <v>PV-150+ Tabletop Tungsten SEM, Tabletop Tungsten SEM, ModuleSci, technical equipment, DIWAN</v>
      </c>
      <c r="Z397" s="54" t="s">
        <v>2285</v>
      </c>
      <c r="AA397" s="55">
        <v>46257</v>
      </c>
      <c r="AB397" s="54" t="s">
        <v>2465</v>
      </c>
      <c r="AC397" s="63" t="str">
        <f t="shared" si="90"/>
        <v>Content drafted - assets/specs pending</v>
      </c>
      <c r="AD39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7" s="58"/>
      <c r="AF397" s="58"/>
      <c r="AG397" s="58" t="s">
        <v>2467</v>
      </c>
      <c r="AH397" s="58" t="s">
        <v>2468</v>
      </c>
      <c r="AI397" s="58" t="s">
        <v>2469</v>
      </c>
    </row>
    <row r="398" spans="1:35" ht="42" customHeight="1" x14ac:dyDescent="0.35">
      <c r="A398" s="69">
        <f t="shared" si="92"/>
        <v>67</v>
      </c>
      <c r="B398" s="74" t="s">
        <v>458</v>
      </c>
      <c r="C398" s="75" t="s">
        <v>17</v>
      </c>
      <c r="D398" s="76" t="s">
        <v>4</v>
      </c>
      <c r="E398" s="77" t="s">
        <v>459</v>
      </c>
      <c r="F398" s="86" t="s">
        <v>3029</v>
      </c>
      <c r="G398" s="77" t="s">
        <v>3045</v>
      </c>
      <c r="H398" s="79">
        <v>46257</v>
      </c>
      <c r="I398" s="80" t="s">
        <v>1900</v>
      </c>
      <c r="J398" s="80" t="s">
        <v>1195</v>
      </c>
      <c r="K398" s="80" t="str">
        <f t="shared" si="82"/>
        <v>PE-100 Floor-Type Tungsten SEM is a floor-type tungsten sem product from ModuleSci for application-specific laboratory, engineering or industrial use.</v>
      </c>
      <c r="L398" s="80" t="str">
        <f t="shared" si="83"/>
        <v>PE-100 Floor-Type Tungsten SEM from ModuleSci for floor-type tungsten sem applications. Review configuration requirements and request technical information or a quotation from DIWAN.</v>
      </c>
      <c r="M398" s="80" t="s">
        <v>2020</v>
      </c>
      <c r="N398" s="81" t="s">
        <v>2672</v>
      </c>
      <c r="O398" s="82" t="str" cm="1">
        <f t="array" ref="O398">_xlfn.LET(_xlpm.n,LOWER(E398),_xlpm.c,LOWER(B398),_xlpm.t,_xlfn.IFS(OR(ISNUMBER(SEARCH("lens",_xlpm.n)),ISNUMBER(SEARCH("optic",_xlpm.n)),ISNUMBER(SEARCH("polarizer",_xlpm.n))),"precision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"),E398&amp;" is "&amp;_xlpm.art&amp;_xlpm.t&amp;" from "&amp;C398&amp;" designed for application-specific laboratory, engineering or industrial use. It belongs to DIWAN's "&amp;B398&amp;" portfolio; final configuration must be selected against performance, integration and compliance requirements.")</f>
        <v>PE-100 Floor-Type Tungsten SEM is a specialized floor-type tungsten sem product from ModuleSci designed for application-specific laboratory, engineering or industrial use. It belongs to DIWAN's Floor-Type Tungsten SEM portfolio; final configuration must be selected against performance, integration and compliance requirements.</v>
      </c>
      <c r="P398" s="82" t="str">
        <f t="shared" si="84"/>
        <v>Selection should confirm the model-specific operating range, capacity, accuracy, interfaces, utilities, accessories, standards, environmental limits and service requirements. Final capabilities depend on the approved PE-100 Floor-Type Tungsten SEM configuration.</v>
      </c>
      <c r="Q398" s="82"/>
      <c r="R398" s="82" t="str">
        <f t="shared" si="85"/>
        <v>Floor-Type Tungsten SEM applications; laboratory research, engineering development, quality control and industrial deployment where applicable. Suitability must be confirmed against the user's sample, process, environment and required standards.</v>
      </c>
      <c r="S398" s="82"/>
      <c r="T398" s="82" t="str">
        <f t="shared" si="86"/>
        <v>PE-100 Floor-Type Tungsten SEM from ModuleSci</v>
      </c>
      <c r="U398" s="82"/>
      <c r="V398" s="82" t="s">
        <v>2673</v>
      </c>
      <c r="W398" s="82" t="str">
        <f t="shared" si="87"/>
        <v>See other Floor-Type Tungsten SEM products</v>
      </c>
      <c r="X398" s="82" t="str">
        <f t="shared" si="88"/>
        <v>Floor-Type Tungsten SEM enquiry → website group enquiry form → category owner assignment</v>
      </c>
      <c r="Y398" s="82" t="str">
        <f t="shared" si="89"/>
        <v>PE-100 Floor-Type Tungsten SEM, Floor-Type Tungsten SEM, ModuleSci, technical equipment, DIWAN</v>
      </c>
      <c r="Z398" s="82" t="s">
        <v>2286</v>
      </c>
      <c r="AA398" s="83">
        <v>46257</v>
      </c>
      <c r="AB398" s="82" t="s">
        <v>2465</v>
      </c>
      <c r="AC398" s="84" t="str">
        <f t="shared" si="90"/>
        <v>Content drafted - assets/specs pending</v>
      </c>
      <c r="AD398"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8" s="85"/>
      <c r="AF398" s="85"/>
      <c r="AG398" s="85" t="s">
        <v>2467</v>
      </c>
      <c r="AH398" s="85" t="s">
        <v>2468</v>
      </c>
      <c r="AI398" s="85" t="s">
        <v>2469</v>
      </c>
    </row>
    <row r="399" spans="1:35" ht="42" customHeight="1" x14ac:dyDescent="0.35">
      <c r="A399" s="69">
        <f t="shared" si="92"/>
        <v>67</v>
      </c>
      <c r="B399" s="70" t="s">
        <v>458</v>
      </c>
      <c r="C399" s="71" t="s">
        <v>17</v>
      </c>
      <c r="D399" s="72" t="s">
        <v>4</v>
      </c>
      <c r="E399" s="45" t="s">
        <v>460</v>
      </c>
      <c r="F399" s="49" t="s">
        <v>3029</v>
      </c>
      <c r="G399" s="45" t="s">
        <v>3045</v>
      </c>
      <c r="H399" s="47">
        <v>46257</v>
      </c>
      <c r="I399" s="48" t="s">
        <v>1901</v>
      </c>
      <c r="J399" s="48" t="s">
        <v>1196</v>
      </c>
      <c r="K399" s="48" t="str">
        <f t="shared" si="82"/>
        <v>PE-100+ Floor-Type Tungsten SEM is a floor-type tungsten sem product from ModuleSci for application-specific laboratory, engineering or industrial use.</v>
      </c>
      <c r="L399" s="48" t="str">
        <f t="shared" si="83"/>
        <v>PE-100+ Floor-Type Tungsten SEM from ModuleSci for floor-type tungsten sem applications. Review configuration requirements and request technical information or a quotation from DIWAN.</v>
      </c>
      <c r="M399" s="48" t="s">
        <v>2020</v>
      </c>
      <c r="N399" s="61" t="s">
        <v>2672</v>
      </c>
      <c r="O399" s="54" t="str" cm="1">
        <f t="array" ref="O399">_xlfn.LET(_xlpm.n,LOWER(E399),_xlpm.c,LOWER(B399),_xlpm.t,_xlfn.IFS(OR(ISNUMBER(SEARCH("lens",_xlpm.n)),ISNUMBER(SEARCH("optic",_xlpm.n)),ISNUMBER(SEARCH("polarizer",_xlpm.n))),"precision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"),E399&amp;" is "&amp;_xlpm.art&amp;_xlpm.t&amp;" from "&amp;C399&amp;" designed for application-specific laboratory, engineering or industrial use. It belongs to DIWAN's "&amp;B399&amp;" portfolio; final configuration must be selected against performance, integration and compliance requirements.")</f>
        <v>PE-100+ Floor-Type Tungsten SEM is a specialized floor-type tungsten sem product from ModuleSci designed for application-specific laboratory, engineering or industrial use. It belongs to DIWAN's Floor-Type Tungsten SEM portfolio; final configuration must be selected against performance, integration and compliance requirements.</v>
      </c>
      <c r="P399" s="54" t="str">
        <f t="shared" si="84"/>
        <v>Selection should confirm the model-specific operating range, capacity, accuracy, interfaces, utilities, accessories, standards, environmental limits and service requirements. Final capabilities depend on the approved PE-100+ Floor-Type Tungsten SEM configuration.</v>
      </c>
      <c r="Q399" s="54"/>
      <c r="R399" s="54" t="str">
        <f t="shared" si="85"/>
        <v>Floor-Type Tungsten SEM applications; laboratory research, engineering development, quality control and industrial deployment where applicable. Suitability must be confirmed against the user's sample, process, environment and required standards.</v>
      </c>
      <c r="S399" s="54"/>
      <c r="T399" s="54" t="str">
        <f t="shared" si="86"/>
        <v>PE-100+ Floor-Type Tungsten SEM from ModuleSci</v>
      </c>
      <c r="U399" s="54"/>
      <c r="V399" s="54" t="s">
        <v>2673</v>
      </c>
      <c r="W399" s="54" t="str">
        <f t="shared" si="87"/>
        <v>See other Floor-Type Tungsten SEM products</v>
      </c>
      <c r="X399" s="54" t="str">
        <f t="shared" si="88"/>
        <v>Floor-Type Tungsten SEM enquiry → website group enquiry form → category owner assignment</v>
      </c>
      <c r="Y399" s="54" t="str">
        <f t="shared" si="89"/>
        <v>PE-100+ Floor-Type Tungsten SEM, Floor-Type Tungsten SEM, ModuleSci, technical equipment, DIWAN</v>
      </c>
      <c r="Z399" s="54" t="s">
        <v>2286</v>
      </c>
      <c r="AA399" s="55">
        <v>46257</v>
      </c>
      <c r="AB399" s="54" t="s">
        <v>2465</v>
      </c>
      <c r="AC399" s="63" t="str">
        <f t="shared" si="90"/>
        <v>Content drafted - assets/specs pending</v>
      </c>
      <c r="AD399"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399" s="58"/>
      <c r="AF399" s="58"/>
      <c r="AG399" s="58" t="s">
        <v>2467</v>
      </c>
      <c r="AH399" s="58" t="s">
        <v>2468</v>
      </c>
      <c r="AI399" s="58" t="s">
        <v>2469</v>
      </c>
    </row>
    <row r="400" spans="1:35" ht="42" customHeight="1" x14ac:dyDescent="0.35">
      <c r="A400" s="69">
        <f t="shared" si="92"/>
        <v>67</v>
      </c>
      <c r="B400" s="70" t="s">
        <v>458</v>
      </c>
      <c r="C400" s="71" t="s">
        <v>17</v>
      </c>
      <c r="D400" s="72" t="s">
        <v>4</v>
      </c>
      <c r="E400" s="45" t="s">
        <v>461</v>
      </c>
      <c r="F400" s="49" t="s">
        <v>3029</v>
      </c>
      <c r="G400" s="45" t="s">
        <v>3045</v>
      </c>
      <c r="H400" s="47">
        <v>46257</v>
      </c>
      <c r="I400" s="48" t="s">
        <v>1902</v>
      </c>
      <c r="J400" s="48" t="s">
        <v>1197</v>
      </c>
      <c r="K400" s="48" t="str">
        <f t="shared" si="82"/>
        <v>PE-150 Floor-Type Tungsten SEM is a floor-type tungsten sem product from ModuleSci for application-specific laboratory, engineering or industrial use.</v>
      </c>
      <c r="L400" s="48" t="str">
        <f t="shared" si="83"/>
        <v>PE-150 Floor-Type Tungsten SEM from ModuleSci for floor-type tungsten sem applications. Review configuration requirements and request technical information or a quotation from DIWAN.</v>
      </c>
      <c r="M400" s="48" t="s">
        <v>2020</v>
      </c>
      <c r="N400" s="61" t="s">
        <v>2672</v>
      </c>
      <c r="O400" s="54" t="str" cm="1">
        <f t="array" ref="O400">_xlfn.LET(_xlpm.n,LOWER(E400),_xlpm.c,LOWER(B400),_xlpm.t,_xlfn.IFS(OR(ISNUMBER(SEARCH("lens",_xlpm.n)),ISNUMBER(SEARCH("optic",_xlpm.n)),ISNUMBER(SEARCH("polarizer",_xlpm.n))),"precision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"),E400&amp;" is "&amp;_xlpm.art&amp;_xlpm.t&amp;" from "&amp;C400&amp;" designed for application-specific laboratory, engineering or industrial use. It belongs to DIWAN's "&amp;B400&amp;" portfolio; final configuration must be selected against performance, integration and compliance requirements.")</f>
        <v>PE-150 Floor-Type Tungsten SEM is a specialized floor-type tungsten sem product from ModuleSci designed for application-specific laboratory, engineering or industrial use. It belongs to DIWAN's Floor-Type Tungsten SEM portfolio; final configuration must be selected against performance, integration and compliance requirements.</v>
      </c>
      <c r="P400" s="54" t="str">
        <f t="shared" si="84"/>
        <v>Selection should confirm the model-specific operating range, capacity, accuracy, interfaces, utilities, accessories, standards, environmental limits and service requirements. Final capabilities depend on the approved PE-150 Floor-Type Tungsten SEM configuration.</v>
      </c>
      <c r="Q400" s="54"/>
      <c r="R400" s="54" t="str">
        <f t="shared" si="85"/>
        <v>Floor-Type Tungsten SEM applications; laboratory research, engineering development, quality control and industrial deployment where applicable. Suitability must be confirmed against the user's sample, process, environment and required standards.</v>
      </c>
      <c r="S400" s="54"/>
      <c r="T400" s="54" t="str">
        <f t="shared" si="86"/>
        <v>PE-150 Floor-Type Tungsten SEM from ModuleSci</v>
      </c>
      <c r="U400" s="54"/>
      <c r="V400" s="54" t="s">
        <v>2673</v>
      </c>
      <c r="W400" s="54" t="str">
        <f t="shared" si="87"/>
        <v>See other Floor-Type Tungsten SEM products</v>
      </c>
      <c r="X400" s="54" t="str">
        <f t="shared" si="88"/>
        <v>Floor-Type Tungsten SEM enquiry → website group enquiry form → category owner assignment</v>
      </c>
      <c r="Y400" s="54" t="str">
        <f t="shared" si="89"/>
        <v>PE-150 Floor-Type Tungsten SEM, Floor-Type Tungsten SEM, ModuleSci, technical equipment, DIWAN</v>
      </c>
      <c r="Z400" s="54" t="s">
        <v>2286</v>
      </c>
      <c r="AA400" s="55">
        <v>46257</v>
      </c>
      <c r="AB400" s="54" t="s">
        <v>2465</v>
      </c>
      <c r="AC400" s="63" t="str">
        <f t="shared" si="90"/>
        <v>Content drafted - assets/specs pending</v>
      </c>
      <c r="AD40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0" s="58"/>
      <c r="AF400" s="58"/>
      <c r="AG400" s="58" t="s">
        <v>2467</v>
      </c>
      <c r="AH400" s="58" t="s">
        <v>2468</v>
      </c>
      <c r="AI400" s="58" t="s">
        <v>2469</v>
      </c>
    </row>
    <row r="401" spans="1:35" ht="42" customHeight="1" thickBot="1" x14ac:dyDescent="0.4">
      <c r="A401" s="69">
        <f t="shared" si="92"/>
        <v>67</v>
      </c>
      <c r="B401" s="70" t="s">
        <v>458</v>
      </c>
      <c r="C401" s="71" t="s">
        <v>17</v>
      </c>
      <c r="D401" s="72" t="s">
        <v>4</v>
      </c>
      <c r="E401" s="45" t="s">
        <v>462</v>
      </c>
      <c r="F401" s="49" t="s">
        <v>3029</v>
      </c>
      <c r="G401" s="45" t="s">
        <v>3045</v>
      </c>
      <c r="H401" s="47">
        <v>46257</v>
      </c>
      <c r="I401" s="48" t="s">
        <v>1903</v>
      </c>
      <c r="J401" s="48" t="s">
        <v>1198</v>
      </c>
      <c r="K401" s="48" t="str">
        <f t="shared" si="82"/>
        <v>PE-150+ Floor-Type Tungsten SEM is a floor-type tungsten sem product from ModuleSci for application-specific laboratory, engineering or industrial use.</v>
      </c>
      <c r="L401" s="48" t="str">
        <f t="shared" si="83"/>
        <v>PE-150+ Floor-Type Tungsten SEM from ModuleSci for floor-type tungsten sem applications. Review configuration requirements and request technical information or a quotation from DIWAN.</v>
      </c>
      <c r="M401" s="48" t="s">
        <v>2020</v>
      </c>
      <c r="N401" s="61" t="s">
        <v>2672</v>
      </c>
      <c r="O401" s="54" t="str" cm="1">
        <f t="array" ref="O401">_xlfn.LET(_xlpm.n,LOWER(E401),_xlpm.c,LOWER(B401),_xlpm.t,_xlfn.IFS(OR(ISNUMBER(SEARCH("lens",_xlpm.n)),ISNUMBER(SEARCH("optic",_xlpm.n)),ISNUMBER(SEARCH("polarizer",_xlpm.n))),"precision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"),E401&amp;" is "&amp;_xlpm.art&amp;_xlpm.t&amp;" from "&amp;C401&amp;" designed for application-specific laboratory, engineering or industrial use. It belongs to DIWAN's "&amp;B401&amp;" portfolio; final configuration must be selected against performance, integration and compliance requirements.")</f>
        <v>PE-150+ Floor-Type Tungsten SEM is a specialized floor-type tungsten sem product from ModuleSci designed for application-specific laboratory, engineering or industrial use. It belongs to DIWAN's Floor-Type Tungsten SEM portfolio; final configuration must be selected against performance, integration and compliance requirements.</v>
      </c>
      <c r="P401" s="54" t="str">
        <f t="shared" si="84"/>
        <v>Selection should confirm the model-specific operating range, capacity, accuracy, interfaces, utilities, accessories, standards, environmental limits and service requirements. Final capabilities depend on the approved PE-150+ Floor-Type Tungsten SEM configuration.</v>
      </c>
      <c r="Q401" s="54"/>
      <c r="R401" s="54" t="str">
        <f t="shared" si="85"/>
        <v>Floor-Type Tungsten SEM applications; laboratory research, engineering development, quality control and industrial deployment where applicable. Suitability must be confirmed against the user's sample, process, environment and required standards.</v>
      </c>
      <c r="S401" s="54"/>
      <c r="T401" s="54" t="str">
        <f t="shared" si="86"/>
        <v>PE-150+ Floor-Type Tungsten SEM from ModuleSci</v>
      </c>
      <c r="U401" s="54"/>
      <c r="V401" s="54" t="s">
        <v>2673</v>
      </c>
      <c r="W401" s="54" t="str">
        <f t="shared" si="87"/>
        <v>See other Floor-Type Tungsten SEM products</v>
      </c>
      <c r="X401" s="54" t="str">
        <f t="shared" si="88"/>
        <v>Floor-Type Tungsten SEM enquiry → website group enquiry form → category owner assignment</v>
      </c>
      <c r="Y401" s="54" t="str">
        <f t="shared" si="89"/>
        <v>PE-150+ Floor-Type Tungsten SEM, Floor-Type Tungsten SEM, ModuleSci, technical equipment, DIWAN</v>
      </c>
      <c r="Z401" s="54" t="s">
        <v>2286</v>
      </c>
      <c r="AA401" s="55">
        <v>46257</v>
      </c>
      <c r="AB401" s="54" t="s">
        <v>2465</v>
      </c>
      <c r="AC401" s="63" t="str">
        <f t="shared" si="90"/>
        <v>Content drafted - assets/specs pending</v>
      </c>
      <c r="AD40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1" s="58"/>
      <c r="AF401" s="58"/>
      <c r="AG401" s="58" t="s">
        <v>2467</v>
      </c>
      <c r="AH401" s="58" t="s">
        <v>2468</v>
      </c>
      <c r="AI401" s="58" t="s">
        <v>2469</v>
      </c>
    </row>
    <row r="402" spans="1:35" ht="42" customHeight="1" thickBot="1" x14ac:dyDescent="0.4">
      <c r="A402" s="69">
        <f t="shared" si="92"/>
        <v>68</v>
      </c>
      <c r="B402" s="74" t="s">
        <v>463</v>
      </c>
      <c r="C402" s="75" t="s">
        <v>17</v>
      </c>
      <c r="D402" s="76" t="s">
        <v>4</v>
      </c>
      <c r="E402" s="77" t="s">
        <v>464</v>
      </c>
      <c r="F402" s="86" t="s">
        <v>3030</v>
      </c>
      <c r="G402" s="77" t="s">
        <v>3045</v>
      </c>
      <c r="H402" s="79">
        <v>46257</v>
      </c>
      <c r="I402" s="80" t="s">
        <v>1904</v>
      </c>
      <c r="J402" s="80" t="s">
        <v>1199</v>
      </c>
      <c r="K402" s="80" t="str">
        <f t="shared" si="82"/>
        <v>PE-300 Entry-Level FE-SEM is an entry-level fe-sem product from ModuleSci for application-specific laboratory, engineering or industrial use.</v>
      </c>
      <c r="L402" s="80" t="str">
        <f t="shared" si="83"/>
        <v>PE-300 Entry-Level FE-SEM from ModuleSci for entry-level fe-sem applications. Review configuration requirements and request technical information or a quotation from DIWAN.</v>
      </c>
      <c r="M402" s="80" t="s">
        <v>2020</v>
      </c>
      <c r="N402" s="81" t="s">
        <v>2672</v>
      </c>
      <c r="O402" s="82" t="str" cm="1">
        <f t="array" ref="O402">_xlfn.LET(_xlpm.n,LOWER(E402),_xlpm.c,LOWER(B402),_xlpm.t,_xlfn.IFS(OR(ISNUMBER(SEARCH("lens",_xlpm.n)),ISNUMBER(SEARCH("optic",_xlpm.n)),ISNUMBER(SEARCH("polarizer",_xlpm.n))),"precision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"),E402&amp;" is "&amp;_xlpm.art&amp;_xlpm.t&amp;" from "&amp;C402&amp;" designed for application-specific laboratory, engineering or industrial use. It belongs to DIWAN's "&amp;B402&amp;" portfolio; final configuration must be selected against performance, integration and compliance requirements.")</f>
        <v>PE-300 Entry-Level FE-SEM is a specialized entry-level fe-sem product from ModuleSci designed for application-specific laboratory, engineering or industrial use. It belongs to DIWAN's Entry-Level FE-SEM portfolio; final configuration must be selected against performance, integration and compliance requirements.</v>
      </c>
      <c r="P402" s="82" t="str">
        <f t="shared" si="84"/>
        <v>Selection should confirm the model-specific operating range, capacity, accuracy, interfaces, utilities, accessories, standards, environmental limits and service requirements. Final capabilities depend on the approved PE-300 Entry-Level FE-SEM configuration.</v>
      </c>
      <c r="Q402" s="82"/>
      <c r="R402" s="82" t="str">
        <f t="shared" si="85"/>
        <v>Entry-Level FE-SEM applications; laboratory research, engineering development, quality control and industrial deployment where applicable. Suitability must be confirmed against the user's sample, process, environment and required standards.</v>
      </c>
      <c r="S402" s="82"/>
      <c r="T402" s="82" t="str">
        <f t="shared" si="86"/>
        <v>PE-300 Entry-Level FE-SEM from ModuleSci</v>
      </c>
      <c r="U402" s="82"/>
      <c r="V402" s="82" t="s">
        <v>2673</v>
      </c>
      <c r="W402" s="82" t="str">
        <f t="shared" si="87"/>
        <v>See other Entry-Level FE-SEM products</v>
      </c>
      <c r="X402" s="82" t="str">
        <f t="shared" si="88"/>
        <v>Entry-Level FE-SEM enquiry → website group enquiry form → category owner assignment</v>
      </c>
      <c r="Y402" s="82" t="str">
        <f t="shared" si="89"/>
        <v>PE-300 Entry-Level FE-SEM, Entry-Level FE-SEM, ModuleSci, technical equipment, DIWAN</v>
      </c>
      <c r="Z402" s="82" t="s">
        <v>2287</v>
      </c>
      <c r="AA402" s="83">
        <v>46257</v>
      </c>
      <c r="AB402" s="82" t="s">
        <v>2465</v>
      </c>
      <c r="AC402" s="84" t="str">
        <f t="shared" si="90"/>
        <v>Content drafted - assets/specs pending</v>
      </c>
      <c r="AD402"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2" s="85"/>
      <c r="AF402" s="85"/>
      <c r="AG402" s="85" t="s">
        <v>2467</v>
      </c>
      <c r="AH402" s="85" t="s">
        <v>2468</v>
      </c>
      <c r="AI402" s="85" t="s">
        <v>2469</v>
      </c>
    </row>
    <row r="403" spans="1:35" ht="42" customHeight="1" thickBot="1" x14ac:dyDescent="0.4">
      <c r="A403" s="69">
        <f t="shared" si="92"/>
        <v>69</v>
      </c>
      <c r="B403" s="74" t="s">
        <v>465</v>
      </c>
      <c r="C403" s="75" t="s">
        <v>17</v>
      </c>
      <c r="D403" s="76" t="s">
        <v>4</v>
      </c>
      <c r="E403" s="77" t="s">
        <v>466</v>
      </c>
      <c r="F403" s="86" t="s">
        <v>3031</v>
      </c>
      <c r="G403" s="77" t="s">
        <v>3045</v>
      </c>
      <c r="H403" s="79">
        <v>46257</v>
      </c>
      <c r="I403" s="80" t="s">
        <v>1905</v>
      </c>
      <c r="J403" s="80" t="s">
        <v>1200</v>
      </c>
      <c r="K403" s="80" t="str">
        <f t="shared" si="82"/>
        <v>BSE Detector and SEM Accessories is a sem accessories product from ModuleSci for application-specific laboratory, engineering or industrial use.</v>
      </c>
      <c r="L403" s="80" t="str">
        <f t="shared" si="83"/>
        <v>BSE Detector and SEM Accessories from ModuleSci for sem accessories applications. Review configuration requirements and request technical information or a quotation from DIWAN.</v>
      </c>
      <c r="M403" s="80" t="s">
        <v>2020</v>
      </c>
      <c r="N403" s="81" t="s">
        <v>2672</v>
      </c>
      <c r="O403" s="82" t="str" cm="1">
        <f t="array" ref="O403">_xlfn.LET(_xlpm.n,LOWER(E403),_xlpm.c,LOWER(B403),_xlpm.t,_xlfn.IFS(OR(ISNUMBER(SEARCH("lens",_xlpm.n)),ISNUMBER(SEARCH("optic",_xlpm.n)),ISNUMBER(SEARCH("polarizer",_xlpm.n))),"precision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"),E403&amp;" is "&amp;_xlpm.art&amp;_xlpm.t&amp;" from "&amp;C403&amp;" designed for application-specific laboratory, engineering or industrial use. It belongs to DIWAN's "&amp;B403&amp;" portfolio; final configuration must be selected against performance, integration and compliance requirements.")</f>
        <v>BSE Detector and SEM Accessories is a specialized sem accessories product from ModuleSci designed for application-specific laboratory, engineering or industrial use. It belongs to DIWAN's SEM Accessories portfolio; final configuration must be selected against performance, integration and compliance requirements.</v>
      </c>
      <c r="P403" s="82" t="str">
        <f t="shared" si="84"/>
        <v>Selection should confirm the model-specific operating range, capacity, accuracy, interfaces, utilities, accessories, standards, environmental limits and service requirements. Final capabilities depend on the approved BSE Detector and SEM Accessories configuration.</v>
      </c>
      <c r="Q403" s="82"/>
      <c r="R403" s="82" t="str">
        <f t="shared" si="85"/>
        <v>SEM Accessories applications; laboratory research, engineering development, quality control and industrial deployment where applicable. Suitability must be confirmed against the user's sample, process, environment and required standards.</v>
      </c>
      <c r="S403" s="82"/>
      <c r="T403" s="82" t="str">
        <f t="shared" si="86"/>
        <v>BSE Detector and SEM Accessories from ModuleSci</v>
      </c>
      <c r="U403" s="82"/>
      <c r="V403" s="82" t="s">
        <v>2673</v>
      </c>
      <c r="W403" s="82" t="str">
        <f t="shared" si="87"/>
        <v>See other SEM Accessories products</v>
      </c>
      <c r="X403" s="82" t="str">
        <f t="shared" si="88"/>
        <v>SEM Accessories enquiry → website group enquiry form → category owner assignment</v>
      </c>
      <c r="Y403" s="82" t="str">
        <f t="shared" si="89"/>
        <v>BSE Detector and SEM Accessories, SEM Accessories, ModuleSci, technical equipment, DIWAN</v>
      </c>
      <c r="Z403" s="82" t="s">
        <v>2288</v>
      </c>
      <c r="AA403" s="83">
        <v>46257</v>
      </c>
      <c r="AB403" s="82" t="s">
        <v>2465</v>
      </c>
      <c r="AC403" s="84" t="str">
        <f t="shared" si="90"/>
        <v>Content drafted - assets/specs pending</v>
      </c>
      <c r="AD403"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3" s="85"/>
      <c r="AF403" s="85"/>
      <c r="AG403" s="85" t="s">
        <v>2467</v>
      </c>
      <c r="AH403" s="85" t="s">
        <v>2468</v>
      </c>
      <c r="AI403" s="85" t="s">
        <v>2469</v>
      </c>
    </row>
    <row r="404" spans="1:35" ht="42" customHeight="1" x14ac:dyDescent="0.35">
      <c r="A404" s="69">
        <f t="shared" si="92"/>
        <v>70</v>
      </c>
      <c r="B404" s="74" t="s">
        <v>467</v>
      </c>
      <c r="C404" s="75" t="s">
        <v>28</v>
      </c>
      <c r="D404" s="76" t="s">
        <v>12</v>
      </c>
      <c r="E404" s="77" t="s">
        <v>468</v>
      </c>
      <c r="F404" s="86" t="s">
        <v>3032</v>
      </c>
      <c r="G404" s="77" t="s">
        <v>3045</v>
      </c>
      <c r="H404" s="79">
        <v>46257</v>
      </c>
      <c r="I404" s="80" t="s">
        <v>1906</v>
      </c>
      <c r="J404" s="80" t="s">
        <v>1201</v>
      </c>
      <c r="K404" s="80" t="str">
        <f t="shared" si="82"/>
        <v>Single Column Universal Testing Machine is an universal testing machines product from HST Group for application-specific laboratory, engineering or industrial use.</v>
      </c>
      <c r="L404" s="80" t="str">
        <f t="shared" si="83"/>
        <v>Single Column Universal Testing Machine from HST Group for universal testing machines applications. Review configuration requirements and request technical information or a quotation from DIWAN.</v>
      </c>
      <c r="M404" s="80" t="s">
        <v>2020</v>
      </c>
      <c r="N404" s="81" t="s">
        <v>2672</v>
      </c>
      <c r="O404" s="82" t="str" cm="1">
        <f t="array" ref="O404">_xlfn.LET(_xlpm.n,LOWER(E404),_xlpm.c,LOWER(B404),_xlpm.t,_xlfn.IFS(OR(ISNUMBER(SEARCH("lens",_xlpm.n)),ISNUMBER(SEARCH("optic",_xlpm.n)),ISNUMBER(SEARCH("polarizer",_xlpm.n))),"precision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"),E404&amp;" is "&amp;_xlpm.art&amp;_xlpm.t&amp;" from "&amp;C404&amp;" designed for application-specific laboratory, engineering or industrial use. It belongs to DIWAN's "&amp;B404&amp;" portfolio; final configuration must be selected against performance, integration and compliance requirements.")</f>
        <v>Single Column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4" s="82" t="str">
        <f t="shared" si="84"/>
        <v>Selection should confirm the model-specific operating range, capacity, accuracy, interfaces, utilities, accessories, standards, environmental limits and service requirements. Final capabilities depend on the approved Single Column Universal Testing Machine configuration.</v>
      </c>
      <c r="Q404" s="82"/>
      <c r="R404" s="82" t="str">
        <f t="shared" si="85"/>
        <v>Universal Testing Machines applications; laboratory research, engineering development, quality control and industrial deployment where applicable. Suitability must be confirmed against the user's sample, process, environment and required standards.</v>
      </c>
      <c r="S404" s="82"/>
      <c r="T404" s="82" t="str">
        <f t="shared" si="86"/>
        <v>Single Column Universal Testing Machine from HST Group</v>
      </c>
      <c r="U404" s="82"/>
      <c r="V404" s="82" t="s">
        <v>2673</v>
      </c>
      <c r="W404" s="82" t="str">
        <f t="shared" si="87"/>
        <v>See other Universal Testing Machines products</v>
      </c>
      <c r="X404" s="82" t="str">
        <f t="shared" si="88"/>
        <v>Universal Testing Machines enquiry → website group enquiry form → category owner assignment</v>
      </c>
      <c r="Y404" s="82" t="str">
        <f t="shared" si="89"/>
        <v>Single Column Universal Testing Machine, Universal Testing Machines, HST Group, technical equipment, DIWAN</v>
      </c>
      <c r="Z404" s="82" t="s">
        <v>2289</v>
      </c>
      <c r="AA404" s="83">
        <v>46257</v>
      </c>
      <c r="AB404" s="82" t="s">
        <v>2465</v>
      </c>
      <c r="AC404" s="84" t="str">
        <f t="shared" si="90"/>
        <v>Content drafted - assets/specs pending</v>
      </c>
      <c r="AD404" s="82"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4" s="85"/>
      <c r="AF404" s="85"/>
      <c r="AG404" s="85" t="s">
        <v>2467</v>
      </c>
      <c r="AH404" s="85" t="s">
        <v>2468</v>
      </c>
      <c r="AI404" s="85" t="s">
        <v>2469</v>
      </c>
    </row>
    <row r="405" spans="1:35" ht="42" customHeight="1" x14ac:dyDescent="0.35">
      <c r="A405" s="69">
        <f t="shared" si="92"/>
        <v>70</v>
      </c>
      <c r="B405" s="70" t="s">
        <v>467</v>
      </c>
      <c r="C405" s="71" t="s">
        <v>28</v>
      </c>
      <c r="D405" s="72" t="s">
        <v>12</v>
      </c>
      <c r="E405" s="45" t="s">
        <v>469</v>
      </c>
      <c r="F405" s="49" t="s">
        <v>3032</v>
      </c>
      <c r="G405" s="45" t="s">
        <v>3045</v>
      </c>
      <c r="H405" s="47">
        <v>46257</v>
      </c>
      <c r="I405" s="48" t="s">
        <v>1907</v>
      </c>
      <c r="J405" s="48" t="s">
        <v>1202</v>
      </c>
      <c r="K405" s="48" t="str">
        <f t="shared" si="82"/>
        <v>Double Column Tabletop Universal Testing Machine is an universal testing machines product from HST Group for application-specific laboratory, engineering or industrial use.</v>
      </c>
      <c r="L405" s="48" t="str">
        <f t="shared" si="83"/>
        <v>Double Column Tabletop Universal Testing Machine from HST Group for universal testing machines applications. Review configuration requirements and request technical information or a quotation from DIWAN.</v>
      </c>
      <c r="M405" s="48" t="s">
        <v>2020</v>
      </c>
      <c r="N405" s="61" t="s">
        <v>2672</v>
      </c>
      <c r="O405" s="54" t="str" cm="1">
        <f t="array" ref="O405">_xlfn.LET(_xlpm.n,LOWER(E405),_xlpm.c,LOWER(B405),_xlpm.t,_xlfn.IFS(OR(ISNUMBER(SEARCH("lens",_xlpm.n)),ISNUMBER(SEARCH("optic",_xlpm.n)),ISNUMBER(SEARCH("polarizer",_xlpm.n))),"precision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"),E405&amp;" is "&amp;_xlpm.art&amp;_xlpm.t&amp;" from "&amp;C405&amp;" designed for application-specific laboratory, engineering or industrial use. It belongs to DIWAN's "&amp;B405&amp;" portfolio; final configuration must be selected against performance, integration and compliance requirements.")</f>
        <v>Double Column Tabletop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5" s="54" t="str">
        <f t="shared" si="84"/>
        <v>Selection should confirm the model-specific operating range, capacity, accuracy, interfaces, utilities, accessories, standards, environmental limits and service requirements. Final capabilities depend on the approved Double Column Tabletop Universal Testing Machine configuration.</v>
      </c>
      <c r="Q405" s="54"/>
      <c r="R405" s="54" t="str">
        <f t="shared" si="85"/>
        <v>Universal Testing Machines applications; laboratory research, engineering development, quality control and industrial deployment where applicable. Suitability must be confirmed against the user's sample, process, environment and required standards.</v>
      </c>
      <c r="S405" s="54"/>
      <c r="T405" s="54" t="str">
        <f t="shared" si="86"/>
        <v>Double Column Tabletop Universal Testing Machine from HST Group</v>
      </c>
      <c r="U405" s="54"/>
      <c r="V405" s="54" t="s">
        <v>2673</v>
      </c>
      <c r="W405" s="54" t="str">
        <f t="shared" si="87"/>
        <v>See other Universal Testing Machines products</v>
      </c>
      <c r="X405" s="54" t="str">
        <f t="shared" si="88"/>
        <v>Universal Testing Machines enquiry → website group enquiry form → category owner assignment</v>
      </c>
      <c r="Y405" s="54" t="str">
        <f t="shared" si="89"/>
        <v>Double Column Tabletop Universal Testing Machine, Universal Testing Machines, HST Group, technical equipment, DIWAN</v>
      </c>
      <c r="Z405" s="54" t="s">
        <v>2289</v>
      </c>
      <c r="AA405" s="55">
        <v>46257</v>
      </c>
      <c r="AB405" s="54" t="s">
        <v>2465</v>
      </c>
      <c r="AC405" s="63" t="str">
        <f t="shared" si="90"/>
        <v>Content drafted - assets/specs pending</v>
      </c>
      <c r="AD40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5" s="58"/>
      <c r="AF405" s="58"/>
      <c r="AG405" s="58" t="s">
        <v>2467</v>
      </c>
      <c r="AH405" s="58" t="s">
        <v>2468</v>
      </c>
      <c r="AI405" s="58" t="s">
        <v>2469</v>
      </c>
    </row>
    <row r="406" spans="1:35" ht="42" customHeight="1" x14ac:dyDescent="0.35">
      <c r="A406" s="69">
        <f t="shared" si="92"/>
        <v>70</v>
      </c>
      <c r="B406" s="70" t="s">
        <v>467</v>
      </c>
      <c r="C406" s="71" t="s">
        <v>28</v>
      </c>
      <c r="D406" s="72" t="s">
        <v>12</v>
      </c>
      <c r="E406" s="45" t="s">
        <v>470</v>
      </c>
      <c r="F406" s="49" t="s">
        <v>3032</v>
      </c>
      <c r="G406" s="45" t="s">
        <v>3045</v>
      </c>
      <c r="H406" s="47">
        <v>46257</v>
      </c>
      <c r="I406" s="48" t="s">
        <v>1908</v>
      </c>
      <c r="J406" s="48" t="s">
        <v>1203</v>
      </c>
      <c r="K406" s="48" t="str">
        <f t="shared" si="82"/>
        <v>Floor Model Universal Testing Machine is an universal testing machines product from HST Group for application-specific laboratory, engineering or industrial use.</v>
      </c>
      <c r="L406" s="48" t="str">
        <f t="shared" si="83"/>
        <v>Floor Model Universal Testing Machine from HST Group for universal testing machines applications. Review configuration requirements and request technical information or a quotation from DIWAN.</v>
      </c>
      <c r="M406" s="48" t="s">
        <v>2020</v>
      </c>
      <c r="N406" s="61" t="s">
        <v>2672</v>
      </c>
      <c r="O406" s="54" t="str" cm="1">
        <f t="array" ref="O406">_xlfn.LET(_xlpm.n,LOWER(E406),_xlpm.c,LOWER(B406),_xlpm.t,_xlfn.IFS(OR(ISNUMBER(SEARCH("lens",_xlpm.n)),ISNUMBER(SEARCH("optic",_xlpm.n)),ISNUMBER(SEARCH("polarizer",_xlpm.n))),"precision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"),E406&amp;" is "&amp;_xlpm.art&amp;_xlpm.t&amp;" from "&amp;C406&amp;" designed for application-specific laboratory, engineering or industrial use. It belongs to DIWAN's "&amp;B406&amp;" portfolio; final configuration must be selected against performance, integration and compliance requirements.")</f>
        <v>Floor Model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6" s="54" t="str">
        <f t="shared" si="84"/>
        <v>Selection should confirm the model-specific operating range, capacity, accuracy, interfaces, utilities, accessories, standards, environmental limits and service requirements. Final capabilities depend on the approved Floor Model Universal Testing Machine configuration.</v>
      </c>
      <c r="Q406" s="54"/>
      <c r="R406" s="54" t="str">
        <f t="shared" si="85"/>
        <v>Universal Testing Machines applications; laboratory research, engineering development, quality control and industrial deployment where applicable. Suitability must be confirmed against the user's sample, process, environment and required standards.</v>
      </c>
      <c r="S406" s="54"/>
      <c r="T406" s="54" t="str">
        <f t="shared" si="86"/>
        <v>Floor Model Universal Testing Machine from HST Group</v>
      </c>
      <c r="U406" s="54"/>
      <c r="V406" s="54" t="s">
        <v>2673</v>
      </c>
      <c r="W406" s="54" t="str">
        <f t="shared" si="87"/>
        <v>See other Universal Testing Machines products</v>
      </c>
      <c r="X406" s="54" t="str">
        <f t="shared" si="88"/>
        <v>Universal Testing Machines enquiry → website group enquiry form → category owner assignment</v>
      </c>
      <c r="Y406" s="54" t="str">
        <f t="shared" si="89"/>
        <v>Floor Model Universal Testing Machine, Universal Testing Machines, HST Group, technical equipment, DIWAN</v>
      </c>
      <c r="Z406" s="54" t="s">
        <v>2289</v>
      </c>
      <c r="AA406" s="55">
        <v>46257</v>
      </c>
      <c r="AB406" s="54" t="s">
        <v>2465</v>
      </c>
      <c r="AC406" s="63" t="str">
        <f t="shared" si="90"/>
        <v>Content drafted - assets/specs pending</v>
      </c>
      <c r="AD406"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6" s="58"/>
      <c r="AF406" s="58"/>
      <c r="AG406" s="58" t="s">
        <v>2467</v>
      </c>
      <c r="AH406" s="58" t="s">
        <v>2468</v>
      </c>
      <c r="AI406" s="58" t="s">
        <v>2469</v>
      </c>
    </row>
    <row r="407" spans="1:35" ht="42" customHeight="1" x14ac:dyDescent="0.35">
      <c r="A407" s="69">
        <f t="shared" si="92"/>
        <v>70</v>
      </c>
      <c r="B407" s="70" t="s">
        <v>467</v>
      </c>
      <c r="C407" s="71" t="s">
        <v>28</v>
      </c>
      <c r="D407" s="72" t="s">
        <v>12</v>
      </c>
      <c r="E407" s="45" t="s">
        <v>471</v>
      </c>
      <c r="F407" s="49" t="s">
        <v>3032</v>
      </c>
      <c r="G407" s="45" t="s">
        <v>3045</v>
      </c>
      <c r="H407" s="47">
        <v>46257</v>
      </c>
      <c r="I407" s="48" t="s">
        <v>1909</v>
      </c>
      <c r="J407" s="48" t="s">
        <v>1204</v>
      </c>
      <c r="K407" s="48" t="str">
        <f t="shared" si="82"/>
        <v>Computerized Dual Space Universal Testing Machine is an universal testing machines product from HST Group for application-specific laboratory, engineering or industrial use.</v>
      </c>
      <c r="L407" s="48" t="str">
        <f t="shared" si="83"/>
        <v>Computerized Dual Space Universal Testing Machine from HST Group for universal testing machines applications. Review configuration requirements and request technical information or a quotation from DIWAN.</v>
      </c>
      <c r="M407" s="48" t="s">
        <v>2020</v>
      </c>
      <c r="N407" s="61" t="s">
        <v>2672</v>
      </c>
      <c r="O407" s="54" t="str" cm="1">
        <f t="array" ref="O407">_xlfn.LET(_xlpm.n,LOWER(E407),_xlpm.c,LOWER(B407),_xlpm.t,_xlfn.IFS(OR(ISNUMBER(SEARCH("lens",_xlpm.n)),ISNUMBER(SEARCH("optic",_xlpm.n)),ISNUMBER(SEARCH("polarizer",_xlpm.n))),"precision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"),E407&amp;" is "&amp;_xlpm.art&amp;_xlpm.t&amp;" from "&amp;C407&amp;" designed for application-specific laboratory, engineering or industrial use. It belongs to DIWAN's "&amp;B407&amp;" portfolio; final configuration must be selected against performance, integration and compliance requirements.")</f>
        <v>Computerized Dual Space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7" s="54" t="str">
        <f t="shared" si="84"/>
        <v>Selection should confirm the model-specific operating range, capacity, accuracy, interfaces, utilities, accessories, standards, environmental limits and service requirements. Final capabilities depend on the approved Computerized Dual Space Universal Testing Machine configuration.</v>
      </c>
      <c r="Q407" s="54"/>
      <c r="R407" s="54" t="str">
        <f t="shared" si="85"/>
        <v>Universal Testing Machines applications; laboratory research, engineering development, quality control and industrial deployment where applicable. Suitability must be confirmed against the user's sample, process, environment and required standards.</v>
      </c>
      <c r="S407" s="54"/>
      <c r="T407" s="54" t="str">
        <f t="shared" si="86"/>
        <v>Computerized Dual Space Universal Testing Machine from HST Group</v>
      </c>
      <c r="U407" s="54"/>
      <c r="V407" s="54" t="s">
        <v>2673</v>
      </c>
      <c r="W407" s="54" t="str">
        <f t="shared" si="87"/>
        <v>See other Universal Testing Machines products</v>
      </c>
      <c r="X407" s="54" t="str">
        <f t="shared" si="88"/>
        <v>Universal Testing Machines enquiry → website group enquiry form → category owner assignment</v>
      </c>
      <c r="Y407" s="54" t="str">
        <f t="shared" si="89"/>
        <v>Computerized Dual Space Universal Testing Machine, Universal Testing Machines, HST Group, technical equipment, DIWAN</v>
      </c>
      <c r="Z407" s="54" t="s">
        <v>2289</v>
      </c>
      <c r="AA407" s="55">
        <v>46257</v>
      </c>
      <c r="AB407" s="54" t="s">
        <v>2465</v>
      </c>
      <c r="AC407" s="63" t="str">
        <f t="shared" si="90"/>
        <v>Content drafted - assets/specs pending</v>
      </c>
      <c r="AD407"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7" s="58"/>
      <c r="AF407" s="58"/>
      <c r="AG407" s="58" t="s">
        <v>2467</v>
      </c>
      <c r="AH407" s="58" t="s">
        <v>2468</v>
      </c>
      <c r="AI407" s="58" t="s">
        <v>2469</v>
      </c>
    </row>
    <row r="408" spans="1:35" ht="42" customHeight="1" x14ac:dyDescent="0.35">
      <c r="A408" s="69">
        <f t="shared" si="92"/>
        <v>70</v>
      </c>
      <c r="B408" s="70" t="s">
        <v>467</v>
      </c>
      <c r="C408" s="71" t="s">
        <v>28</v>
      </c>
      <c r="D408" s="72" t="s">
        <v>12</v>
      </c>
      <c r="E408" s="45" t="s">
        <v>472</v>
      </c>
      <c r="F408" s="49" t="s">
        <v>3032</v>
      </c>
      <c r="G408" s="45" t="s">
        <v>3045</v>
      </c>
      <c r="H408" s="47">
        <v>46257</v>
      </c>
      <c r="I408" s="48" t="s">
        <v>1910</v>
      </c>
      <c r="J408" s="48" t="s">
        <v>1205</v>
      </c>
      <c r="K408" s="48" t="str">
        <f t="shared" si="82"/>
        <v>Electronic Universal Testing Machine is an universal testing machines product from HST Group for application-specific laboratory, engineering or industrial use.</v>
      </c>
      <c r="L408" s="48" t="str">
        <f t="shared" si="83"/>
        <v>Electronic Universal Testing Machine from HST Group for universal testing machines applications. Review configuration requirements and request technical information or a quotation from DIWAN.</v>
      </c>
      <c r="M408" s="48" t="s">
        <v>2020</v>
      </c>
      <c r="N408" s="61" t="s">
        <v>2672</v>
      </c>
      <c r="O408" s="54" t="str" cm="1">
        <f t="array" ref="O408">_xlfn.LET(_xlpm.n,LOWER(E408),_xlpm.c,LOWER(B408),_xlpm.t,_xlfn.IFS(OR(ISNUMBER(SEARCH("lens",_xlpm.n)),ISNUMBER(SEARCH("optic",_xlpm.n)),ISNUMBER(SEARCH("polarizer",_xlpm.n))),"precision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"),E408&amp;" is "&amp;_xlpm.art&amp;_xlpm.t&amp;" from "&amp;C408&amp;" designed for application-specific laboratory, engineering or industrial use. It belongs to DIWAN's "&amp;B408&amp;" portfolio; final configuration must be selected against performance, integration and compliance requirements.")</f>
        <v>Electronic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8" s="54" t="str">
        <f t="shared" si="84"/>
        <v>Selection should confirm the model-specific operating range, capacity, accuracy, interfaces, utilities, accessories, standards, environmental limits and service requirements. Final capabilities depend on the approved Electronic Universal Testing Machine configuration.</v>
      </c>
      <c r="Q408" s="54"/>
      <c r="R408" s="54" t="str">
        <f t="shared" si="85"/>
        <v>Universal Testing Machines applications; laboratory research, engineering development, quality control and industrial deployment where applicable. Suitability must be confirmed against the user's sample, process, environment and required standards.</v>
      </c>
      <c r="S408" s="54"/>
      <c r="T408" s="54" t="str">
        <f t="shared" si="86"/>
        <v>Electronic Universal Testing Machine from HST Group</v>
      </c>
      <c r="U408" s="54"/>
      <c r="V408" s="54" t="s">
        <v>2673</v>
      </c>
      <c r="W408" s="54" t="str">
        <f t="shared" si="87"/>
        <v>See other Universal Testing Machines products</v>
      </c>
      <c r="X408" s="54" t="str">
        <f t="shared" si="88"/>
        <v>Universal Testing Machines enquiry → website group enquiry form → category owner assignment</v>
      </c>
      <c r="Y408" s="54" t="str">
        <f t="shared" si="89"/>
        <v>Electronic Universal Testing Machine, Universal Testing Machines, HST Group, technical equipment, DIWAN</v>
      </c>
      <c r="Z408" s="54" t="s">
        <v>2289</v>
      </c>
      <c r="AA408" s="55">
        <v>46257</v>
      </c>
      <c r="AB408" s="54" t="s">
        <v>2465</v>
      </c>
      <c r="AC408" s="63" t="str">
        <f t="shared" si="90"/>
        <v>Content drafted - assets/specs pending</v>
      </c>
      <c r="AD408"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8" s="58"/>
      <c r="AF408" s="58"/>
      <c r="AG408" s="58" t="s">
        <v>2467</v>
      </c>
      <c r="AH408" s="58" t="s">
        <v>2468</v>
      </c>
      <c r="AI408" s="58" t="s">
        <v>2469</v>
      </c>
    </row>
    <row r="409" spans="1:35" ht="42" customHeight="1" x14ac:dyDescent="0.35">
      <c r="A409" s="69">
        <f t="shared" si="92"/>
        <v>70</v>
      </c>
      <c r="B409" s="70" t="s">
        <v>467</v>
      </c>
      <c r="C409" s="71" t="s">
        <v>28</v>
      </c>
      <c r="D409" s="72" t="s">
        <v>12</v>
      </c>
      <c r="E409" s="45" t="s">
        <v>473</v>
      </c>
      <c r="F409" s="49" t="s">
        <v>3032</v>
      </c>
      <c r="G409" s="45" t="s">
        <v>3045</v>
      </c>
      <c r="H409" s="47">
        <v>46257</v>
      </c>
      <c r="I409" s="48" t="s">
        <v>1911</v>
      </c>
      <c r="J409" s="48" t="s">
        <v>1206</v>
      </c>
      <c r="K409" s="48" t="str">
        <f t="shared" si="82"/>
        <v>Hydraulic Servo Universal Testing Machine is an universal testing machines product from HST Group for application-specific laboratory, engineering or industrial use.</v>
      </c>
      <c r="L409" s="48" t="str">
        <f t="shared" si="83"/>
        <v>Hydraulic Servo Universal Testing Machine from HST Group for universal testing machines applications. Review configuration requirements and request technical information or a quotation from DIWAN.</v>
      </c>
      <c r="M409" s="48" t="s">
        <v>2020</v>
      </c>
      <c r="N409" s="61" t="s">
        <v>2672</v>
      </c>
      <c r="O409" s="54" t="str" cm="1">
        <f t="array" ref="O409">_xlfn.LET(_xlpm.n,LOWER(E409),_xlpm.c,LOWER(B409),_xlpm.t,_xlfn.IFS(OR(ISNUMBER(SEARCH("lens",_xlpm.n)),ISNUMBER(SEARCH("optic",_xlpm.n)),ISNUMBER(SEARCH("polarizer",_xlpm.n))),"precision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"),E409&amp;" is "&amp;_xlpm.art&amp;_xlpm.t&amp;" from "&amp;C409&amp;" designed for application-specific laboratory, engineering or industrial use. It belongs to DIWAN's "&amp;B409&amp;" portfolio; final configuration must be selected against performance, integration and compliance requirements.")</f>
        <v>Hydraulic Servo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09" s="54" t="str">
        <f t="shared" si="84"/>
        <v>Selection should confirm the model-specific operating range, capacity, accuracy, interfaces, utilities, accessories, standards, environmental limits and service requirements. Final capabilities depend on the approved Hydraulic Servo Universal Testing Machine configuration.</v>
      </c>
      <c r="Q409" s="54"/>
      <c r="R409" s="54" t="str">
        <f t="shared" si="85"/>
        <v>Universal Testing Machines applications; laboratory research, engineering development, quality control and industrial deployment where applicable. Suitability must be confirmed against the user's sample, process, environment and required standards.</v>
      </c>
      <c r="S409" s="54"/>
      <c r="T409" s="54" t="str">
        <f t="shared" si="86"/>
        <v>Hydraulic Servo Universal Testing Machine from HST Group</v>
      </c>
      <c r="U409" s="54"/>
      <c r="V409" s="54" t="s">
        <v>2673</v>
      </c>
      <c r="W409" s="54" t="str">
        <f t="shared" si="87"/>
        <v>See other Universal Testing Machines products</v>
      </c>
      <c r="X409" s="54" t="str">
        <f t="shared" si="88"/>
        <v>Universal Testing Machines enquiry → website group enquiry form → category owner assignment</v>
      </c>
      <c r="Y409" s="54" t="str">
        <f t="shared" si="89"/>
        <v>Hydraulic Servo Universal Testing Machine, Universal Testing Machines, HST Group, technical equipment, DIWAN</v>
      </c>
      <c r="Z409" s="54" t="s">
        <v>2289</v>
      </c>
      <c r="AA409" s="55">
        <v>46257</v>
      </c>
      <c r="AB409" s="54" t="s">
        <v>2465</v>
      </c>
      <c r="AC409" s="63" t="str">
        <f t="shared" si="90"/>
        <v>Content drafted - assets/specs pending</v>
      </c>
      <c r="AD409"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09" s="58"/>
      <c r="AF409" s="58"/>
      <c r="AG409" s="58" t="s">
        <v>2467</v>
      </c>
      <c r="AH409" s="58" t="s">
        <v>2468</v>
      </c>
      <c r="AI409" s="58" t="s">
        <v>2469</v>
      </c>
    </row>
    <row r="410" spans="1:35" ht="42" customHeight="1" x14ac:dyDescent="0.35">
      <c r="A410" s="69">
        <f t="shared" si="92"/>
        <v>70</v>
      </c>
      <c r="B410" s="70" t="s">
        <v>467</v>
      </c>
      <c r="C410" s="71" t="s">
        <v>28</v>
      </c>
      <c r="D410" s="72" t="s">
        <v>12</v>
      </c>
      <c r="E410" s="45" t="s">
        <v>474</v>
      </c>
      <c r="F410" s="49" t="s">
        <v>3032</v>
      </c>
      <c r="G410" s="45" t="s">
        <v>3045</v>
      </c>
      <c r="H410" s="47">
        <v>46257</v>
      </c>
      <c r="I410" s="48" t="s">
        <v>1912</v>
      </c>
      <c r="J410" s="48" t="s">
        <v>1207</v>
      </c>
      <c r="K410" s="48" t="str">
        <f t="shared" si="82"/>
        <v>Hydraulic Universal Testing Machine is an universal testing machines product from HST Group for application-specific laboratory, engineering or industrial use.</v>
      </c>
      <c r="L410" s="48" t="str">
        <f t="shared" si="83"/>
        <v>Hydraulic Universal Testing Machine from HST Group for universal testing machines applications. Review configuration requirements and request technical information or a quotation from DIWAN.</v>
      </c>
      <c r="M410" s="48" t="s">
        <v>2020</v>
      </c>
      <c r="N410" s="61" t="s">
        <v>2672</v>
      </c>
      <c r="O410" s="54" t="str" cm="1">
        <f t="array" ref="O410">_xlfn.LET(_xlpm.n,LOWER(E410),_xlpm.c,LOWER(B410),_xlpm.t,_xlfn.IFS(OR(ISNUMBER(SEARCH("lens",_xlpm.n)),ISNUMBER(SEARCH("optic",_xlpm.n)),ISNUMBER(SEARCH("polarizer",_xlpm.n))),"precision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"),E410&amp;" is "&amp;_xlpm.art&amp;_xlpm.t&amp;" from "&amp;C410&amp;" designed for application-specific laboratory, engineering or industrial use. It belongs to DIWAN's "&amp;B410&amp;" portfolio; final configuration must be selected against performance, integration and compliance requirements.")</f>
        <v>Hydraulic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10" s="54" t="str">
        <f t="shared" si="84"/>
        <v>Selection should confirm the model-specific operating range, capacity, accuracy, interfaces, utilities, accessories, standards, environmental limits and service requirements. Final capabilities depend on the approved Hydraulic Universal Testing Machine configuration.</v>
      </c>
      <c r="Q410" s="54"/>
      <c r="R410" s="54" t="str">
        <f t="shared" si="85"/>
        <v>Universal Testing Machines applications; laboratory research, engineering development, quality control and industrial deployment where applicable. Suitability must be confirmed against the user's sample, process, environment and required standards.</v>
      </c>
      <c r="S410" s="54"/>
      <c r="T410" s="54" t="str">
        <f t="shared" si="86"/>
        <v>Hydraulic Universal Testing Machine from HST Group</v>
      </c>
      <c r="U410" s="54"/>
      <c r="V410" s="54" t="s">
        <v>2673</v>
      </c>
      <c r="W410" s="54" t="str">
        <f t="shared" si="87"/>
        <v>See other Universal Testing Machines products</v>
      </c>
      <c r="X410" s="54" t="str">
        <f t="shared" si="88"/>
        <v>Universal Testing Machines enquiry → website group enquiry form → category owner assignment</v>
      </c>
      <c r="Y410" s="54" t="str">
        <f t="shared" si="89"/>
        <v>Hydraulic Universal Testing Machine, Universal Testing Machines, HST Group, technical equipment, DIWAN</v>
      </c>
      <c r="Z410" s="54" t="s">
        <v>2289</v>
      </c>
      <c r="AA410" s="55">
        <v>46257</v>
      </c>
      <c r="AB410" s="54" t="s">
        <v>2465</v>
      </c>
      <c r="AC410" s="63" t="str">
        <f t="shared" si="90"/>
        <v>Content drafted - assets/specs pending</v>
      </c>
      <c r="AD410"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0" s="58"/>
      <c r="AF410" s="58"/>
      <c r="AG410" s="58" t="s">
        <v>2467</v>
      </c>
      <c r="AH410" s="58" t="s">
        <v>2468</v>
      </c>
      <c r="AI410" s="58" t="s">
        <v>2469</v>
      </c>
    </row>
    <row r="411" spans="1:35" ht="42" customHeight="1" x14ac:dyDescent="0.35">
      <c r="A411" s="69">
        <f t="shared" si="92"/>
        <v>70</v>
      </c>
      <c r="B411" s="70" t="s">
        <v>467</v>
      </c>
      <c r="C411" s="71" t="s">
        <v>28</v>
      </c>
      <c r="D411" s="72" t="s">
        <v>12</v>
      </c>
      <c r="E411" s="45" t="s">
        <v>475</v>
      </c>
      <c r="F411" s="49" t="s">
        <v>3032</v>
      </c>
      <c r="G411" s="45" t="s">
        <v>3045</v>
      </c>
      <c r="H411" s="47">
        <v>46257</v>
      </c>
      <c r="I411" s="48" t="s">
        <v>1913</v>
      </c>
      <c r="J411" s="48" t="s">
        <v>1208</v>
      </c>
      <c r="K411" s="48" t="str">
        <f t="shared" si="82"/>
        <v>Hydraulic Compression Testing Machine is an universal testing machines product from HST Group for application-specific laboratory, engineering or industrial use.</v>
      </c>
      <c r="L411" s="48" t="str">
        <f t="shared" si="83"/>
        <v>Hydraulic Compression Testing Machine from HST Group for universal testing machines applications. Review configuration requirements and request technical information or a quotation from DIWAN.</v>
      </c>
      <c r="M411" s="48" t="s">
        <v>2020</v>
      </c>
      <c r="N411" s="61" t="s">
        <v>2672</v>
      </c>
      <c r="O411" s="54" t="str" cm="1">
        <f t="array" ref="O411">_xlfn.LET(_xlpm.n,LOWER(E411),_xlpm.c,LOWER(B411),_xlpm.t,_xlfn.IFS(OR(ISNUMBER(SEARCH("lens",_xlpm.n)),ISNUMBER(SEARCH("optic",_xlpm.n)),ISNUMBER(SEARCH("polarizer",_xlpm.n))),"precision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"),E411&amp;" is "&amp;_xlpm.art&amp;_xlpm.t&amp;" from "&amp;C411&amp;" designed for application-specific laboratory, engineering or industrial use. It belongs to DIWAN's "&amp;B411&amp;" portfolio; final configuration must be selected against performance, integration and compliance requirements.")</f>
        <v>Hydraulic Compression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11" s="54" t="str">
        <f t="shared" si="84"/>
        <v>Selection should confirm the model-specific operating range, capacity, accuracy, interfaces, utilities, accessories, standards, environmental limits and service requirements. Final capabilities depend on the approved Hydraulic Compression Testing Machine configuration.</v>
      </c>
      <c r="Q411" s="54"/>
      <c r="R411" s="54" t="str">
        <f t="shared" si="85"/>
        <v>Universal Testing Machines applications; laboratory research, engineering development, quality control and industrial deployment where applicable. Suitability must be confirmed against the user's sample, process, environment and required standards.</v>
      </c>
      <c r="S411" s="54"/>
      <c r="T411" s="54" t="str">
        <f t="shared" si="86"/>
        <v>Hydraulic Compression Testing Machine from HST Group</v>
      </c>
      <c r="U411" s="54"/>
      <c r="V411" s="54" t="s">
        <v>2673</v>
      </c>
      <c r="W411" s="54" t="str">
        <f t="shared" si="87"/>
        <v>See other Universal Testing Machines products</v>
      </c>
      <c r="X411" s="54" t="str">
        <f t="shared" si="88"/>
        <v>Universal Testing Machines enquiry → website group enquiry form → category owner assignment</v>
      </c>
      <c r="Y411" s="54" t="str">
        <f t="shared" si="89"/>
        <v>Hydraulic Compression Testing Machine, Universal Testing Machines, HST Group, technical equipment, DIWAN</v>
      </c>
      <c r="Z411" s="54" t="s">
        <v>2289</v>
      </c>
      <c r="AA411" s="55">
        <v>46257</v>
      </c>
      <c r="AB411" s="54" t="s">
        <v>2465</v>
      </c>
      <c r="AC411" s="63" t="str">
        <f t="shared" si="90"/>
        <v>Content drafted - assets/specs pending</v>
      </c>
      <c r="AD411"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1" s="58"/>
      <c r="AF411" s="58"/>
      <c r="AG411" s="58" t="s">
        <v>2467</v>
      </c>
      <c r="AH411" s="58" t="s">
        <v>2468</v>
      </c>
      <c r="AI411" s="58" t="s">
        <v>2469</v>
      </c>
    </row>
    <row r="412" spans="1:35" ht="42" customHeight="1" x14ac:dyDescent="0.35">
      <c r="A412" s="69">
        <f t="shared" si="92"/>
        <v>70</v>
      </c>
      <c r="B412" s="70" t="s">
        <v>467</v>
      </c>
      <c r="C412" s="71" t="s">
        <v>28</v>
      </c>
      <c r="D412" s="72" t="s">
        <v>12</v>
      </c>
      <c r="E412" s="45" t="s">
        <v>476</v>
      </c>
      <c r="F412" s="49" t="s">
        <v>3032</v>
      </c>
      <c r="G412" s="45" t="s">
        <v>3045</v>
      </c>
      <c r="H412" s="47">
        <v>46257</v>
      </c>
      <c r="I412" s="48" t="s">
        <v>1914</v>
      </c>
      <c r="J412" s="48" t="s">
        <v>1209</v>
      </c>
      <c r="K412" s="48" t="str">
        <f t="shared" si="82"/>
        <v>High Temperature Universal Testing Machine is an universal testing machines product from HST Group for application-specific laboratory, engineering or industrial use.</v>
      </c>
      <c r="L412" s="48" t="str">
        <f t="shared" si="83"/>
        <v>High Temperature Universal Testing Machine from HST Group for universal testing machines applications. Review configuration requirements and request technical information or a quotation from DIWAN.</v>
      </c>
      <c r="M412" s="48" t="s">
        <v>2020</v>
      </c>
      <c r="N412" s="61" t="s">
        <v>2672</v>
      </c>
      <c r="O412" s="54" t="str" cm="1">
        <f t="array" ref="O412">_xlfn.LET(_xlpm.n,LOWER(E412),_xlpm.c,LOWER(B412),_xlpm.t,_xlfn.IFS(OR(ISNUMBER(SEARCH("lens",_xlpm.n)),ISNUMBER(SEARCH("optic",_xlpm.n)),ISNUMBER(SEARCH("polarizer",_xlpm.n))),"precision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"),E412&amp;" is "&amp;_xlpm.art&amp;_xlpm.t&amp;" from "&amp;C412&amp;" designed for application-specific laboratory, engineering or industrial use. It belongs to DIWAN's "&amp;B412&amp;" portfolio; final configuration must be selected against performance, integration and compliance requirements.")</f>
        <v>High Temperature Universal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12" s="54" t="str">
        <f t="shared" si="84"/>
        <v>Selection should confirm the model-specific operating range, capacity, accuracy, interfaces, utilities, accessories, standards, environmental limits and service requirements. Final capabilities depend on the approved High Temperature Universal Testing Machine configuration.</v>
      </c>
      <c r="Q412" s="54"/>
      <c r="R412" s="54" t="str">
        <f t="shared" si="85"/>
        <v>Universal Testing Machines applications; laboratory research, engineering development, quality control and industrial deployment where applicable. Suitability must be confirmed against the user's sample, process, environment and required standards.</v>
      </c>
      <c r="S412" s="54"/>
      <c r="T412" s="54" t="str">
        <f t="shared" si="86"/>
        <v>High Temperature Universal Testing Machine from HST Group</v>
      </c>
      <c r="U412" s="54"/>
      <c r="V412" s="54" t="s">
        <v>2673</v>
      </c>
      <c r="W412" s="54" t="str">
        <f t="shared" si="87"/>
        <v>See other Universal Testing Machines products</v>
      </c>
      <c r="X412" s="54" t="str">
        <f t="shared" si="88"/>
        <v>Universal Testing Machines enquiry → website group enquiry form → category owner assignment</v>
      </c>
      <c r="Y412" s="54" t="str">
        <f t="shared" si="89"/>
        <v>High Temperature Universal Testing Machine, Universal Testing Machines, HST Group, technical equipment, DIWAN</v>
      </c>
      <c r="Z412" s="54" t="s">
        <v>2289</v>
      </c>
      <c r="AA412" s="55">
        <v>46257</v>
      </c>
      <c r="AB412" s="54" t="s">
        <v>2465</v>
      </c>
      <c r="AC412" s="63" t="str">
        <f t="shared" si="90"/>
        <v>Content drafted - assets/specs pending</v>
      </c>
      <c r="AD412"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2" s="58"/>
      <c r="AF412" s="58"/>
      <c r="AG412" s="58" t="s">
        <v>2467</v>
      </c>
      <c r="AH412" s="58" t="s">
        <v>2468</v>
      </c>
      <c r="AI412" s="58" t="s">
        <v>2469</v>
      </c>
    </row>
    <row r="413" spans="1:35" ht="42" customHeight="1" x14ac:dyDescent="0.35">
      <c r="A413" s="69">
        <f t="shared" si="92"/>
        <v>70</v>
      </c>
      <c r="B413" s="70" t="s">
        <v>467</v>
      </c>
      <c r="C413" s="71" t="s">
        <v>28</v>
      </c>
      <c r="D413" s="72" t="s">
        <v>12</v>
      </c>
      <c r="E413" s="45" t="s">
        <v>477</v>
      </c>
      <c r="F413" s="49" t="s">
        <v>3032</v>
      </c>
      <c r="G413" s="45" t="s">
        <v>3045</v>
      </c>
      <c r="H413" s="47">
        <v>46257</v>
      </c>
      <c r="I413" s="48" t="s">
        <v>1915</v>
      </c>
      <c r="J413" s="48" t="s">
        <v>1210</v>
      </c>
      <c r="K413" s="48" t="str">
        <f t="shared" si="82"/>
        <v>Fixture Jig and Grips is an universal testing machines product from HST Group for application-specific laboratory, engineering or industrial use.</v>
      </c>
      <c r="L413" s="48" t="str">
        <f t="shared" si="83"/>
        <v>Fixture Jig and Grips from HST Group for universal testing machines applications. Review configuration requirements and request technical information or a quotation from DIWAN.</v>
      </c>
      <c r="M413" s="48" t="s">
        <v>2020</v>
      </c>
      <c r="N413" s="61" t="s">
        <v>2672</v>
      </c>
      <c r="O413" s="54" t="str" cm="1">
        <f t="array" ref="O413">_xlfn.LET(_xlpm.n,LOWER(E413),_xlpm.c,LOWER(B413),_xlpm.t,_xlfn.IFS(OR(ISNUMBER(SEARCH("lens",_xlpm.n)),ISNUMBER(SEARCH("optic",_xlpm.n)),ISNUMBER(SEARCH("polarizer",_xlpm.n))),"precision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"),E413&amp;" is "&amp;_xlpm.art&amp;_xlpm.t&amp;" from "&amp;C413&amp;" designed for application-specific laboratory, engineering or industrial use. It belongs to DIWAN's "&amp;B413&amp;" portfolio; final configuration must be selected against performance, integration and compliance requirements.")</f>
        <v>Fixture Jig and Grips is a specialized universal testing machines product from HST Group designed for application-specific laboratory, engineering or industrial use. It belongs to DIWAN's Universal Testing Machines portfolio; final configuration must be selected against performance, integration and compliance requirements.</v>
      </c>
      <c r="P413" s="54" t="str">
        <f t="shared" si="84"/>
        <v>Selection should confirm the model-specific operating range, capacity, accuracy, interfaces, utilities, accessories, standards, environmental limits and service requirements. Final capabilities depend on the approved Fixture Jig and Grips configuration.</v>
      </c>
      <c r="Q413" s="54"/>
      <c r="R413" s="54" t="str">
        <f t="shared" si="85"/>
        <v>Universal Testing Machines applications; laboratory research, engineering development, quality control and industrial deployment where applicable. Suitability must be confirmed against the user's sample, process, environment and required standards.</v>
      </c>
      <c r="S413" s="54"/>
      <c r="T413" s="54" t="str">
        <f t="shared" si="86"/>
        <v>Fixture Jig and Grips from HST Group</v>
      </c>
      <c r="U413" s="54"/>
      <c r="V413" s="54" t="s">
        <v>2673</v>
      </c>
      <c r="W413" s="54" t="str">
        <f t="shared" si="87"/>
        <v>See other Universal Testing Machines products</v>
      </c>
      <c r="X413" s="54" t="str">
        <f t="shared" si="88"/>
        <v>Universal Testing Machines enquiry → website group enquiry form → category owner assignment</v>
      </c>
      <c r="Y413" s="54" t="str">
        <f t="shared" si="89"/>
        <v>Fixture Jig and Grips, Universal Testing Machines, HST Group, technical equipment, DIWAN</v>
      </c>
      <c r="Z413" s="54" t="s">
        <v>2289</v>
      </c>
      <c r="AA413" s="55">
        <v>46257</v>
      </c>
      <c r="AB413" s="54" t="s">
        <v>2465</v>
      </c>
      <c r="AC413" s="63" t="str">
        <f t="shared" si="90"/>
        <v>Content drafted - assets/specs pending</v>
      </c>
      <c r="AD413"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3" s="58"/>
      <c r="AF413" s="58"/>
      <c r="AG413" s="58" t="s">
        <v>2467</v>
      </c>
      <c r="AH413" s="58" t="s">
        <v>2468</v>
      </c>
      <c r="AI413" s="58" t="s">
        <v>2469</v>
      </c>
    </row>
    <row r="414" spans="1:35" ht="42" customHeight="1" x14ac:dyDescent="0.35">
      <c r="A414" s="69">
        <f t="shared" si="92"/>
        <v>70</v>
      </c>
      <c r="B414" s="70" t="s">
        <v>467</v>
      </c>
      <c r="C414" s="71" t="s">
        <v>28</v>
      </c>
      <c r="D414" s="72" t="s">
        <v>12</v>
      </c>
      <c r="E414" s="45" t="s">
        <v>478</v>
      </c>
      <c r="F414" s="49" t="s">
        <v>3032</v>
      </c>
      <c r="G414" s="45" t="s">
        <v>3045</v>
      </c>
      <c r="H414" s="47">
        <v>46257</v>
      </c>
      <c r="I414" s="48" t="s">
        <v>1916</v>
      </c>
      <c r="J414" s="48" t="s">
        <v>1211</v>
      </c>
      <c r="K414" s="48" t="str">
        <f t="shared" si="82"/>
        <v>Universal Material Testing Machine Application is an universal testing machines product from HST Group for application-specific laboratory, engineering or industrial use.</v>
      </c>
      <c r="L414" s="48" t="str">
        <f t="shared" si="83"/>
        <v>Universal Material Testing Machine Application from HST Group for universal testing machines applications. Review configuration requirements and request technical information or a quotation from DIWAN.</v>
      </c>
      <c r="M414" s="48" t="s">
        <v>2020</v>
      </c>
      <c r="N414" s="61" t="s">
        <v>2672</v>
      </c>
      <c r="O414" s="54" t="str" cm="1">
        <f t="array" ref="O414">_xlfn.LET(_xlpm.n,LOWER(E414),_xlpm.c,LOWER(B414),_xlpm.t,_xlfn.IFS(OR(ISNUMBER(SEARCH("lens",_xlpm.n)),ISNUMBER(SEARCH("optic",_xlpm.n)),ISNUMBER(SEARCH("polarizer",_xlpm.n))),"precision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"),E414&amp;" is "&amp;_xlpm.art&amp;_xlpm.t&amp;" from "&amp;C414&amp;" designed for application-specific laboratory, engineering or industrial use. It belongs to DIWAN's "&amp;B414&amp;" portfolio; final configuration must be selected against performance, integration and compliance requirements.")</f>
        <v>Universal Material Testing Machine Application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14" s="54" t="str">
        <f t="shared" si="84"/>
        <v>Selection should confirm the model-specific operating range, capacity, accuracy, interfaces, utilities, accessories, standards, environmental limits and service requirements. Final capabilities depend on the approved Universal Material Testing Machine Application configuration.</v>
      </c>
      <c r="Q414" s="54"/>
      <c r="R414" s="54" t="str">
        <f t="shared" si="85"/>
        <v>Universal Testing Machines applications; laboratory research, engineering development, quality control and industrial deployment where applicable. Suitability must be confirmed against the user's sample, process, environment and required standards.</v>
      </c>
      <c r="S414" s="54"/>
      <c r="T414" s="54" t="str">
        <f t="shared" si="86"/>
        <v>Universal Material Testing Machine Application from HST Group</v>
      </c>
      <c r="U414" s="54"/>
      <c r="V414" s="54" t="s">
        <v>2673</v>
      </c>
      <c r="W414" s="54" t="str">
        <f t="shared" si="87"/>
        <v>See other Universal Testing Machines products</v>
      </c>
      <c r="X414" s="54" t="str">
        <f t="shared" si="88"/>
        <v>Universal Testing Machines enquiry → website group enquiry form → category owner assignment</v>
      </c>
      <c r="Y414" s="54" t="str">
        <f t="shared" si="89"/>
        <v>Universal Material Testing Machine Application, Universal Testing Machines, HST Group, technical equipment, DIWAN</v>
      </c>
      <c r="Z414" s="54" t="s">
        <v>2289</v>
      </c>
      <c r="AA414" s="55">
        <v>46257</v>
      </c>
      <c r="AB414" s="54" t="s">
        <v>2465</v>
      </c>
      <c r="AC414" s="63" t="str">
        <f t="shared" si="90"/>
        <v>Content drafted - assets/specs pending</v>
      </c>
      <c r="AD414"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4" s="58"/>
      <c r="AF414" s="58"/>
      <c r="AG414" s="58" t="s">
        <v>2467</v>
      </c>
      <c r="AH414" s="58" t="s">
        <v>2468</v>
      </c>
      <c r="AI414" s="58" t="s">
        <v>2469</v>
      </c>
    </row>
    <row r="415" spans="1:35" ht="42" customHeight="1" thickBot="1" x14ac:dyDescent="0.4">
      <c r="A415" s="69">
        <f t="shared" si="92"/>
        <v>70</v>
      </c>
      <c r="B415" s="70" t="s">
        <v>467</v>
      </c>
      <c r="C415" s="71" t="s">
        <v>28</v>
      </c>
      <c r="D415" s="72" t="s">
        <v>12</v>
      </c>
      <c r="E415" s="45" t="s">
        <v>479</v>
      </c>
      <c r="F415" s="49" t="s">
        <v>3032</v>
      </c>
      <c r="G415" s="45" t="s">
        <v>3045</v>
      </c>
      <c r="H415" s="47">
        <v>46257</v>
      </c>
      <c r="I415" s="48" t="s">
        <v>1917</v>
      </c>
      <c r="J415" s="48" t="s">
        <v>1212</v>
      </c>
      <c r="K415" s="48" t="str">
        <f t="shared" si="82"/>
        <v>Spine and Bone Surgical Implants Testing Machine is an universal testing machines product from HST Group for application-specific laboratory, engineering or industrial use.</v>
      </c>
      <c r="L415" s="48" t="str">
        <f t="shared" si="83"/>
        <v>Spine and Bone Surgical Implants Testing Machine from HST Group for universal testing machines applications. Review configuration requirements and request technical information or a quotation from DIWAN.</v>
      </c>
      <c r="M415" s="48" t="s">
        <v>2020</v>
      </c>
      <c r="N415" s="61" t="s">
        <v>2672</v>
      </c>
      <c r="O415" s="54" t="str" cm="1">
        <f t="array" ref="O415">_xlfn.LET(_xlpm.n,LOWER(E415),_xlpm.c,LOWER(B415),_xlpm.t,_xlfn.IFS(OR(ISNUMBER(SEARCH("lens",_xlpm.n)),ISNUMBER(SEARCH("optic",_xlpm.n)),ISNUMBER(SEARCH("polarizer",_xlpm.n))),"precision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"),E415&amp;" is "&amp;_xlpm.art&amp;_xlpm.t&amp;" from "&amp;C415&amp;" designed for application-specific laboratory, engineering or industrial use. It belongs to DIWAN's "&amp;B415&amp;" portfolio; final configuration must be selected against performance, integration and compliance requirements.")</f>
        <v>Spine and Bone Surgical Implants Testing Machine is a materials or component testing system from HST Group designed for application-specific laboratory, engineering or industrial use. It belongs to DIWAN's Universal Testing Machines portfolio; final configuration must be selected against performance, integration and compliance requirements.</v>
      </c>
      <c r="P415" s="54" t="str">
        <f t="shared" si="84"/>
        <v>Selection should confirm the model-specific operating range, capacity, accuracy, interfaces, utilities, accessories, standards, environmental limits and service requirements. Final capabilities depend on the approved Spine and Bone Surgical Implants Testing Machine configuration.</v>
      </c>
      <c r="Q415" s="54"/>
      <c r="R415" s="54" t="str">
        <f t="shared" si="85"/>
        <v>Universal Testing Machines applications; laboratory research, engineering development, quality control and industrial deployment where applicable. Suitability must be confirmed against the user's sample, process, environment and required standards.</v>
      </c>
      <c r="S415" s="54"/>
      <c r="T415" s="54" t="str">
        <f t="shared" si="86"/>
        <v>Spine and Bone Surgical Implants Testing Machine from HST Group</v>
      </c>
      <c r="U415" s="54"/>
      <c r="V415" s="54" t="s">
        <v>2673</v>
      </c>
      <c r="W415" s="54" t="str">
        <f t="shared" si="87"/>
        <v>See other Universal Testing Machines products</v>
      </c>
      <c r="X415" s="54" t="str">
        <f t="shared" si="88"/>
        <v>Universal Testing Machines enquiry → website group enquiry form → category owner assignment</v>
      </c>
      <c r="Y415" s="54" t="str">
        <f t="shared" si="89"/>
        <v>Spine and Bone Surgical Implants Testing Machine, Universal Testing Machines, HST Group, technical equipment, DIWAN</v>
      </c>
      <c r="Z415" s="54" t="s">
        <v>2289</v>
      </c>
      <c r="AA415" s="55">
        <v>46257</v>
      </c>
      <c r="AB415" s="54" t="s">
        <v>2465</v>
      </c>
      <c r="AC415" s="63" t="str">
        <f t="shared" si="90"/>
        <v>Content drafted - assets/specs pending</v>
      </c>
      <c r="AD415" s="54" t="str">
        <f t="shared" si="91"/>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5" s="58"/>
      <c r="AF415" s="58"/>
      <c r="AG415" s="58" t="s">
        <v>2467</v>
      </c>
      <c r="AH415" s="58" t="s">
        <v>2468</v>
      </c>
      <c r="AI415" s="58" t="s">
        <v>2469</v>
      </c>
    </row>
    <row r="416" spans="1:35" ht="42" customHeight="1" x14ac:dyDescent="0.35">
      <c r="A416" s="69">
        <f t="shared" si="92"/>
        <v>71</v>
      </c>
      <c r="B416" s="74" t="s">
        <v>480</v>
      </c>
      <c r="C416" s="75" t="s">
        <v>28</v>
      </c>
      <c r="D416" s="76" t="s">
        <v>12</v>
      </c>
      <c r="E416" s="77" t="s">
        <v>481</v>
      </c>
      <c r="F416" s="86" t="s">
        <v>3033</v>
      </c>
      <c r="G416" s="77" t="s">
        <v>3045</v>
      </c>
      <c r="H416" s="79">
        <v>46257</v>
      </c>
      <c r="I416" s="80" t="s">
        <v>1918</v>
      </c>
      <c r="J416" s="80" t="s">
        <v>1213</v>
      </c>
      <c r="K416" s="80" t="str">
        <f t="shared" ref="K416:K478" si="93">E416&amp;" is "&amp;IF(ISNUMBER(SEARCH(LEFT(LOWER(B416),1),"aeiou")),"an ","a ")&amp;LOWER(B416)&amp;" product from "&amp;C416&amp;" for application-specific laboratory, engineering or industrial use."</f>
        <v>Metal Impact Testing Machine is an impact testing machines product from HST Group for application-specific laboratory, engineering or industrial use.</v>
      </c>
      <c r="L416" s="80" t="str">
        <f t="shared" ref="L416:L478" si="94">E416&amp;" from "&amp;C416&amp;" for "&amp;LOWER(B416)&amp;" applications. Review configuration requirements and request technical information or a quotation from DIWAN."</f>
        <v>Metal Impact Testing Machine from HST Group for impact testing machines applications. Review configuration requirements and request technical information or a quotation from DIWAN.</v>
      </c>
      <c r="M416" s="80" t="s">
        <v>2020</v>
      </c>
      <c r="N416" s="81" t="s">
        <v>2672</v>
      </c>
      <c r="O416" s="82" t="str" cm="1">
        <f t="array" ref="O416">_xlfn.LET(_xlpm.n,LOWER(E416),_xlpm.c,LOWER(B416),_xlpm.t,_xlfn.IFS(OR(ISNUMBER(SEARCH("lens",_xlpm.n)),ISNUMBER(SEARCH("optic",_xlpm.n)),ISNUMBER(SEARCH("polarizer",_xlpm.n))),"precision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"),E416&amp;" is "&amp;_xlpm.art&amp;_xlpm.t&amp;" from "&amp;C416&amp;" designed for application-specific laboratory, engineering or industrial use. It belongs to DIWAN's "&amp;B416&amp;" portfolio; final configuration must be selected against performance, integration and compliance requirements.")</f>
        <v>Metal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16" s="82" t="str">
        <f t="shared" ref="P416:P478" si="95">"Selection should confirm the model-specific operating range, capacity, accuracy, interfaces, utilities, accessories, standards, environmental limits and service requirements. Final capabilities depend on the approved "&amp;E416&amp;" configuration."</f>
        <v>Selection should confirm the model-specific operating range, capacity, accuracy, interfaces, utilities, accessories, standards, environmental limits and service requirements. Final capabilities depend on the approved Metal Impact Testing Machine configuration.</v>
      </c>
      <c r="Q416" s="82"/>
      <c r="R416" s="82" t="str">
        <f t="shared" ref="R416:R478" si="96">B416&amp;" applications; laboratory research, engineering development, quality control and industrial deployment where applicable. Suitability must be confirmed against the user's sample, process, environment and required standards."</f>
        <v>Impact Testing Machines applications; laboratory research, engineering development, quality control and industrial deployment where applicable. Suitability must be confirmed against the user's sample, process, environment and required standards.</v>
      </c>
      <c r="S416" s="82"/>
      <c r="T416" s="82" t="str">
        <f t="shared" ref="T416:T478" si="97">E416&amp;" from "&amp;C416</f>
        <v>Metal Impact Testing Machine from HST Group</v>
      </c>
      <c r="U416" s="82"/>
      <c r="V416" s="82" t="s">
        <v>2673</v>
      </c>
      <c r="W416" s="82" t="str">
        <f t="shared" ref="W416:W478" si="98">"See other "&amp;B416&amp;" products"</f>
        <v>See other Impact Testing Machines products</v>
      </c>
      <c r="X416" s="82" t="str">
        <f t="shared" ref="X416:X478" si="99">B416&amp;" enquiry → website group enquiry form → category owner assignment"</f>
        <v>Impact Testing Machines enquiry → website group enquiry form → category owner assignment</v>
      </c>
      <c r="Y416" s="82" t="str">
        <f t="shared" ref="Y416:Y478" si="100">E416&amp;", "&amp;B416&amp;", "&amp;C416&amp;", technical equipment, DIWAN"</f>
        <v>Metal Impact Testing Machine, Impact Testing Machines, HST Group, technical equipment, DIWAN</v>
      </c>
      <c r="Z416" s="82" t="s">
        <v>2290</v>
      </c>
      <c r="AA416" s="83">
        <v>46257</v>
      </c>
      <c r="AB416" s="82" t="s">
        <v>2465</v>
      </c>
      <c r="AC416" s="84" t="str">
        <f t="shared" ref="AC416:AC478" si="101">IF(AND(O416&lt;&gt;"",P416&lt;&gt;"",R416&lt;&gt;"",T416&lt;&gt;"",X416&lt;&gt;"",Y416&lt;&gt;"",Z416&lt;&gt;"",AA416&lt;&gt;"",AB416&lt;&gt;""),IF(AND(Q416&lt;&gt;"",S416&lt;&gt;"",U416&lt;&gt;""),"Ready for approval","Content drafted - assets/specs pending"),IF(COUNTA(O416:AB416)=0,"Not started","In progress"))</f>
        <v>Content drafted - assets/specs pending</v>
      </c>
      <c r="AD416" s="82" t="str">
        <f t="shared" ref="AD416:AD478" si="102">"Baseline definition created from the official catalog name, partner and category classification ("&amp;G416&amp;").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6" s="85"/>
      <c r="AF416" s="85"/>
      <c r="AG416" s="85" t="s">
        <v>2467</v>
      </c>
      <c r="AH416" s="85" t="s">
        <v>2468</v>
      </c>
      <c r="AI416" s="85" t="s">
        <v>2469</v>
      </c>
    </row>
    <row r="417" spans="1:35" ht="42" customHeight="1" x14ac:dyDescent="0.35">
      <c r="A417" s="69">
        <f t="shared" si="92"/>
        <v>71</v>
      </c>
      <c r="B417" s="70" t="s">
        <v>480</v>
      </c>
      <c r="C417" s="71" t="s">
        <v>28</v>
      </c>
      <c r="D417" s="72" t="s">
        <v>12</v>
      </c>
      <c r="E417" s="45" t="s">
        <v>482</v>
      </c>
      <c r="F417" s="49" t="s">
        <v>3033</v>
      </c>
      <c r="G417" s="45" t="s">
        <v>3045</v>
      </c>
      <c r="H417" s="47">
        <v>46257</v>
      </c>
      <c r="I417" s="48" t="s">
        <v>1919</v>
      </c>
      <c r="J417" s="48" t="s">
        <v>1214</v>
      </c>
      <c r="K417" s="48" t="str">
        <f t="shared" si="93"/>
        <v>Digital Charpy Impact Testing Machine is an impact testing machines product from HST Group for application-specific laboratory, engineering or industrial use.</v>
      </c>
      <c r="L417" s="48" t="str">
        <f t="shared" si="94"/>
        <v>Digital Charpy Impact Testing Machine from HST Group for impact testing machines applications. Review configuration requirements and request technical information or a quotation from DIWAN.</v>
      </c>
      <c r="M417" s="48" t="s">
        <v>2020</v>
      </c>
      <c r="N417" s="61" t="s">
        <v>2672</v>
      </c>
      <c r="O417" s="54" t="str" cm="1">
        <f t="array" ref="O417">_xlfn.LET(_xlpm.n,LOWER(E417),_xlpm.c,LOWER(B417),_xlpm.t,_xlfn.IFS(OR(ISNUMBER(SEARCH("lens",_xlpm.n)),ISNUMBER(SEARCH("optic",_xlpm.n)),ISNUMBER(SEARCH("polarizer",_xlpm.n))),"precision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"),E417&amp;" is "&amp;_xlpm.art&amp;_xlpm.t&amp;" from "&amp;C417&amp;" designed for application-specific laboratory, engineering or industrial use. It belongs to DIWAN's "&amp;B417&amp;" portfolio; final configuration must be selected against performance, integration and compliance requirements.")</f>
        <v>Digital Charpy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17" s="54" t="str">
        <f t="shared" si="95"/>
        <v>Selection should confirm the model-specific operating range, capacity, accuracy, interfaces, utilities, accessories, standards, environmental limits and service requirements. Final capabilities depend on the approved Digital Charpy Impact Testing Machine configuration.</v>
      </c>
      <c r="Q417" s="54"/>
      <c r="R417" s="54" t="str">
        <f t="shared" si="96"/>
        <v>Impact Testing Machines applications; laboratory research, engineering development, quality control and industrial deployment where applicable. Suitability must be confirmed against the user's sample, process, environment and required standards.</v>
      </c>
      <c r="S417" s="54"/>
      <c r="T417" s="54" t="str">
        <f t="shared" si="97"/>
        <v>Digital Charpy Impact Testing Machine from HST Group</v>
      </c>
      <c r="U417" s="54"/>
      <c r="V417" s="54" t="s">
        <v>2673</v>
      </c>
      <c r="W417" s="54" t="str">
        <f t="shared" si="98"/>
        <v>See other Impact Testing Machines products</v>
      </c>
      <c r="X417" s="54" t="str">
        <f t="shared" si="99"/>
        <v>Impact Testing Machines enquiry → website group enquiry form → category owner assignment</v>
      </c>
      <c r="Y417" s="54" t="str">
        <f t="shared" si="100"/>
        <v>Digital Charpy Impact Testing Machine, Impact Testing Machines, HST Group, technical equipment, DIWAN</v>
      </c>
      <c r="Z417" s="54" t="s">
        <v>2290</v>
      </c>
      <c r="AA417" s="55">
        <v>46257</v>
      </c>
      <c r="AB417" s="54" t="s">
        <v>2465</v>
      </c>
      <c r="AC417" s="63" t="str">
        <f t="shared" si="101"/>
        <v>Content drafted - assets/specs pending</v>
      </c>
      <c r="AD417"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7" s="58"/>
      <c r="AF417" s="58"/>
      <c r="AG417" s="58" t="s">
        <v>2467</v>
      </c>
      <c r="AH417" s="58" t="s">
        <v>2468</v>
      </c>
      <c r="AI417" s="58" t="s">
        <v>2469</v>
      </c>
    </row>
    <row r="418" spans="1:35" ht="42" customHeight="1" x14ac:dyDescent="0.35">
      <c r="A418" s="69">
        <f t="shared" si="92"/>
        <v>71</v>
      </c>
      <c r="B418" s="70" t="s">
        <v>480</v>
      </c>
      <c r="C418" s="71" t="s">
        <v>28</v>
      </c>
      <c r="D418" s="72" t="s">
        <v>12</v>
      </c>
      <c r="E418" s="45" t="s">
        <v>483</v>
      </c>
      <c r="F418" s="49" t="s">
        <v>3033</v>
      </c>
      <c r="G418" s="45" t="s">
        <v>3045</v>
      </c>
      <c r="H418" s="47">
        <v>46257</v>
      </c>
      <c r="I418" s="48" t="s">
        <v>1920</v>
      </c>
      <c r="J418" s="48" t="s">
        <v>1215</v>
      </c>
      <c r="K418" s="48" t="str">
        <f t="shared" si="93"/>
        <v>Drop Weight Tear Test Impact Testing Machine is an impact testing machines product from HST Group for application-specific laboratory, engineering or industrial use.</v>
      </c>
      <c r="L418" s="48" t="str">
        <f t="shared" si="94"/>
        <v>Drop Weight Tear Test Impact Testing Machine from HST Group for impact testing machines applications. Review configuration requirements and request technical information or a quotation from DIWAN.</v>
      </c>
      <c r="M418" s="48" t="s">
        <v>2020</v>
      </c>
      <c r="N418" s="61" t="s">
        <v>2672</v>
      </c>
      <c r="O418" s="54" t="str" cm="1">
        <f t="array" ref="O418">_xlfn.LET(_xlpm.n,LOWER(E418),_xlpm.c,LOWER(B418),_xlpm.t,_xlfn.IFS(OR(ISNUMBER(SEARCH("lens",_xlpm.n)),ISNUMBER(SEARCH("optic",_xlpm.n)),ISNUMBER(SEARCH("polarizer",_xlpm.n))),"precision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"),E418&amp;" is "&amp;_xlpm.art&amp;_xlpm.t&amp;" from "&amp;C418&amp;" designed for application-specific laboratory, engineering or industrial use. It belongs to DIWAN's "&amp;B418&amp;" portfolio; final configuration must be selected against performance, integration and compliance requirements.")</f>
        <v>Drop Weight Tear Test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18" s="54" t="str">
        <f t="shared" si="95"/>
        <v>Selection should confirm the model-specific operating range, capacity, accuracy, interfaces, utilities, accessories, standards, environmental limits and service requirements. Final capabilities depend on the approved Drop Weight Tear Test Impact Testing Machine configuration.</v>
      </c>
      <c r="Q418" s="54"/>
      <c r="R418" s="54" t="str">
        <f t="shared" si="96"/>
        <v>Impact Testing Machines applications; laboratory research, engineering development, quality control and industrial deployment where applicable. Suitability must be confirmed against the user's sample, process, environment and required standards.</v>
      </c>
      <c r="S418" s="54"/>
      <c r="T418" s="54" t="str">
        <f t="shared" si="97"/>
        <v>Drop Weight Tear Test Impact Testing Machine from HST Group</v>
      </c>
      <c r="U418" s="54"/>
      <c r="V418" s="54" t="s">
        <v>2673</v>
      </c>
      <c r="W418" s="54" t="str">
        <f t="shared" si="98"/>
        <v>See other Impact Testing Machines products</v>
      </c>
      <c r="X418" s="54" t="str">
        <f t="shared" si="99"/>
        <v>Impact Testing Machines enquiry → website group enquiry form → category owner assignment</v>
      </c>
      <c r="Y418" s="54" t="str">
        <f t="shared" si="100"/>
        <v>Drop Weight Tear Test Impact Testing Machine, Impact Testing Machines, HST Group, technical equipment, DIWAN</v>
      </c>
      <c r="Z418" s="54" t="s">
        <v>2290</v>
      </c>
      <c r="AA418" s="55">
        <v>46257</v>
      </c>
      <c r="AB418" s="54" t="s">
        <v>2465</v>
      </c>
      <c r="AC418" s="63" t="str">
        <f t="shared" si="101"/>
        <v>Content drafted - assets/specs pending</v>
      </c>
      <c r="AD41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8" s="58"/>
      <c r="AF418" s="58"/>
      <c r="AG418" s="58" t="s">
        <v>2467</v>
      </c>
      <c r="AH418" s="58" t="s">
        <v>2468</v>
      </c>
      <c r="AI418" s="58" t="s">
        <v>2469</v>
      </c>
    </row>
    <row r="419" spans="1:35" ht="42" customHeight="1" x14ac:dyDescent="0.35">
      <c r="A419" s="69">
        <f t="shared" si="92"/>
        <v>71</v>
      </c>
      <c r="B419" s="70" t="s">
        <v>480</v>
      </c>
      <c r="C419" s="71" t="s">
        <v>28</v>
      </c>
      <c r="D419" s="72" t="s">
        <v>12</v>
      </c>
      <c r="E419" s="45" t="s">
        <v>484</v>
      </c>
      <c r="F419" s="49" t="s">
        <v>3033</v>
      </c>
      <c r="G419" s="45" t="s">
        <v>3045</v>
      </c>
      <c r="H419" s="47">
        <v>46257</v>
      </c>
      <c r="I419" s="48" t="s">
        <v>1921</v>
      </c>
      <c r="J419" s="48" t="s">
        <v>1216</v>
      </c>
      <c r="K419" s="48" t="str">
        <f t="shared" si="93"/>
        <v>Automatic Feeding Charpy Impact Testing Machine is an impact testing machines product from HST Group for application-specific laboratory, engineering or industrial use.</v>
      </c>
      <c r="L419" s="48" t="str">
        <f t="shared" si="94"/>
        <v>Automatic Feeding Charpy Impact Testing Machine from HST Group for impact testing machines applications. Review configuration requirements and request technical information or a quotation from DIWAN.</v>
      </c>
      <c r="M419" s="48" t="s">
        <v>2020</v>
      </c>
      <c r="N419" s="61" t="s">
        <v>2672</v>
      </c>
      <c r="O419" s="54" t="str" cm="1">
        <f t="array" ref="O419">_xlfn.LET(_xlpm.n,LOWER(E419),_xlpm.c,LOWER(B419),_xlpm.t,_xlfn.IFS(OR(ISNUMBER(SEARCH("lens",_xlpm.n)),ISNUMBER(SEARCH("optic",_xlpm.n)),ISNUMBER(SEARCH("polarizer",_xlpm.n))),"precision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"),E419&amp;" is "&amp;_xlpm.art&amp;_xlpm.t&amp;" from "&amp;C419&amp;" designed for application-specific laboratory, engineering or industrial use. It belongs to DIWAN's "&amp;B419&amp;" portfolio; final configuration must be selected against performance, integration and compliance requirements.")</f>
        <v>Automatic Feeding Charpy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19" s="54" t="str">
        <f t="shared" si="95"/>
        <v>Selection should confirm the model-specific operating range, capacity, accuracy, interfaces, utilities, accessories, standards, environmental limits and service requirements. Final capabilities depend on the approved Automatic Feeding Charpy Impact Testing Machine configuration.</v>
      </c>
      <c r="Q419" s="54"/>
      <c r="R419" s="54" t="str">
        <f t="shared" si="96"/>
        <v>Impact Testing Machines applications; laboratory research, engineering development, quality control and industrial deployment where applicable. Suitability must be confirmed against the user's sample, process, environment and required standards.</v>
      </c>
      <c r="S419" s="54"/>
      <c r="T419" s="54" t="str">
        <f t="shared" si="97"/>
        <v>Automatic Feeding Charpy Impact Testing Machine from HST Group</v>
      </c>
      <c r="U419" s="54"/>
      <c r="V419" s="54" t="s">
        <v>2673</v>
      </c>
      <c r="W419" s="54" t="str">
        <f t="shared" si="98"/>
        <v>See other Impact Testing Machines products</v>
      </c>
      <c r="X419" s="54" t="str">
        <f t="shared" si="99"/>
        <v>Impact Testing Machines enquiry → website group enquiry form → category owner assignment</v>
      </c>
      <c r="Y419" s="54" t="str">
        <f t="shared" si="100"/>
        <v>Automatic Feeding Charpy Impact Testing Machine, Impact Testing Machines, HST Group, technical equipment, DIWAN</v>
      </c>
      <c r="Z419" s="54" t="s">
        <v>2290</v>
      </c>
      <c r="AA419" s="55">
        <v>46257</v>
      </c>
      <c r="AB419" s="54" t="s">
        <v>2465</v>
      </c>
      <c r="AC419" s="63" t="str">
        <f t="shared" si="101"/>
        <v>Content drafted - assets/specs pending</v>
      </c>
      <c r="AD41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19" s="58"/>
      <c r="AF419" s="58"/>
      <c r="AG419" s="58" t="s">
        <v>2467</v>
      </c>
      <c r="AH419" s="58" t="s">
        <v>2468</v>
      </c>
      <c r="AI419" s="58" t="s">
        <v>2469</v>
      </c>
    </row>
    <row r="420" spans="1:35" ht="42" customHeight="1" x14ac:dyDescent="0.35">
      <c r="A420" s="69">
        <f t="shared" si="92"/>
        <v>71</v>
      </c>
      <c r="B420" s="70" t="s">
        <v>480</v>
      </c>
      <c r="C420" s="71" t="s">
        <v>28</v>
      </c>
      <c r="D420" s="72" t="s">
        <v>12</v>
      </c>
      <c r="E420" s="45" t="s">
        <v>485</v>
      </c>
      <c r="F420" s="49" t="s">
        <v>3033</v>
      </c>
      <c r="G420" s="45" t="s">
        <v>3045</v>
      </c>
      <c r="H420" s="47">
        <v>46257</v>
      </c>
      <c r="I420" s="48" t="s">
        <v>1922</v>
      </c>
      <c r="J420" s="48" t="s">
        <v>1217</v>
      </c>
      <c r="K420" s="48" t="str">
        <f t="shared" si="93"/>
        <v>Electronic Izod Impact Strength Test is an impact testing machines product from HST Group for application-specific laboratory, engineering or industrial use.</v>
      </c>
      <c r="L420" s="48" t="str">
        <f t="shared" si="94"/>
        <v>Electronic Izod Impact Strength Test from HST Group for impact testing machines applications. Review configuration requirements and request technical information or a quotation from DIWAN.</v>
      </c>
      <c r="M420" s="48" t="s">
        <v>2020</v>
      </c>
      <c r="N420" s="61" t="s">
        <v>2672</v>
      </c>
      <c r="O420" s="54" t="str" cm="1">
        <f t="array" ref="O420">_xlfn.LET(_xlpm.n,LOWER(E420),_xlpm.c,LOWER(B420),_xlpm.t,_xlfn.IFS(OR(ISNUMBER(SEARCH("lens",_xlpm.n)),ISNUMBER(SEARCH("optic",_xlpm.n)),ISNUMBER(SEARCH("polarizer",_xlpm.n))),"precision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"),E420&amp;" is "&amp;_xlpm.art&amp;_xlpm.t&amp;" from "&amp;C420&amp;" designed for application-specific laboratory, engineering or industrial use. It belongs to DIWAN's "&amp;B420&amp;" portfolio; final configuration must be selected against performance, integration and compliance requirements.")</f>
        <v>Electronic Izod Impact Strength Test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0" s="54" t="str">
        <f t="shared" si="95"/>
        <v>Selection should confirm the model-specific operating range, capacity, accuracy, interfaces, utilities, accessories, standards, environmental limits and service requirements. Final capabilities depend on the approved Electronic Izod Impact Strength Test configuration.</v>
      </c>
      <c r="Q420" s="54"/>
      <c r="R420" s="54" t="str">
        <f t="shared" si="96"/>
        <v>Impact Testing Machines applications; laboratory research, engineering development, quality control and industrial deployment where applicable. Suitability must be confirmed against the user's sample, process, environment and required standards.</v>
      </c>
      <c r="S420" s="54"/>
      <c r="T420" s="54" t="str">
        <f t="shared" si="97"/>
        <v>Electronic Izod Impact Strength Test from HST Group</v>
      </c>
      <c r="U420" s="54"/>
      <c r="V420" s="54" t="s">
        <v>2673</v>
      </c>
      <c r="W420" s="54" t="str">
        <f t="shared" si="98"/>
        <v>See other Impact Testing Machines products</v>
      </c>
      <c r="X420" s="54" t="str">
        <f t="shared" si="99"/>
        <v>Impact Testing Machines enquiry → website group enquiry form → category owner assignment</v>
      </c>
      <c r="Y420" s="54" t="str">
        <f t="shared" si="100"/>
        <v>Electronic Izod Impact Strength Test, Impact Testing Machines, HST Group, technical equipment, DIWAN</v>
      </c>
      <c r="Z420" s="54" t="s">
        <v>2290</v>
      </c>
      <c r="AA420" s="55">
        <v>46257</v>
      </c>
      <c r="AB420" s="54" t="s">
        <v>2465</v>
      </c>
      <c r="AC420" s="63" t="str">
        <f t="shared" si="101"/>
        <v>Content drafted - assets/specs pending</v>
      </c>
      <c r="AD42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0" s="58"/>
      <c r="AF420" s="58"/>
      <c r="AG420" s="58" t="s">
        <v>2467</v>
      </c>
      <c r="AH420" s="58" t="s">
        <v>2468</v>
      </c>
      <c r="AI420" s="58" t="s">
        <v>2469</v>
      </c>
    </row>
    <row r="421" spans="1:35" ht="42" customHeight="1" x14ac:dyDescent="0.35">
      <c r="A421" s="69">
        <f t="shared" si="92"/>
        <v>71</v>
      </c>
      <c r="B421" s="70" t="s">
        <v>480</v>
      </c>
      <c r="C421" s="71" t="s">
        <v>28</v>
      </c>
      <c r="D421" s="72" t="s">
        <v>12</v>
      </c>
      <c r="E421" s="45" t="s">
        <v>486</v>
      </c>
      <c r="F421" s="49" t="s">
        <v>3033</v>
      </c>
      <c r="G421" s="45" t="s">
        <v>3045</v>
      </c>
      <c r="H421" s="47">
        <v>46257</v>
      </c>
      <c r="I421" s="48" t="s">
        <v>1923</v>
      </c>
      <c r="J421" s="48" t="s">
        <v>1218</v>
      </c>
      <c r="K421" s="48" t="str">
        <f t="shared" si="93"/>
        <v>Model Impact Test Specimens is an impact testing machines product from HST Group for application-specific laboratory, engineering or industrial use.</v>
      </c>
      <c r="L421" s="48" t="str">
        <f t="shared" si="94"/>
        <v>Model Impact Test Specimens from HST Group for impact testing machines applications. Review configuration requirements and request technical information or a quotation from DIWAN.</v>
      </c>
      <c r="M421" s="48" t="s">
        <v>2020</v>
      </c>
      <c r="N421" s="61" t="s">
        <v>2672</v>
      </c>
      <c r="O421" s="54" t="str" cm="1">
        <f t="array" ref="O421">_xlfn.LET(_xlpm.n,LOWER(E421),_xlpm.c,LOWER(B421),_xlpm.t,_xlfn.IFS(OR(ISNUMBER(SEARCH("lens",_xlpm.n)),ISNUMBER(SEARCH("optic",_xlpm.n)),ISNUMBER(SEARCH("polarizer",_xlpm.n))),"precision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"),E421&amp;" is "&amp;_xlpm.art&amp;_xlpm.t&amp;" from "&amp;C421&amp;" designed for application-specific laboratory, engineering or industrial use. It belongs to DIWAN's "&amp;B421&amp;" portfolio; final configuration must be selected against performance, integration and compliance requirements.")</f>
        <v>Model Impact Test Specimens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1" s="54" t="str">
        <f t="shared" si="95"/>
        <v>Selection should confirm the model-specific operating range, capacity, accuracy, interfaces, utilities, accessories, standards, environmental limits and service requirements. Final capabilities depend on the approved Model Impact Test Specimens configuration.</v>
      </c>
      <c r="Q421" s="54"/>
      <c r="R421" s="54" t="str">
        <f t="shared" si="96"/>
        <v>Impact Testing Machines applications; laboratory research, engineering development, quality control and industrial deployment where applicable. Suitability must be confirmed against the user's sample, process, environment and required standards.</v>
      </c>
      <c r="S421" s="54"/>
      <c r="T421" s="54" t="str">
        <f t="shared" si="97"/>
        <v>Model Impact Test Specimens from HST Group</v>
      </c>
      <c r="U421" s="54"/>
      <c r="V421" s="54" t="s">
        <v>2673</v>
      </c>
      <c r="W421" s="54" t="str">
        <f t="shared" si="98"/>
        <v>See other Impact Testing Machines products</v>
      </c>
      <c r="X421" s="54" t="str">
        <f t="shared" si="99"/>
        <v>Impact Testing Machines enquiry → website group enquiry form → category owner assignment</v>
      </c>
      <c r="Y421" s="54" t="str">
        <f t="shared" si="100"/>
        <v>Model Impact Test Specimens, Impact Testing Machines, HST Group, technical equipment, DIWAN</v>
      </c>
      <c r="Z421" s="54" t="s">
        <v>2290</v>
      </c>
      <c r="AA421" s="55">
        <v>46257</v>
      </c>
      <c r="AB421" s="54" t="s">
        <v>2465</v>
      </c>
      <c r="AC421" s="63" t="str">
        <f t="shared" si="101"/>
        <v>Content drafted - assets/specs pending</v>
      </c>
      <c r="AD421"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1" s="58"/>
      <c r="AF421" s="58"/>
      <c r="AG421" s="58" t="s">
        <v>2467</v>
      </c>
      <c r="AH421" s="58" t="s">
        <v>2468</v>
      </c>
      <c r="AI421" s="58" t="s">
        <v>2469</v>
      </c>
    </row>
    <row r="422" spans="1:35" ht="42" customHeight="1" x14ac:dyDescent="0.35">
      <c r="A422" s="69">
        <f t="shared" si="92"/>
        <v>71</v>
      </c>
      <c r="B422" s="70" t="s">
        <v>480</v>
      </c>
      <c r="C422" s="71" t="s">
        <v>28</v>
      </c>
      <c r="D422" s="72" t="s">
        <v>12</v>
      </c>
      <c r="E422" s="45" t="s">
        <v>487</v>
      </c>
      <c r="F422" s="49" t="s">
        <v>3033</v>
      </c>
      <c r="G422" s="45" t="s">
        <v>3045</v>
      </c>
      <c r="H422" s="47">
        <v>46257</v>
      </c>
      <c r="I422" s="48" t="s">
        <v>1924</v>
      </c>
      <c r="J422" s="48" t="s">
        <v>1219</v>
      </c>
      <c r="K422" s="48" t="str">
        <f t="shared" si="93"/>
        <v>Charpy Impact Notch Projector is an impact testing machines product from HST Group for application-specific laboratory, engineering or industrial use.</v>
      </c>
      <c r="L422" s="48" t="str">
        <f t="shared" si="94"/>
        <v>Charpy Impact Notch Projector from HST Group for impact testing machines applications. Review configuration requirements and request technical information or a quotation from DIWAN.</v>
      </c>
      <c r="M422" s="48" t="s">
        <v>2020</v>
      </c>
      <c r="N422" s="61" t="s">
        <v>2672</v>
      </c>
      <c r="O422" s="54" t="str" cm="1">
        <f t="array" ref="O422">_xlfn.LET(_xlpm.n,LOWER(E422),_xlpm.c,LOWER(B422),_xlpm.t,_xlfn.IFS(OR(ISNUMBER(SEARCH("lens",_xlpm.n)),ISNUMBER(SEARCH("optic",_xlpm.n)),ISNUMBER(SEARCH("polarizer",_xlpm.n))),"precision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"),E422&amp;" is "&amp;_xlpm.art&amp;_xlpm.t&amp;" from "&amp;C422&amp;" designed for application-specific laboratory, engineering or industrial use. It belongs to DIWAN's "&amp;B422&amp;" portfolio; final configuration must be selected against performance, integration and compliance requirements.")</f>
        <v>Charpy Impact Notch Projector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2" s="54" t="str">
        <f t="shared" si="95"/>
        <v>Selection should confirm the model-specific operating range, capacity, accuracy, interfaces, utilities, accessories, standards, environmental limits and service requirements. Final capabilities depend on the approved Charpy Impact Notch Projector configuration.</v>
      </c>
      <c r="Q422" s="54"/>
      <c r="R422" s="54" t="str">
        <f t="shared" si="96"/>
        <v>Impact Testing Machines applications; laboratory research, engineering development, quality control and industrial deployment where applicable. Suitability must be confirmed against the user's sample, process, environment and required standards.</v>
      </c>
      <c r="S422" s="54"/>
      <c r="T422" s="54" t="str">
        <f t="shared" si="97"/>
        <v>Charpy Impact Notch Projector from HST Group</v>
      </c>
      <c r="U422" s="54"/>
      <c r="V422" s="54" t="s">
        <v>2673</v>
      </c>
      <c r="W422" s="54" t="str">
        <f t="shared" si="98"/>
        <v>See other Impact Testing Machines products</v>
      </c>
      <c r="X422" s="54" t="str">
        <f t="shared" si="99"/>
        <v>Impact Testing Machines enquiry → website group enquiry form → category owner assignment</v>
      </c>
      <c r="Y422" s="54" t="str">
        <f t="shared" si="100"/>
        <v>Charpy Impact Notch Projector, Impact Testing Machines, HST Group, technical equipment, DIWAN</v>
      </c>
      <c r="Z422" s="54" t="s">
        <v>2290</v>
      </c>
      <c r="AA422" s="55">
        <v>46257</v>
      </c>
      <c r="AB422" s="54" t="s">
        <v>2465</v>
      </c>
      <c r="AC422" s="63" t="str">
        <f t="shared" si="101"/>
        <v>Content drafted - assets/specs pending</v>
      </c>
      <c r="AD42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2" s="58"/>
      <c r="AF422" s="58"/>
      <c r="AG422" s="58" t="s">
        <v>2467</v>
      </c>
      <c r="AH422" s="58" t="s">
        <v>2468</v>
      </c>
      <c r="AI422" s="58" t="s">
        <v>2469</v>
      </c>
    </row>
    <row r="423" spans="1:35" ht="42" customHeight="1" x14ac:dyDescent="0.35">
      <c r="A423" s="69">
        <f t="shared" si="92"/>
        <v>71</v>
      </c>
      <c r="B423" s="70" t="s">
        <v>480</v>
      </c>
      <c r="C423" s="71" t="s">
        <v>28</v>
      </c>
      <c r="D423" s="72" t="s">
        <v>12</v>
      </c>
      <c r="E423" s="45" t="s">
        <v>488</v>
      </c>
      <c r="F423" s="49" t="s">
        <v>3033</v>
      </c>
      <c r="G423" s="45" t="s">
        <v>3045</v>
      </c>
      <c r="H423" s="47">
        <v>46257</v>
      </c>
      <c r="I423" s="48" t="s">
        <v>1925</v>
      </c>
      <c r="J423" s="48" t="s">
        <v>1220</v>
      </c>
      <c r="K423" s="48" t="str">
        <f t="shared" si="93"/>
        <v>Impact Strength Test Blocks is an impact testing machines product from HST Group for application-specific laboratory, engineering or industrial use.</v>
      </c>
      <c r="L423" s="48" t="str">
        <f t="shared" si="94"/>
        <v>Impact Strength Test Blocks from HST Group for impact testing machines applications. Review configuration requirements and request technical information or a quotation from DIWAN.</v>
      </c>
      <c r="M423" s="48" t="s">
        <v>2020</v>
      </c>
      <c r="N423" s="61" t="s">
        <v>2672</v>
      </c>
      <c r="O423" s="54" t="str" cm="1">
        <f t="array" ref="O423">_xlfn.LET(_xlpm.n,LOWER(E423),_xlpm.c,LOWER(B423),_xlpm.t,_xlfn.IFS(OR(ISNUMBER(SEARCH("lens",_xlpm.n)),ISNUMBER(SEARCH("optic",_xlpm.n)),ISNUMBER(SEARCH("polarizer",_xlpm.n))),"precision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"),E423&amp;" is "&amp;_xlpm.art&amp;_xlpm.t&amp;" from "&amp;C423&amp;" designed for application-specific laboratory, engineering or industrial use. It belongs to DIWAN's "&amp;B423&amp;" portfolio; final configuration must be selected against performance, integration and compliance requirements.")</f>
        <v>Impact Strength Test Blocks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3" s="54" t="str">
        <f t="shared" si="95"/>
        <v>Selection should confirm the model-specific operating range, capacity, accuracy, interfaces, utilities, accessories, standards, environmental limits and service requirements. Final capabilities depend on the approved Impact Strength Test Blocks configuration.</v>
      </c>
      <c r="Q423" s="54"/>
      <c r="R423" s="54" t="str">
        <f t="shared" si="96"/>
        <v>Impact Testing Machines applications; laboratory research, engineering development, quality control and industrial deployment where applicable. Suitability must be confirmed against the user's sample, process, environment and required standards.</v>
      </c>
      <c r="S423" s="54"/>
      <c r="T423" s="54" t="str">
        <f t="shared" si="97"/>
        <v>Impact Strength Test Blocks from HST Group</v>
      </c>
      <c r="U423" s="54"/>
      <c r="V423" s="54" t="s">
        <v>2673</v>
      </c>
      <c r="W423" s="54" t="str">
        <f t="shared" si="98"/>
        <v>See other Impact Testing Machines products</v>
      </c>
      <c r="X423" s="54" t="str">
        <f t="shared" si="99"/>
        <v>Impact Testing Machines enquiry → website group enquiry form → category owner assignment</v>
      </c>
      <c r="Y423" s="54" t="str">
        <f t="shared" si="100"/>
        <v>Impact Strength Test Blocks, Impact Testing Machines, HST Group, technical equipment, DIWAN</v>
      </c>
      <c r="Z423" s="54" t="s">
        <v>2290</v>
      </c>
      <c r="AA423" s="55">
        <v>46257</v>
      </c>
      <c r="AB423" s="54" t="s">
        <v>2465</v>
      </c>
      <c r="AC423" s="63" t="str">
        <f t="shared" si="101"/>
        <v>Content drafted - assets/specs pending</v>
      </c>
      <c r="AD42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3" s="58"/>
      <c r="AF423" s="58"/>
      <c r="AG423" s="58" t="s">
        <v>2467</v>
      </c>
      <c r="AH423" s="58" t="s">
        <v>2468</v>
      </c>
      <c r="AI423" s="58" t="s">
        <v>2469</v>
      </c>
    </row>
    <row r="424" spans="1:35" ht="42" customHeight="1" x14ac:dyDescent="0.35">
      <c r="A424" s="69">
        <f t="shared" si="92"/>
        <v>71</v>
      </c>
      <c r="B424" s="70" t="s">
        <v>480</v>
      </c>
      <c r="C424" s="71" t="s">
        <v>28</v>
      </c>
      <c r="D424" s="72" t="s">
        <v>12</v>
      </c>
      <c r="E424" s="45" t="s">
        <v>489</v>
      </c>
      <c r="F424" s="49" t="s">
        <v>3033</v>
      </c>
      <c r="G424" s="45" t="s">
        <v>3045</v>
      </c>
      <c r="H424" s="47">
        <v>46257</v>
      </c>
      <c r="I424" s="48" t="s">
        <v>1926</v>
      </c>
      <c r="J424" s="48" t="s">
        <v>1221</v>
      </c>
      <c r="K424" s="48" t="str">
        <f t="shared" si="93"/>
        <v>Cryostat for Impact Test is an impact testing machines product from HST Group for application-specific laboratory, engineering or industrial use.</v>
      </c>
      <c r="L424" s="48" t="str">
        <f t="shared" si="94"/>
        <v>Cryostat for Impact Test from HST Group for impact testing machines applications. Review configuration requirements and request technical information or a quotation from DIWAN.</v>
      </c>
      <c r="M424" s="48" t="s">
        <v>2020</v>
      </c>
      <c r="N424" s="61" t="s">
        <v>2672</v>
      </c>
      <c r="O424" s="54" t="str" cm="1">
        <f t="array" ref="O424">_xlfn.LET(_xlpm.n,LOWER(E424),_xlpm.c,LOWER(B424),_xlpm.t,_xlfn.IFS(OR(ISNUMBER(SEARCH("lens",_xlpm.n)),ISNUMBER(SEARCH("optic",_xlpm.n)),ISNUMBER(SEARCH("polarizer",_xlpm.n))),"precision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"),E424&amp;" is "&amp;_xlpm.art&amp;_xlpm.t&amp;" from "&amp;C424&amp;" designed for application-specific laboratory, engineering or industrial use. It belongs to DIWAN's "&amp;B424&amp;" portfolio; final configuration must be selected against performance, integration and compliance requirements.")</f>
        <v>Cryostat for Impact Test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4" s="54" t="str">
        <f t="shared" si="95"/>
        <v>Selection should confirm the model-specific operating range, capacity, accuracy, interfaces, utilities, accessories, standards, environmental limits and service requirements. Final capabilities depend on the approved Cryostat for Impact Test configuration.</v>
      </c>
      <c r="Q424" s="54"/>
      <c r="R424" s="54" t="str">
        <f t="shared" si="96"/>
        <v>Impact Testing Machines applications; laboratory research, engineering development, quality control and industrial deployment where applicable. Suitability must be confirmed against the user's sample, process, environment and required standards.</v>
      </c>
      <c r="S424" s="54"/>
      <c r="T424" s="54" t="str">
        <f t="shared" si="97"/>
        <v>Cryostat for Impact Test from HST Group</v>
      </c>
      <c r="U424" s="54"/>
      <c r="V424" s="54" t="s">
        <v>2673</v>
      </c>
      <c r="W424" s="54" t="str">
        <f t="shared" si="98"/>
        <v>See other Impact Testing Machines products</v>
      </c>
      <c r="X424" s="54" t="str">
        <f t="shared" si="99"/>
        <v>Impact Testing Machines enquiry → website group enquiry form → category owner assignment</v>
      </c>
      <c r="Y424" s="54" t="str">
        <f t="shared" si="100"/>
        <v>Cryostat for Impact Test, Impact Testing Machines, HST Group, technical equipment, DIWAN</v>
      </c>
      <c r="Z424" s="54" t="s">
        <v>2290</v>
      </c>
      <c r="AA424" s="55">
        <v>46257</v>
      </c>
      <c r="AB424" s="54" t="s">
        <v>2465</v>
      </c>
      <c r="AC424" s="63" t="str">
        <f t="shared" si="101"/>
        <v>Content drafted - assets/specs pending</v>
      </c>
      <c r="AD42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4" s="58"/>
      <c r="AF424" s="58"/>
      <c r="AG424" s="58" t="s">
        <v>2467</v>
      </c>
      <c r="AH424" s="58" t="s">
        <v>2468</v>
      </c>
      <c r="AI424" s="58" t="s">
        <v>2469</v>
      </c>
    </row>
    <row r="425" spans="1:35" ht="42" customHeight="1" x14ac:dyDescent="0.35">
      <c r="A425" s="69">
        <f t="shared" si="92"/>
        <v>71</v>
      </c>
      <c r="B425" s="70" t="s">
        <v>480</v>
      </c>
      <c r="C425" s="71" t="s">
        <v>28</v>
      </c>
      <c r="D425" s="72" t="s">
        <v>12</v>
      </c>
      <c r="E425" s="45" t="s">
        <v>490</v>
      </c>
      <c r="F425" s="49" t="s">
        <v>3033</v>
      </c>
      <c r="G425" s="45" t="s">
        <v>3045</v>
      </c>
      <c r="H425" s="47">
        <v>46257</v>
      </c>
      <c r="I425" s="48" t="s">
        <v>1927</v>
      </c>
      <c r="J425" s="48" t="s">
        <v>1222</v>
      </c>
      <c r="K425" s="48" t="str">
        <f t="shared" si="93"/>
        <v>Notch Specimen Cutter is an impact testing machines product from HST Group for application-specific laboratory, engineering or industrial use.</v>
      </c>
      <c r="L425" s="48" t="str">
        <f t="shared" si="94"/>
        <v>Notch Specimen Cutter from HST Group for impact testing machines applications. Review configuration requirements and request technical information or a quotation from DIWAN.</v>
      </c>
      <c r="M425" s="48" t="s">
        <v>2020</v>
      </c>
      <c r="N425" s="61" t="s">
        <v>2672</v>
      </c>
      <c r="O425" s="54" t="str" cm="1">
        <f t="array" ref="O425">_xlfn.LET(_xlpm.n,LOWER(E425),_xlpm.c,LOWER(B425),_xlpm.t,_xlfn.IFS(OR(ISNUMBER(SEARCH("lens",_xlpm.n)),ISNUMBER(SEARCH("optic",_xlpm.n)),ISNUMBER(SEARCH("polarizer",_xlpm.n))),"precision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"),E425&amp;" is "&amp;_xlpm.art&amp;_xlpm.t&amp;" from "&amp;C425&amp;" designed for application-specific laboratory, engineering or industrial use. It belongs to DIWAN's "&amp;B425&amp;" portfolio; final configuration must be selected against performance, integration and compliance requirements.")</f>
        <v>Notch Specimen Cutter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5" s="54" t="str">
        <f t="shared" si="95"/>
        <v>Selection should confirm the model-specific operating range, capacity, accuracy, interfaces, utilities, accessories, standards, environmental limits and service requirements. Final capabilities depend on the approved Notch Specimen Cutter configuration.</v>
      </c>
      <c r="Q425" s="54"/>
      <c r="R425" s="54" t="str">
        <f t="shared" si="96"/>
        <v>Impact Testing Machines applications; laboratory research, engineering development, quality control and industrial deployment where applicable. Suitability must be confirmed against the user's sample, process, environment and required standards.</v>
      </c>
      <c r="S425" s="54"/>
      <c r="T425" s="54" t="str">
        <f t="shared" si="97"/>
        <v>Notch Specimen Cutter from HST Group</v>
      </c>
      <c r="U425" s="54"/>
      <c r="V425" s="54" t="s">
        <v>2673</v>
      </c>
      <c r="W425" s="54" t="str">
        <f t="shared" si="98"/>
        <v>See other Impact Testing Machines products</v>
      </c>
      <c r="X425" s="54" t="str">
        <f t="shared" si="99"/>
        <v>Impact Testing Machines enquiry → website group enquiry form → category owner assignment</v>
      </c>
      <c r="Y425" s="54" t="str">
        <f t="shared" si="100"/>
        <v>Notch Specimen Cutter, Impact Testing Machines, HST Group, technical equipment, DIWAN</v>
      </c>
      <c r="Z425" s="54" t="s">
        <v>2290</v>
      </c>
      <c r="AA425" s="55">
        <v>46257</v>
      </c>
      <c r="AB425" s="54" t="s">
        <v>2465</v>
      </c>
      <c r="AC425" s="63" t="str">
        <f t="shared" si="101"/>
        <v>Content drafted - assets/specs pending</v>
      </c>
      <c r="AD425"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5" s="58"/>
      <c r="AF425" s="58"/>
      <c r="AG425" s="58" t="s">
        <v>2467</v>
      </c>
      <c r="AH425" s="58" t="s">
        <v>2468</v>
      </c>
      <c r="AI425" s="58" t="s">
        <v>2469</v>
      </c>
    </row>
    <row r="426" spans="1:35" ht="42" customHeight="1" x14ac:dyDescent="0.35">
      <c r="A426" s="69">
        <f t="shared" si="92"/>
        <v>71</v>
      </c>
      <c r="B426" s="70" t="s">
        <v>480</v>
      </c>
      <c r="C426" s="71" t="s">
        <v>28</v>
      </c>
      <c r="D426" s="72" t="s">
        <v>12</v>
      </c>
      <c r="E426" s="45" t="s">
        <v>491</v>
      </c>
      <c r="F426" s="49" t="s">
        <v>3033</v>
      </c>
      <c r="G426" s="45" t="s">
        <v>3045</v>
      </c>
      <c r="H426" s="47">
        <v>46257</v>
      </c>
      <c r="I426" s="48" t="s">
        <v>1928</v>
      </c>
      <c r="J426" s="48" t="s">
        <v>1223</v>
      </c>
      <c r="K426" s="48" t="str">
        <f t="shared" si="93"/>
        <v>Impact Test Samples Straightening Instrument is an impact testing machines product from HST Group for application-specific laboratory, engineering or industrial use.</v>
      </c>
      <c r="L426" s="48" t="str">
        <f t="shared" si="94"/>
        <v>Impact Test Samples Straightening Instrument from HST Group for impact testing machines applications. Review configuration requirements and request technical information or a quotation from DIWAN.</v>
      </c>
      <c r="M426" s="48" t="s">
        <v>2020</v>
      </c>
      <c r="N426" s="61" t="s">
        <v>2672</v>
      </c>
      <c r="O426" s="54" t="str" cm="1">
        <f t="array" ref="O426">_xlfn.LET(_xlpm.n,LOWER(E426),_xlpm.c,LOWER(B426),_xlpm.t,_xlfn.IFS(OR(ISNUMBER(SEARCH("lens",_xlpm.n)),ISNUMBER(SEARCH("optic",_xlpm.n)),ISNUMBER(SEARCH("polarizer",_xlpm.n))),"precision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"),E426&amp;" is "&amp;_xlpm.art&amp;_xlpm.t&amp;" from "&amp;C426&amp;" designed for application-specific laboratory, engineering or industrial use. It belongs to DIWAN's "&amp;B426&amp;" portfolio; final configuration must be selected against performance, integration and compliance requirements.")</f>
        <v>Impact Test Samples Straightening Instrument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26" s="54" t="str">
        <f t="shared" si="95"/>
        <v>Selection should confirm the model-specific operating range, capacity, accuracy, interfaces, utilities, accessories, standards, environmental limits and service requirements. Final capabilities depend on the approved Impact Test Samples Straightening Instrument configuration.</v>
      </c>
      <c r="Q426" s="54"/>
      <c r="R426" s="54" t="str">
        <f t="shared" si="96"/>
        <v>Impact Testing Machines applications; laboratory research, engineering development, quality control and industrial deployment where applicable. Suitability must be confirmed against the user's sample, process, environment and required standards.</v>
      </c>
      <c r="S426" s="54"/>
      <c r="T426" s="54" t="str">
        <f t="shared" si="97"/>
        <v>Impact Test Samples Straightening Instrument from HST Group</v>
      </c>
      <c r="U426" s="54"/>
      <c r="V426" s="54" t="s">
        <v>2673</v>
      </c>
      <c r="W426" s="54" t="str">
        <f t="shared" si="98"/>
        <v>See other Impact Testing Machines products</v>
      </c>
      <c r="X426" s="54" t="str">
        <f t="shared" si="99"/>
        <v>Impact Testing Machines enquiry → website group enquiry form → category owner assignment</v>
      </c>
      <c r="Y426" s="54" t="str">
        <f t="shared" si="100"/>
        <v>Impact Test Samples Straightening Instrument, Impact Testing Machines, HST Group, technical equipment, DIWAN</v>
      </c>
      <c r="Z426" s="54" t="s">
        <v>2290</v>
      </c>
      <c r="AA426" s="55">
        <v>46257</v>
      </c>
      <c r="AB426" s="54" t="s">
        <v>2465</v>
      </c>
      <c r="AC426" s="63" t="str">
        <f t="shared" si="101"/>
        <v>Content drafted - assets/specs pending</v>
      </c>
      <c r="AD42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6" s="58"/>
      <c r="AF426" s="58"/>
      <c r="AG426" s="58" t="s">
        <v>2467</v>
      </c>
      <c r="AH426" s="58" t="s">
        <v>2468</v>
      </c>
      <c r="AI426" s="58" t="s">
        <v>2469</v>
      </c>
    </row>
    <row r="427" spans="1:35" ht="42" customHeight="1" x14ac:dyDescent="0.35">
      <c r="A427" s="69">
        <f t="shared" si="92"/>
        <v>71</v>
      </c>
      <c r="B427" s="70" t="s">
        <v>480</v>
      </c>
      <c r="C427" s="71" t="s">
        <v>28</v>
      </c>
      <c r="D427" s="72" t="s">
        <v>12</v>
      </c>
      <c r="E427" s="45" t="s">
        <v>492</v>
      </c>
      <c r="F427" s="49" t="s">
        <v>3033</v>
      </c>
      <c r="G427" s="45" t="s">
        <v>3045</v>
      </c>
      <c r="H427" s="47">
        <v>46257</v>
      </c>
      <c r="I427" s="48" t="s">
        <v>1929</v>
      </c>
      <c r="J427" s="48" t="s">
        <v>1224</v>
      </c>
      <c r="K427" s="48" t="str">
        <f t="shared" si="93"/>
        <v>Pipe Impact Testing Machine is an impact testing machines product from HST Group for application-specific laboratory, engineering or industrial use.</v>
      </c>
      <c r="L427" s="48" t="str">
        <f t="shared" si="94"/>
        <v>Pipe Impact Testing Machine from HST Group for impact testing machines applications. Review configuration requirements and request technical information or a quotation from DIWAN.</v>
      </c>
      <c r="M427" s="48" t="s">
        <v>2020</v>
      </c>
      <c r="N427" s="61" t="s">
        <v>2672</v>
      </c>
      <c r="O427" s="54" t="str" cm="1">
        <f t="array" ref="O427">_xlfn.LET(_xlpm.n,LOWER(E427),_xlpm.c,LOWER(B427),_xlpm.t,_xlfn.IFS(OR(ISNUMBER(SEARCH("lens",_xlpm.n)),ISNUMBER(SEARCH("optic",_xlpm.n)),ISNUMBER(SEARCH("polarizer",_xlpm.n))),"precision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"),E427&amp;" is "&amp;_xlpm.art&amp;_xlpm.t&amp;" from "&amp;C427&amp;" designed for application-specific laboratory, engineering or industrial use. It belongs to DIWAN's "&amp;B427&amp;" portfolio; final configuration must be selected against performance, integration and compliance requirements.")</f>
        <v>Pipe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27" s="54" t="str">
        <f t="shared" si="95"/>
        <v>Selection should confirm the model-specific operating range, capacity, accuracy, interfaces, utilities, accessories, standards, environmental limits and service requirements. Final capabilities depend on the approved Pipe Impact Testing Machine configuration.</v>
      </c>
      <c r="Q427" s="54"/>
      <c r="R427" s="54" t="str">
        <f t="shared" si="96"/>
        <v>Impact Testing Machines applications; laboratory research, engineering development, quality control and industrial deployment where applicable. Suitability must be confirmed against the user's sample, process, environment and required standards.</v>
      </c>
      <c r="S427" s="54"/>
      <c r="T427" s="54" t="str">
        <f t="shared" si="97"/>
        <v>Pipe Impact Testing Machine from HST Group</v>
      </c>
      <c r="U427" s="54"/>
      <c r="V427" s="54" t="s">
        <v>2673</v>
      </c>
      <c r="W427" s="54" t="str">
        <f t="shared" si="98"/>
        <v>See other Impact Testing Machines products</v>
      </c>
      <c r="X427" s="54" t="str">
        <f t="shared" si="99"/>
        <v>Impact Testing Machines enquiry → website group enquiry form → category owner assignment</v>
      </c>
      <c r="Y427" s="54" t="str">
        <f t="shared" si="100"/>
        <v>Pipe Impact Testing Machine, Impact Testing Machines, HST Group, technical equipment, DIWAN</v>
      </c>
      <c r="Z427" s="54" t="s">
        <v>2290</v>
      </c>
      <c r="AA427" s="55">
        <v>46257</v>
      </c>
      <c r="AB427" s="54" t="s">
        <v>2465</v>
      </c>
      <c r="AC427" s="63" t="str">
        <f t="shared" si="101"/>
        <v>Content drafted - assets/specs pending</v>
      </c>
      <c r="AD427"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7" s="58"/>
      <c r="AF427" s="58"/>
      <c r="AG427" s="58" t="s">
        <v>2467</v>
      </c>
      <c r="AH427" s="58" t="s">
        <v>2468</v>
      </c>
      <c r="AI427" s="58" t="s">
        <v>2469</v>
      </c>
    </row>
    <row r="428" spans="1:35" ht="42" customHeight="1" x14ac:dyDescent="0.35">
      <c r="A428" s="69">
        <f t="shared" si="92"/>
        <v>71</v>
      </c>
      <c r="B428" s="70" t="s">
        <v>480</v>
      </c>
      <c r="C428" s="71" t="s">
        <v>28</v>
      </c>
      <c r="D428" s="72" t="s">
        <v>12</v>
      </c>
      <c r="E428" s="45" t="s">
        <v>493</v>
      </c>
      <c r="F428" s="49" t="s">
        <v>3033</v>
      </c>
      <c r="G428" s="45" t="s">
        <v>3045</v>
      </c>
      <c r="H428" s="47">
        <v>46257</v>
      </c>
      <c r="I428" s="48" t="s">
        <v>1930</v>
      </c>
      <c r="J428" s="48" t="s">
        <v>1225</v>
      </c>
      <c r="K428" s="48" t="str">
        <f t="shared" si="93"/>
        <v>Pendulum Impact Testing Machine for Plastics is an impact testing machines product from HST Group for application-specific laboratory, engineering or industrial use.</v>
      </c>
      <c r="L428" s="48" t="str">
        <f t="shared" si="94"/>
        <v>Pendulum Impact Testing Machine for Plastics from HST Group for impact testing machines applications. Review configuration requirements and request technical information or a quotation from DIWAN.</v>
      </c>
      <c r="M428" s="48" t="s">
        <v>2020</v>
      </c>
      <c r="N428" s="61" t="s">
        <v>2672</v>
      </c>
      <c r="O428" s="54" t="str" cm="1">
        <f t="array" ref="O428">_xlfn.LET(_xlpm.n,LOWER(E428),_xlpm.c,LOWER(B428),_xlpm.t,_xlfn.IFS(OR(ISNUMBER(SEARCH("lens",_xlpm.n)),ISNUMBER(SEARCH("optic",_xlpm.n)),ISNUMBER(SEARCH("polarizer",_xlpm.n))),"precision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"),E428&amp;" is "&amp;_xlpm.art&amp;_xlpm.t&amp;" from "&amp;C428&amp;" designed for application-specific laboratory, engineering or industrial use. It belongs to DIWAN's "&amp;B428&amp;" portfolio; final configuration must be selected against performance, integration and compliance requirements.")</f>
        <v>Pendulum Impact Testing Machine for Plastics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28" s="54" t="str">
        <f t="shared" si="95"/>
        <v>Selection should confirm the model-specific operating range, capacity, accuracy, interfaces, utilities, accessories, standards, environmental limits and service requirements. Final capabilities depend on the approved Pendulum Impact Testing Machine for Plastics configuration.</v>
      </c>
      <c r="Q428" s="54"/>
      <c r="R428" s="54" t="str">
        <f t="shared" si="96"/>
        <v>Impact Testing Machines applications; laboratory research, engineering development, quality control and industrial deployment where applicable. Suitability must be confirmed against the user's sample, process, environment and required standards.</v>
      </c>
      <c r="S428" s="54"/>
      <c r="T428" s="54" t="str">
        <f t="shared" si="97"/>
        <v>Pendulum Impact Testing Machine for Plastics from HST Group</v>
      </c>
      <c r="U428" s="54"/>
      <c r="V428" s="54" t="s">
        <v>2673</v>
      </c>
      <c r="W428" s="54" t="str">
        <f t="shared" si="98"/>
        <v>See other Impact Testing Machines products</v>
      </c>
      <c r="X428" s="54" t="str">
        <f t="shared" si="99"/>
        <v>Impact Testing Machines enquiry → website group enquiry form → category owner assignment</v>
      </c>
      <c r="Y428" s="54" t="str">
        <f t="shared" si="100"/>
        <v>Pendulum Impact Testing Machine for Plastics, Impact Testing Machines, HST Group, technical equipment, DIWAN</v>
      </c>
      <c r="Z428" s="54" t="s">
        <v>2290</v>
      </c>
      <c r="AA428" s="55">
        <v>46257</v>
      </c>
      <c r="AB428" s="54" t="s">
        <v>2465</v>
      </c>
      <c r="AC428" s="63" t="str">
        <f t="shared" si="101"/>
        <v>Content drafted - assets/specs pending</v>
      </c>
      <c r="AD42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8" s="58"/>
      <c r="AF428" s="58"/>
      <c r="AG428" s="58" t="s">
        <v>2467</v>
      </c>
      <c r="AH428" s="58" t="s">
        <v>2468</v>
      </c>
      <c r="AI428" s="58" t="s">
        <v>2469</v>
      </c>
    </row>
    <row r="429" spans="1:35" ht="42" customHeight="1" x14ac:dyDescent="0.35">
      <c r="A429" s="69">
        <f t="shared" si="92"/>
        <v>71</v>
      </c>
      <c r="B429" s="70" t="s">
        <v>480</v>
      </c>
      <c r="C429" s="71" t="s">
        <v>28</v>
      </c>
      <c r="D429" s="72" t="s">
        <v>12</v>
      </c>
      <c r="E429" s="45" t="s">
        <v>494</v>
      </c>
      <c r="F429" s="49" t="s">
        <v>3033</v>
      </c>
      <c r="G429" s="45" t="s">
        <v>3045</v>
      </c>
      <c r="H429" s="47">
        <v>46257</v>
      </c>
      <c r="I429" s="48" t="s">
        <v>1931</v>
      </c>
      <c r="J429" s="48" t="s">
        <v>1226</v>
      </c>
      <c r="K429" s="48" t="str">
        <f t="shared" si="93"/>
        <v>Falling Weight Impact Testing Machine is an impact testing machines product from HST Group for application-specific laboratory, engineering or industrial use.</v>
      </c>
      <c r="L429" s="48" t="str">
        <f t="shared" si="94"/>
        <v>Falling Weight Impact Testing Machine from HST Group for impact testing machines applications. Review configuration requirements and request technical information or a quotation from DIWAN.</v>
      </c>
      <c r="M429" s="48" t="s">
        <v>2020</v>
      </c>
      <c r="N429" s="61" t="s">
        <v>2672</v>
      </c>
      <c r="O429" s="54" t="str" cm="1">
        <f t="array" ref="O429">_xlfn.LET(_xlpm.n,LOWER(E429),_xlpm.c,LOWER(B429),_xlpm.t,_xlfn.IFS(OR(ISNUMBER(SEARCH("lens",_xlpm.n)),ISNUMBER(SEARCH("optic",_xlpm.n)),ISNUMBER(SEARCH("polarizer",_xlpm.n))),"precision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"),E429&amp;" is "&amp;_xlpm.art&amp;_xlpm.t&amp;" from "&amp;C429&amp;" designed for application-specific laboratory, engineering or industrial use. It belongs to DIWAN's "&amp;B429&amp;" portfolio; final configuration must be selected against performance, integration and compliance requirements.")</f>
        <v>Falling Weight Impact Testing Machine is a materials or component testing system from HST Group designed for application-specific laboratory, engineering or industrial use. It belongs to DIWAN's Impact Testing Machines portfolio; final configuration must be selected against performance, integration and compliance requirements.</v>
      </c>
      <c r="P429" s="54" t="str">
        <f t="shared" si="95"/>
        <v>Selection should confirm the model-specific operating range, capacity, accuracy, interfaces, utilities, accessories, standards, environmental limits and service requirements. Final capabilities depend on the approved Falling Weight Impact Testing Machine configuration.</v>
      </c>
      <c r="Q429" s="54"/>
      <c r="R429" s="54" t="str">
        <f t="shared" si="96"/>
        <v>Impact Testing Machines applications; laboratory research, engineering development, quality control and industrial deployment where applicable. Suitability must be confirmed against the user's sample, process, environment and required standards.</v>
      </c>
      <c r="S429" s="54"/>
      <c r="T429" s="54" t="str">
        <f t="shared" si="97"/>
        <v>Falling Weight Impact Testing Machine from HST Group</v>
      </c>
      <c r="U429" s="54"/>
      <c r="V429" s="54" t="s">
        <v>2673</v>
      </c>
      <c r="W429" s="54" t="str">
        <f t="shared" si="98"/>
        <v>See other Impact Testing Machines products</v>
      </c>
      <c r="X429" s="54" t="str">
        <f t="shared" si="99"/>
        <v>Impact Testing Machines enquiry → website group enquiry form → category owner assignment</v>
      </c>
      <c r="Y429" s="54" t="str">
        <f t="shared" si="100"/>
        <v>Falling Weight Impact Testing Machine, Impact Testing Machines, HST Group, technical equipment, DIWAN</v>
      </c>
      <c r="Z429" s="54" t="s">
        <v>2290</v>
      </c>
      <c r="AA429" s="55">
        <v>46257</v>
      </c>
      <c r="AB429" s="54" t="s">
        <v>2465</v>
      </c>
      <c r="AC429" s="63" t="str">
        <f t="shared" si="101"/>
        <v>Content drafted - assets/specs pending</v>
      </c>
      <c r="AD42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29" s="58"/>
      <c r="AF429" s="58"/>
      <c r="AG429" s="58" t="s">
        <v>2467</v>
      </c>
      <c r="AH429" s="58" t="s">
        <v>2468</v>
      </c>
      <c r="AI429" s="58" t="s">
        <v>2469</v>
      </c>
    </row>
    <row r="430" spans="1:35" ht="42" customHeight="1" thickBot="1" x14ac:dyDescent="0.4">
      <c r="A430" s="69">
        <f t="shared" si="92"/>
        <v>71</v>
      </c>
      <c r="B430" s="70" t="s">
        <v>480</v>
      </c>
      <c r="C430" s="71" t="s">
        <v>28</v>
      </c>
      <c r="D430" s="72" t="s">
        <v>12</v>
      </c>
      <c r="E430" s="45" t="s">
        <v>495</v>
      </c>
      <c r="F430" s="49" t="s">
        <v>3033</v>
      </c>
      <c r="G430" s="45" t="s">
        <v>3045</v>
      </c>
      <c r="H430" s="47">
        <v>46257</v>
      </c>
      <c r="I430" s="48" t="s">
        <v>1932</v>
      </c>
      <c r="J430" s="48" t="s">
        <v>1227</v>
      </c>
      <c r="K430" s="48" t="str">
        <f t="shared" si="93"/>
        <v>Falling Dart Impact Test Machine is an impact testing machines product from HST Group for application-specific laboratory, engineering or industrial use.</v>
      </c>
      <c r="L430" s="48" t="str">
        <f t="shared" si="94"/>
        <v>Falling Dart Impact Test Machine from HST Group for impact testing machines applications. Review configuration requirements and request technical information or a quotation from DIWAN.</v>
      </c>
      <c r="M430" s="48" t="s">
        <v>2020</v>
      </c>
      <c r="N430" s="61" t="s">
        <v>2672</v>
      </c>
      <c r="O430" s="54" t="str" cm="1">
        <f t="array" ref="O430">_xlfn.LET(_xlpm.n,LOWER(E430),_xlpm.c,LOWER(B430),_xlpm.t,_xlfn.IFS(OR(ISNUMBER(SEARCH("lens",_xlpm.n)),ISNUMBER(SEARCH("optic",_xlpm.n)),ISNUMBER(SEARCH("polarizer",_xlpm.n))),"precision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"),E430&amp;" is "&amp;_xlpm.art&amp;_xlpm.t&amp;" from "&amp;C430&amp;" designed for application-specific laboratory, engineering or industrial use. It belongs to DIWAN's "&amp;B430&amp;" portfolio; final configuration must be selected against performance, integration and compliance requirements.")</f>
        <v>Falling Dart Impact Test Machine is a specialized impact testing machines product from HST Group designed for application-specific laboratory, engineering or industrial use. It belongs to DIWAN's Impact Testing Machines portfolio; final configuration must be selected against performance, integration and compliance requirements.</v>
      </c>
      <c r="P430" s="54" t="str">
        <f t="shared" si="95"/>
        <v>Selection should confirm the model-specific operating range, capacity, accuracy, interfaces, utilities, accessories, standards, environmental limits and service requirements. Final capabilities depend on the approved Falling Dart Impact Test Machine configuration.</v>
      </c>
      <c r="Q430" s="54"/>
      <c r="R430" s="54" t="str">
        <f t="shared" si="96"/>
        <v>Impact Testing Machines applications; laboratory research, engineering development, quality control and industrial deployment where applicable. Suitability must be confirmed against the user's sample, process, environment and required standards.</v>
      </c>
      <c r="S430" s="54"/>
      <c r="T430" s="54" t="str">
        <f t="shared" si="97"/>
        <v>Falling Dart Impact Test Machine from HST Group</v>
      </c>
      <c r="U430" s="54"/>
      <c r="V430" s="54" t="s">
        <v>2673</v>
      </c>
      <c r="W430" s="54" t="str">
        <f t="shared" si="98"/>
        <v>See other Impact Testing Machines products</v>
      </c>
      <c r="X430" s="54" t="str">
        <f t="shared" si="99"/>
        <v>Impact Testing Machines enquiry → website group enquiry form → category owner assignment</v>
      </c>
      <c r="Y430" s="54" t="str">
        <f t="shared" si="100"/>
        <v>Falling Dart Impact Test Machine, Impact Testing Machines, HST Group, technical equipment, DIWAN</v>
      </c>
      <c r="Z430" s="54" t="s">
        <v>2290</v>
      </c>
      <c r="AA430" s="55">
        <v>46257</v>
      </c>
      <c r="AB430" s="54" t="s">
        <v>2465</v>
      </c>
      <c r="AC430" s="63" t="str">
        <f t="shared" si="101"/>
        <v>Content drafted - assets/specs pending</v>
      </c>
      <c r="AD43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0" s="58"/>
      <c r="AF430" s="58"/>
      <c r="AG430" s="58" t="s">
        <v>2467</v>
      </c>
      <c r="AH430" s="58" t="s">
        <v>2468</v>
      </c>
      <c r="AI430" s="58" t="s">
        <v>2469</v>
      </c>
    </row>
    <row r="431" spans="1:35" ht="42" customHeight="1" x14ac:dyDescent="0.35">
      <c r="A431" s="69">
        <f t="shared" si="92"/>
        <v>72</v>
      </c>
      <c r="B431" s="74" t="s">
        <v>496</v>
      </c>
      <c r="C431" s="75" t="s">
        <v>28</v>
      </c>
      <c r="D431" s="76" t="s">
        <v>12</v>
      </c>
      <c r="E431" s="77" t="s">
        <v>497</v>
      </c>
      <c r="F431" s="86" t="s">
        <v>3034</v>
      </c>
      <c r="G431" s="77" t="s">
        <v>3045</v>
      </c>
      <c r="H431" s="79">
        <v>46257</v>
      </c>
      <c r="I431" s="80" t="s">
        <v>1933</v>
      </c>
      <c r="J431" s="80" t="s">
        <v>1228</v>
      </c>
      <c r="K431" s="80" t="str">
        <f t="shared" si="93"/>
        <v>Brinell Hardness Tester is a hardness testers product from HST Group for application-specific laboratory, engineering or industrial use.</v>
      </c>
      <c r="L431" s="80" t="str">
        <f t="shared" si="94"/>
        <v>Brinell Hardness Tester from HST Group for hardness testers applications. Review configuration requirements and request technical information or a quotation from DIWAN.</v>
      </c>
      <c r="M431" s="80" t="s">
        <v>2020</v>
      </c>
      <c r="N431" s="81" t="s">
        <v>2672</v>
      </c>
      <c r="O431" s="82" t="str" cm="1">
        <f t="array" ref="O431">_xlfn.LET(_xlpm.n,LOWER(E431),_xlpm.c,LOWER(B431),_xlpm.t,_xlfn.IFS(OR(ISNUMBER(SEARCH("lens",_xlpm.n)),ISNUMBER(SEARCH("optic",_xlpm.n)),ISNUMBER(SEARCH("polarizer",_xlpm.n))),"precision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"),E431&amp;" is "&amp;_xlpm.art&amp;_xlpm.t&amp;" from "&amp;C431&amp;" designed for application-specific laboratory, engineering or industrial use. It belongs to DIWAN's "&amp;B431&amp;" portfolio; final configuration must be selected against performance, integration and compliance requirements.")</f>
        <v>Brinell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1" s="82" t="str">
        <f t="shared" si="95"/>
        <v>Selection should confirm the model-specific operating range, capacity, accuracy, interfaces, utilities, accessories, standards, environmental limits and service requirements. Final capabilities depend on the approved Brinell Hardness Tester configuration.</v>
      </c>
      <c r="Q431" s="82"/>
      <c r="R431" s="82" t="str">
        <f t="shared" si="96"/>
        <v>Hardness Testers applications; laboratory research, engineering development, quality control and industrial deployment where applicable. Suitability must be confirmed against the user's sample, process, environment and required standards.</v>
      </c>
      <c r="S431" s="82"/>
      <c r="T431" s="82" t="str">
        <f t="shared" si="97"/>
        <v>Brinell Hardness Tester from HST Group</v>
      </c>
      <c r="U431" s="82"/>
      <c r="V431" s="82" t="s">
        <v>2673</v>
      </c>
      <c r="W431" s="82" t="str">
        <f t="shared" si="98"/>
        <v>See other Hardness Testers products</v>
      </c>
      <c r="X431" s="82" t="str">
        <f t="shared" si="99"/>
        <v>Hardness Testers enquiry → website group enquiry form → category owner assignment</v>
      </c>
      <c r="Y431" s="82" t="str">
        <f t="shared" si="100"/>
        <v>Brinell Hardness Tester, Hardness Testers, HST Group, technical equipment, DIWAN</v>
      </c>
      <c r="Z431" s="82" t="s">
        <v>2291</v>
      </c>
      <c r="AA431" s="83">
        <v>46257</v>
      </c>
      <c r="AB431" s="82" t="s">
        <v>2465</v>
      </c>
      <c r="AC431" s="84" t="str">
        <f t="shared" si="101"/>
        <v>Content drafted - assets/specs pending</v>
      </c>
      <c r="AD431"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1" s="85"/>
      <c r="AF431" s="85"/>
      <c r="AG431" s="85" t="s">
        <v>2467</v>
      </c>
      <c r="AH431" s="85" t="s">
        <v>2468</v>
      </c>
      <c r="AI431" s="85" t="s">
        <v>2469</v>
      </c>
    </row>
    <row r="432" spans="1:35" ht="42" customHeight="1" x14ac:dyDescent="0.35">
      <c r="A432" s="69">
        <f t="shared" si="92"/>
        <v>72</v>
      </c>
      <c r="B432" s="70" t="s">
        <v>496</v>
      </c>
      <c r="C432" s="71" t="s">
        <v>28</v>
      </c>
      <c r="D432" s="72" t="s">
        <v>12</v>
      </c>
      <c r="E432" s="45" t="s">
        <v>498</v>
      </c>
      <c r="F432" s="49" t="s">
        <v>3034</v>
      </c>
      <c r="G432" s="45" t="s">
        <v>3045</v>
      </c>
      <c r="H432" s="47">
        <v>46257</v>
      </c>
      <c r="I432" s="48" t="s">
        <v>1934</v>
      </c>
      <c r="J432" s="48" t="s">
        <v>1229</v>
      </c>
      <c r="K432" s="48" t="str">
        <f t="shared" si="93"/>
        <v>Rockwell Hardness Tester is a hardness testers product from HST Group for application-specific laboratory, engineering or industrial use.</v>
      </c>
      <c r="L432" s="48" t="str">
        <f t="shared" si="94"/>
        <v>Rockwell Hardness Tester from HST Group for hardness testers applications. Review configuration requirements and request technical information or a quotation from DIWAN.</v>
      </c>
      <c r="M432" s="48" t="s">
        <v>2020</v>
      </c>
      <c r="N432" s="61" t="s">
        <v>2672</v>
      </c>
      <c r="O432" s="54" t="str" cm="1">
        <f t="array" ref="O432">_xlfn.LET(_xlpm.n,LOWER(E432),_xlpm.c,LOWER(B432),_xlpm.t,_xlfn.IFS(OR(ISNUMBER(SEARCH("lens",_xlpm.n)),ISNUMBER(SEARCH("optic",_xlpm.n)),ISNUMBER(SEARCH("polarizer",_xlpm.n))),"precision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"),E432&amp;" is "&amp;_xlpm.art&amp;_xlpm.t&amp;" from "&amp;C432&amp;" designed for application-specific laboratory, engineering or industrial use. It belongs to DIWAN's "&amp;B432&amp;" portfolio; final configuration must be selected against performance, integration and compliance requirements.")</f>
        <v>Rockwell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2" s="54" t="str">
        <f t="shared" si="95"/>
        <v>Selection should confirm the model-specific operating range, capacity, accuracy, interfaces, utilities, accessories, standards, environmental limits and service requirements. Final capabilities depend on the approved Rockwell Hardness Tester configuration.</v>
      </c>
      <c r="Q432" s="54"/>
      <c r="R432" s="54" t="str">
        <f t="shared" si="96"/>
        <v>Hardness Testers applications; laboratory research, engineering development, quality control and industrial deployment where applicable. Suitability must be confirmed against the user's sample, process, environment and required standards.</v>
      </c>
      <c r="S432" s="54"/>
      <c r="T432" s="54" t="str">
        <f t="shared" si="97"/>
        <v>Rockwell Hardness Tester from HST Group</v>
      </c>
      <c r="U432" s="54"/>
      <c r="V432" s="54" t="s">
        <v>2673</v>
      </c>
      <c r="W432" s="54" t="str">
        <f t="shared" si="98"/>
        <v>See other Hardness Testers products</v>
      </c>
      <c r="X432" s="54" t="str">
        <f t="shared" si="99"/>
        <v>Hardness Testers enquiry → website group enquiry form → category owner assignment</v>
      </c>
      <c r="Y432" s="54" t="str">
        <f t="shared" si="100"/>
        <v>Rockwell Hardness Tester, Hardness Testers, HST Group, technical equipment, DIWAN</v>
      </c>
      <c r="Z432" s="54" t="s">
        <v>2291</v>
      </c>
      <c r="AA432" s="55">
        <v>46257</v>
      </c>
      <c r="AB432" s="54" t="s">
        <v>2465</v>
      </c>
      <c r="AC432" s="63" t="str">
        <f t="shared" si="101"/>
        <v>Content drafted - assets/specs pending</v>
      </c>
      <c r="AD43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2" s="58"/>
      <c r="AF432" s="58"/>
      <c r="AG432" s="58" t="s">
        <v>2467</v>
      </c>
      <c r="AH432" s="58" t="s">
        <v>2468</v>
      </c>
      <c r="AI432" s="58" t="s">
        <v>2469</v>
      </c>
    </row>
    <row r="433" spans="1:35" ht="42" customHeight="1" x14ac:dyDescent="0.35">
      <c r="A433" s="69">
        <f t="shared" si="92"/>
        <v>72</v>
      </c>
      <c r="B433" s="70" t="s">
        <v>496</v>
      </c>
      <c r="C433" s="71" t="s">
        <v>28</v>
      </c>
      <c r="D433" s="72" t="s">
        <v>12</v>
      </c>
      <c r="E433" s="45" t="s">
        <v>499</v>
      </c>
      <c r="F433" s="49" t="s">
        <v>3034</v>
      </c>
      <c r="G433" s="45" t="s">
        <v>3045</v>
      </c>
      <c r="H433" s="47">
        <v>46257</v>
      </c>
      <c r="I433" s="48" t="s">
        <v>1935</v>
      </c>
      <c r="J433" s="48" t="s">
        <v>1230</v>
      </c>
      <c r="K433" s="48" t="str">
        <f t="shared" si="93"/>
        <v>Vickers Hardness Tester is a hardness testers product from HST Group for application-specific laboratory, engineering or industrial use.</v>
      </c>
      <c r="L433" s="48" t="str">
        <f t="shared" si="94"/>
        <v>Vickers Hardness Tester from HST Group for hardness testers applications. Review configuration requirements and request technical information or a quotation from DIWAN.</v>
      </c>
      <c r="M433" s="48" t="s">
        <v>2020</v>
      </c>
      <c r="N433" s="61" t="s">
        <v>2672</v>
      </c>
      <c r="O433" s="54" t="str" cm="1">
        <f t="array" ref="O433">_xlfn.LET(_xlpm.n,LOWER(E433),_xlpm.c,LOWER(B433),_xlpm.t,_xlfn.IFS(OR(ISNUMBER(SEARCH("lens",_xlpm.n)),ISNUMBER(SEARCH("optic",_xlpm.n)),ISNUMBER(SEARCH("polarizer",_xlpm.n))),"precision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"),E433&amp;" is "&amp;_xlpm.art&amp;_xlpm.t&amp;" from "&amp;C433&amp;" designed for application-specific laboratory, engineering or industrial use. It belongs to DIWAN's "&amp;B433&amp;" portfolio; final configuration must be selected against performance, integration and compliance requirements.")</f>
        <v>Vickers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3" s="54" t="str">
        <f t="shared" si="95"/>
        <v>Selection should confirm the model-specific operating range, capacity, accuracy, interfaces, utilities, accessories, standards, environmental limits and service requirements. Final capabilities depend on the approved Vickers Hardness Tester configuration.</v>
      </c>
      <c r="Q433" s="54"/>
      <c r="R433" s="54" t="str">
        <f t="shared" si="96"/>
        <v>Hardness Testers applications; laboratory research, engineering development, quality control and industrial deployment where applicable. Suitability must be confirmed against the user's sample, process, environment and required standards.</v>
      </c>
      <c r="S433" s="54"/>
      <c r="T433" s="54" t="str">
        <f t="shared" si="97"/>
        <v>Vickers Hardness Tester from HST Group</v>
      </c>
      <c r="U433" s="54"/>
      <c r="V433" s="54" t="s">
        <v>2673</v>
      </c>
      <c r="W433" s="54" t="str">
        <f t="shared" si="98"/>
        <v>See other Hardness Testers products</v>
      </c>
      <c r="X433" s="54" t="str">
        <f t="shared" si="99"/>
        <v>Hardness Testers enquiry → website group enquiry form → category owner assignment</v>
      </c>
      <c r="Y433" s="54" t="str">
        <f t="shared" si="100"/>
        <v>Vickers Hardness Tester, Hardness Testers, HST Group, technical equipment, DIWAN</v>
      </c>
      <c r="Z433" s="54" t="s">
        <v>2291</v>
      </c>
      <c r="AA433" s="55">
        <v>46257</v>
      </c>
      <c r="AB433" s="54" t="s">
        <v>2465</v>
      </c>
      <c r="AC433" s="63" t="str">
        <f t="shared" si="101"/>
        <v>Content drafted - assets/specs pending</v>
      </c>
      <c r="AD43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3" s="58"/>
      <c r="AF433" s="58"/>
      <c r="AG433" s="58" t="s">
        <v>2467</v>
      </c>
      <c r="AH433" s="58" t="s">
        <v>2468</v>
      </c>
      <c r="AI433" s="58" t="s">
        <v>2469</v>
      </c>
    </row>
    <row r="434" spans="1:35" ht="42" customHeight="1" x14ac:dyDescent="0.35">
      <c r="A434" s="69">
        <f t="shared" si="92"/>
        <v>72</v>
      </c>
      <c r="B434" s="70" t="s">
        <v>496</v>
      </c>
      <c r="C434" s="71" t="s">
        <v>28</v>
      </c>
      <c r="D434" s="72" t="s">
        <v>12</v>
      </c>
      <c r="E434" s="45" t="s">
        <v>500</v>
      </c>
      <c r="F434" s="49" t="s">
        <v>3034</v>
      </c>
      <c r="G434" s="45" t="s">
        <v>3045</v>
      </c>
      <c r="H434" s="47">
        <v>46257</v>
      </c>
      <c r="I434" s="48" t="s">
        <v>1936</v>
      </c>
      <c r="J434" s="48" t="s">
        <v>1231</v>
      </c>
      <c r="K434" s="48" t="str">
        <f t="shared" si="93"/>
        <v>Shore Hardness Tester is a hardness testers product from HST Group for application-specific laboratory, engineering or industrial use.</v>
      </c>
      <c r="L434" s="48" t="str">
        <f t="shared" si="94"/>
        <v>Shore Hardness Tester from HST Group for hardness testers applications. Review configuration requirements and request technical information or a quotation from DIWAN.</v>
      </c>
      <c r="M434" s="48" t="s">
        <v>2020</v>
      </c>
      <c r="N434" s="61" t="s">
        <v>2672</v>
      </c>
      <c r="O434" s="54" t="str" cm="1">
        <f t="array" ref="O434">_xlfn.LET(_xlpm.n,LOWER(E434),_xlpm.c,LOWER(B434),_xlpm.t,_xlfn.IFS(OR(ISNUMBER(SEARCH("lens",_xlpm.n)),ISNUMBER(SEARCH("optic",_xlpm.n)),ISNUMBER(SEARCH("polarizer",_xlpm.n))),"precision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"),E434&amp;" is "&amp;_xlpm.art&amp;_xlpm.t&amp;" from "&amp;C434&amp;" designed for application-specific laboratory, engineering or industrial use. It belongs to DIWAN's "&amp;B434&amp;" portfolio; final configuration must be selected against performance, integration and compliance requirements.")</f>
        <v>Shore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4" s="54" t="str">
        <f t="shared" si="95"/>
        <v>Selection should confirm the model-specific operating range, capacity, accuracy, interfaces, utilities, accessories, standards, environmental limits and service requirements. Final capabilities depend on the approved Shore Hardness Tester configuration.</v>
      </c>
      <c r="Q434" s="54"/>
      <c r="R434" s="54" t="str">
        <f t="shared" si="96"/>
        <v>Hardness Testers applications; laboratory research, engineering development, quality control and industrial deployment where applicable. Suitability must be confirmed against the user's sample, process, environment and required standards.</v>
      </c>
      <c r="S434" s="54"/>
      <c r="T434" s="54" t="str">
        <f t="shared" si="97"/>
        <v>Shore Hardness Tester from HST Group</v>
      </c>
      <c r="U434" s="54"/>
      <c r="V434" s="54" t="s">
        <v>2673</v>
      </c>
      <c r="W434" s="54" t="str">
        <f t="shared" si="98"/>
        <v>See other Hardness Testers products</v>
      </c>
      <c r="X434" s="54" t="str">
        <f t="shared" si="99"/>
        <v>Hardness Testers enquiry → website group enquiry form → category owner assignment</v>
      </c>
      <c r="Y434" s="54" t="str">
        <f t="shared" si="100"/>
        <v>Shore Hardness Tester, Hardness Testers, HST Group, technical equipment, DIWAN</v>
      </c>
      <c r="Z434" s="54" t="s">
        <v>2291</v>
      </c>
      <c r="AA434" s="55">
        <v>46257</v>
      </c>
      <c r="AB434" s="54" t="s">
        <v>2465</v>
      </c>
      <c r="AC434" s="63" t="str">
        <f t="shared" si="101"/>
        <v>Content drafted - assets/specs pending</v>
      </c>
      <c r="AD43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4" s="58"/>
      <c r="AF434" s="58"/>
      <c r="AG434" s="58" t="s">
        <v>2467</v>
      </c>
      <c r="AH434" s="58" t="s">
        <v>2468</v>
      </c>
      <c r="AI434" s="58" t="s">
        <v>2469</v>
      </c>
    </row>
    <row r="435" spans="1:35" ht="42" customHeight="1" x14ac:dyDescent="0.35">
      <c r="A435" s="69">
        <f t="shared" si="92"/>
        <v>72</v>
      </c>
      <c r="B435" s="70" t="s">
        <v>496</v>
      </c>
      <c r="C435" s="71" t="s">
        <v>28</v>
      </c>
      <c r="D435" s="72" t="s">
        <v>12</v>
      </c>
      <c r="E435" s="45" t="s">
        <v>501</v>
      </c>
      <c r="F435" s="49" t="s">
        <v>3034</v>
      </c>
      <c r="G435" s="45" t="s">
        <v>3045</v>
      </c>
      <c r="H435" s="47">
        <v>46257</v>
      </c>
      <c r="I435" s="48" t="s">
        <v>1937</v>
      </c>
      <c r="J435" s="48" t="s">
        <v>1232</v>
      </c>
      <c r="K435" s="48" t="str">
        <f t="shared" si="93"/>
        <v>Webster Hardness Tester is a hardness testers product from HST Group for application-specific laboratory, engineering or industrial use.</v>
      </c>
      <c r="L435" s="48" t="str">
        <f t="shared" si="94"/>
        <v>Webster Hardness Tester from HST Group for hardness testers applications. Review configuration requirements and request technical information or a quotation from DIWAN.</v>
      </c>
      <c r="M435" s="48" t="s">
        <v>2020</v>
      </c>
      <c r="N435" s="61" t="s">
        <v>2672</v>
      </c>
      <c r="O435" s="54" t="str" cm="1">
        <f t="array" ref="O435">_xlfn.LET(_xlpm.n,LOWER(E435),_xlpm.c,LOWER(B435),_xlpm.t,_xlfn.IFS(OR(ISNUMBER(SEARCH("lens",_xlpm.n)),ISNUMBER(SEARCH("optic",_xlpm.n)),ISNUMBER(SEARCH("polarizer",_xlpm.n))),"precision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"),E435&amp;" is "&amp;_xlpm.art&amp;_xlpm.t&amp;" from "&amp;C435&amp;" designed for application-specific laboratory, engineering or industrial use. It belongs to DIWAN's "&amp;B435&amp;" portfolio; final configuration must be selected against performance, integration and compliance requirements.")</f>
        <v>Webster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5" s="54" t="str">
        <f t="shared" si="95"/>
        <v>Selection should confirm the model-specific operating range, capacity, accuracy, interfaces, utilities, accessories, standards, environmental limits and service requirements. Final capabilities depend on the approved Webster Hardness Tester configuration.</v>
      </c>
      <c r="Q435" s="54"/>
      <c r="R435" s="54" t="str">
        <f t="shared" si="96"/>
        <v>Hardness Testers applications; laboratory research, engineering development, quality control and industrial deployment where applicable. Suitability must be confirmed against the user's sample, process, environment and required standards.</v>
      </c>
      <c r="S435" s="54"/>
      <c r="T435" s="54" t="str">
        <f t="shared" si="97"/>
        <v>Webster Hardness Tester from HST Group</v>
      </c>
      <c r="U435" s="54"/>
      <c r="V435" s="54" t="s">
        <v>2673</v>
      </c>
      <c r="W435" s="54" t="str">
        <f t="shared" si="98"/>
        <v>See other Hardness Testers products</v>
      </c>
      <c r="X435" s="54" t="str">
        <f t="shared" si="99"/>
        <v>Hardness Testers enquiry → website group enquiry form → category owner assignment</v>
      </c>
      <c r="Y435" s="54" t="str">
        <f t="shared" si="100"/>
        <v>Webster Hardness Tester, Hardness Testers, HST Group, technical equipment, DIWAN</v>
      </c>
      <c r="Z435" s="54" t="s">
        <v>2291</v>
      </c>
      <c r="AA435" s="55">
        <v>46257</v>
      </c>
      <c r="AB435" s="54" t="s">
        <v>2465</v>
      </c>
      <c r="AC435" s="63" t="str">
        <f t="shared" si="101"/>
        <v>Content drafted - assets/specs pending</v>
      </c>
      <c r="AD435"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5" s="58"/>
      <c r="AF435" s="58"/>
      <c r="AG435" s="58" t="s">
        <v>2467</v>
      </c>
      <c r="AH435" s="58" t="s">
        <v>2468</v>
      </c>
      <c r="AI435" s="58" t="s">
        <v>2469</v>
      </c>
    </row>
    <row r="436" spans="1:35" ht="42" customHeight="1" x14ac:dyDescent="0.35">
      <c r="A436" s="69">
        <f t="shared" si="92"/>
        <v>72</v>
      </c>
      <c r="B436" s="70" t="s">
        <v>496</v>
      </c>
      <c r="C436" s="71" t="s">
        <v>28</v>
      </c>
      <c r="D436" s="72" t="s">
        <v>12</v>
      </c>
      <c r="E436" s="45" t="s">
        <v>502</v>
      </c>
      <c r="F436" s="49" t="s">
        <v>3034</v>
      </c>
      <c r="G436" s="45" t="s">
        <v>3045</v>
      </c>
      <c r="H436" s="47">
        <v>46257</v>
      </c>
      <c r="I436" s="48" t="s">
        <v>1938</v>
      </c>
      <c r="J436" s="48" t="s">
        <v>1233</v>
      </c>
      <c r="K436" s="48" t="str">
        <f t="shared" si="93"/>
        <v>Leeb Hardness Tester is a hardness testers product from HST Group for application-specific laboratory, engineering or industrial use.</v>
      </c>
      <c r="L436" s="48" t="str">
        <f t="shared" si="94"/>
        <v>Leeb Hardness Tester from HST Group for hardness testers applications. Review configuration requirements and request technical information or a quotation from DIWAN.</v>
      </c>
      <c r="M436" s="48" t="s">
        <v>2020</v>
      </c>
      <c r="N436" s="61" t="s">
        <v>2672</v>
      </c>
      <c r="O436" s="54" t="str" cm="1">
        <f t="array" ref="O436">_xlfn.LET(_xlpm.n,LOWER(E436),_xlpm.c,LOWER(B436),_xlpm.t,_xlfn.IFS(OR(ISNUMBER(SEARCH("lens",_xlpm.n)),ISNUMBER(SEARCH("optic",_xlpm.n)),ISNUMBER(SEARCH("polarizer",_xlpm.n))),"precision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"),E436&amp;" is "&amp;_xlpm.art&amp;_xlpm.t&amp;" from "&amp;C436&amp;" designed for application-specific laboratory, engineering or industrial use. It belongs to DIWAN's "&amp;B436&amp;" portfolio; final configuration must be selected against performance, integration and compliance requirements.")</f>
        <v>Leeb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6" s="54" t="str">
        <f t="shared" si="95"/>
        <v>Selection should confirm the model-specific operating range, capacity, accuracy, interfaces, utilities, accessories, standards, environmental limits and service requirements. Final capabilities depend on the approved Leeb Hardness Tester configuration.</v>
      </c>
      <c r="Q436" s="54"/>
      <c r="R436" s="54" t="str">
        <f t="shared" si="96"/>
        <v>Hardness Testers applications; laboratory research, engineering development, quality control and industrial deployment where applicable. Suitability must be confirmed against the user's sample, process, environment and required standards.</v>
      </c>
      <c r="S436" s="54"/>
      <c r="T436" s="54" t="str">
        <f t="shared" si="97"/>
        <v>Leeb Hardness Tester from HST Group</v>
      </c>
      <c r="U436" s="54"/>
      <c r="V436" s="54" t="s">
        <v>2673</v>
      </c>
      <c r="W436" s="54" t="str">
        <f t="shared" si="98"/>
        <v>See other Hardness Testers products</v>
      </c>
      <c r="X436" s="54" t="str">
        <f t="shared" si="99"/>
        <v>Hardness Testers enquiry → website group enquiry form → category owner assignment</v>
      </c>
      <c r="Y436" s="54" t="str">
        <f t="shared" si="100"/>
        <v>Leeb Hardness Tester, Hardness Testers, HST Group, technical equipment, DIWAN</v>
      </c>
      <c r="Z436" s="54" t="s">
        <v>2291</v>
      </c>
      <c r="AA436" s="55">
        <v>46257</v>
      </c>
      <c r="AB436" s="54" t="s">
        <v>2465</v>
      </c>
      <c r="AC436" s="63" t="str">
        <f t="shared" si="101"/>
        <v>Content drafted - assets/specs pending</v>
      </c>
      <c r="AD43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6" s="58"/>
      <c r="AF436" s="58"/>
      <c r="AG436" s="58" t="s">
        <v>2467</v>
      </c>
      <c r="AH436" s="58" t="s">
        <v>2468</v>
      </c>
      <c r="AI436" s="58" t="s">
        <v>2469</v>
      </c>
    </row>
    <row r="437" spans="1:35" ht="42" customHeight="1" x14ac:dyDescent="0.35">
      <c r="A437" s="69">
        <f t="shared" si="92"/>
        <v>72</v>
      </c>
      <c r="B437" s="70" t="s">
        <v>496</v>
      </c>
      <c r="C437" s="71" t="s">
        <v>28</v>
      </c>
      <c r="D437" s="72" t="s">
        <v>12</v>
      </c>
      <c r="E437" s="45" t="s">
        <v>503</v>
      </c>
      <c r="F437" s="49" t="s">
        <v>3034</v>
      </c>
      <c r="G437" s="45" t="s">
        <v>3045</v>
      </c>
      <c r="H437" s="47">
        <v>46257</v>
      </c>
      <c r="I437" s="48" t="s">
        <v>1939</v>
      </c>
      <c r="J437" s="48" t="s">
        <v>1234</v>
      </c>
      <c r="K437" s="48" t="str">
        <f t="shared" si="93"/>
        <v>Barcol Hardness Tester is a hardness testers product from HST Group for application-specific laboratory, engineering or industrial use.</v>
      </c>
      <c r="L437" s="48" t="str">
        <f t="shared" si="94"/>
        <v>Barcol Hardness Tester from HST Group for hardness testers applications. Review configuration requirements and request technical information or a quotation from DIWAN.</v>
      </c>
      <c r="M437" s="48" t="s">
        <v>2020</v>
      </c>
      <c r="N437" s="61" t="s">
        <v>2672</v>
      </c>
      <c r="O437" s="54" t="str" cm="1">
        <f t="array" ref="O437">_xlfn.LET(_xlpm.n,LOWER(E437),_xlpm.c,LOWER(B437),_xlpm.t,_xlfn.IFS(OR(ISNUMBER(SEARCH("lens",_xlpm.n)),ISNUMBER(SEARCH("optic",_xlpm.n)),ISNUMBER(SEARCH("polarizer",_xlpm.n))),"precision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"),E437&amp;" is "&amp;_xlpm.art&amp;_xlpm.t&amp;" from "&amp;C437&amp;" designed for application-specific laboratory, engineering or industrial use. It belongs to DIWAN's "&amp;B437&amp;" portfolio; final configuration must be selected against performance, integration and compliance requirements.")</f>
        <v>Barcol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7" s="54" t="str">
        <f t="shared" si="95"/>
        <v>Selection should confirm the model-specific operating range, capacity, accuracy, interfaces, utilities, accessories, standards, environmental limits and service requirements. Final capabilities depend on the approved Barcol Hardness Tester configuration.</v>
      </c>
      <c r="Q437" s="54"/>
      <c r="R437" s="54" t="str">
        <f t="shared" si="96"/>
        <v>Hardness Testers applications; laboratory research, engineering development, quality control and industrial deployment where applicable. Suitability must be confirmed against the user's sample, process, environment and required standards.</v>
      </c>
      <c r="S437" s="54"/>
      <c r="T437" s="54" t="str">
        <f t="shared" si="97"/>
        <v>Barcol Hardness Tester from HST Group</v>
      </c>
      <c r="U437" s="54"/>
      <c r="V437" s="54" t="s">
        <v>2673</v>
      </c>
      <c r="W437" s="54" t="str">
        <f t="shared" si="98"/>
        <v>See other Hardness Testers products</v>
      </c>
      <c r="X437" s="54" t="str">
        <f t="shared" si="99"/>
        <v>Hardness Testers enquiry → website group enquiry form → category owner assignment</v>
      </c>
      <c r="Y437" s="54" t="str">
        <f t="shared" si="100"/>
        <v>Barcol Hardness Tester, Hardness Testers, HST Group, technical equipment, DIWAN</v>
      </c>
      <c r="Z437" s="54" t="s">
        <v>2291</v>
      </c>
      <c r="AA437" s="55">
        <v>46257</v>
      </c>
      <c r="AB437" s="54" t="s">
        <v>2465</v>
      </c>
      <c r="AC437" s="63" t="str">
        <f t="shared" si="101"/>
        <v>Content drafted - assets/specs pending</v>
      </c>
      <c r="AD437"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7" s="58"/>
      <c r="AF437" s="58"/>
      <c r="AG437" s="58" t="s">
        <v>2467</v>
      </c>
      <c r="AH437" s="58" t="s">
        <v>2468</v>
      </c>
      <c r="AI437" s="58" t="s">
        <v>2469</v>
      </c>
    </row>
    <row r="438" spans="1:35" ht="42" customHeight="1" x14ac:dyDescent="0.35">
      <c r="A438" s="69">
        <f t="shared" si="92"/>
        <v>72</v>
      </c>
      <c r="B438" s="70" t="s">
        <v>496</v>
      </c>
      <c r="C438" s="71" t="s">
        <v>28</v>
      </c>
      <c r="D438" s="72" t="s">
        <v>12</v>
      </c>
      <c r="E438" s="45" t="s">
        <v>504</v>
      </c>
      <c r="F438" s="49" t="s">
        <v>3034</v>
      </c>
      <c r="G438" s="45" t="s">
        <v>3045</v>
      </c>
      <c r="H438" s="47">
        <v>46257</v>
      </c>
      <c r="I438" s="48" t="s">
        <v>1940</v>
      </c>
      <c r="J438" s="48" t="s">
        <v>1235</v>
      </c>
      <c r="K438" s="48" t="str">
        <f t="shared" si="93"/>
        <v>Rockwell Superficial Hardness Tester is a hardness testers product from HST Group for application-specific laboratory, engineering or industrial use.</v>
      </c>
      <c r="L438" s="48" t="str">
        <f t="shared" si="94"/>
        <v>Rockwell Superficial Hardness Tester from HST Group for hardness testers applications. Review configuration requirements and request technical information or a quotation from DIWAN.</v>
      </c>
      <c r="M438" s="48" t="s">
        <v>2020</v>
      </c>
      <c r="N438" s="61" t="s">
        <v>2672</v>
      </c>
      <c r="O438" s="54" t="str" cm="1">
        <f t="array" ref="O438">_xlfn.LET(_xlpm.n,LOWER(E438),_xlpm.c,LOWER(B438),_xlpm.t,_xlfn.IFS(OR(ISNUMBER(SEARCH("lens",_xlpm.n)),ISNUMBER(SEARCH("optic",_xlpm.n)),ISNUMBER(SEARCH("polarizer",_xlpm.n))),"precision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"),E438&amp;" is "&amp;_xlpm.art&amp;_xlpm.t&amp;" from "&amp;C438&amp;" designed for application-specific laboratory, engineering or industrial use. It belongs to DIWAN's "&amp;B438&amp;" portfolio; final configuration must be selected against performance, integration and compliance requirements.")</f>
        <v>Rockwell Superficial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8" s="54" t="str">
        <f t="shared" si="95"/>
        <v>Selection should confirm the model-specific operating range, capacity, accuracy, interfaces, utilities, accessories, standards, environmental limits and service requirements. Final capabilities depend on the approved Rockwell Superficial Hardness Tester configuration.</v>
      </c>
      <c r="Q438" s="54"/>
      <c r="R438" s="54" t="str">
        <f t="shared" si="96"/>
        <v>Hardness Testers applications; laboratory research, engineering development, quality control and industrial deployment where applicable. Suitability must be confirmed against the user's sample, process, environment and required standards.</v>
      </c>
      <c r="S438" s="54"/>
      <c r="T438" s="54" t="str">
        <f t="shared" si="97"/>
        <v>Rockwell Superficial Hardness Tester from HST Group</v>
      </c>
      <c r="U438" s="54"/>
      <c r="V438" s="54" t="s">
        <v>2673</v>
      </c>
      <c r="W438" s="54" t="str">
        <f t="shared" si="98"/>
        <v>See other Hardness Testers products</v>
      </c>
      <c r="X438" s="54" t="str">
        <f t="shared" si="99"/>
        <v>Hardness Testers enquiry → website group enquiry form → category owner assignment</v>
      </c>
      <c r="Y438" s="54" t="str">
        <f t="shared" si="100"/>
        <v>Rockwell Superficial Hardness Tester, Hardness Testers, HST Group, technical equipment, DIWAN</v>
      </c>
      <c r="Z438" s="54" t="s">
        <v>2291</v>
      </c>
      <c r="AA438" s="55">
        <v>46257</v>
      </c>
      <c r="AB438" s="54" t="s">
        <v>2465</v>
      </c>
      <c r="AC438" s="63" t="str">
        <f t="shared" si="101"/>
        <v>Content drafted - assets/specs pending</v>
      </c>
      <c r="AD43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8" s="58"/>
      <c r="AF438" s="58"/>
      <c r="AG438" s="58" t="s">
        <v>2467</v>
      </c>
      <c r="AH438" s="58" t="s">
        <v>2468</v>
      </c>
      <c r="AI438" s="58" t="s">
        <v>2469</v>
      </c>
    </row>
    <row r="439" spans="1:35" ht="42" customHeight="1" x14ac:dyDescent="0.35">
      <c r="A439" s="69">
        <f t="shared" si="92"/>
        <v>72</v>
      </c>
      <c r="B439" s="70" t="s">
        <v>496</v>
      </c>
      <c r="C439" s="71" t="s">
        <v>28</v>
      </c>
      <c r="D439" s="72" t="s">
        <v>12</v>
      </c>
      <c r="E439" s="45" t="s">
        <v>505</v>
      </c>
      <c r="F439" s="49" t="s">
        <v>3034</v>
      </c>
      <c r="G439" s="45" t="s">
        <v>3045</v>
      </c>
      <c r="H439" s="47">
        <v>46257</v>
      </c>
      <c r="I439" s="48" t="s">
        <v>1941</v>
      </c>
      <c r="J439" s="48" t="s">
        <v>1236</v>
      </c>
      <c r="K439" s="48" t="str">
        <f t="shared" si="93"/>
        <v>Portable Hardness Tester is a hardness testers product from HST Group for application-specific laboratory, engineering or industrial use.</v>
      </c>
      <c r="L439" s="48" t="str">
        <f t="shared" si="94"/>
        <v>Portable Hardness Tester from HST Group for hardness testers applications. Review configuration requirements and request technical information or a quotation from DIWAN.</v>
      </c>
      <c r="M439" s="48" t="s">
        <v>2020</v>
      </c>
      <c r="N439" s="61" t="s">
        <v>2672</v>
      </c>
      <c r="O439" s="54" t="str" cm="1">
        <f t="array" ref="O439">_xlfn.LET(_xlpm.n,LOWER(E439),_xlpm.c,LOWER(B439),_xlpm.t,_xlfn.IFS(OR(ISNUMBER(SEARCH("lens",_xlpm.n)),ISNUMBER(SEARCH("optic",_xlpm.n)),ISNUMBER(SEARCH("polarizer",_xlpm.n))),"precision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"),E439&amp;" is "&amp;_xlpm.art&amp;_xlpm.t&amp;" from "&amp;C439&amp;" designed for application-specific laboratory, engineering or industrial use. It belongs to DIWAN's "&amp;B439&amp;" portfolio; final configuration must be selected against performance, integration and compliance requirements.")</f>
        <v>Portable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39" s="54" t="str">
        <f t="shared" si="95"/>
        <v>Selection should confirm the model-specific operating range, capacity, accuracy, interfaces, utilities, accessories, standards, environmental limits and service requirements. Final capabilities depend on the approved Portable Hardness Tester configuration.</v>
      </c>
      <c r="Q439" s="54"/>
      <c r="R439" s="54" t="str">
        <f t="shared" si="96"/>
        <v>Hardness Testers applications; laboratory research, engineering development, quality control and industrial deployment where applicable. Suitability must be confirmed against the user's sample, process, environment and required standards.</v>
      </c>
      <c r="S439" s="54"/>
      <c r="T439" s="54" t="str">
        <f t="shared" si="97"/>
        <v>Portable Hardness Tester from HST Group</v>
      </c>
      <c r="U439" s="54"/>
      <c r="V439" s="54" t="s">
        <v>2673</v>
      </c>
      <c r="W439" s="54" t="str">
        <f t="shared" si="98"/>
        <v>See other Hardness Testers products</v>
      </c>
      <c r="X439" s="54" t="str">
        <f t="shared" si="99"/>
        <v>Hardness Testers enquiry → website group enquiry form → category owner assignment</v>
      </c>
      <c r="Y439" s="54" t="str">
        <f t="shared" si="100"/>
        <v>Portable Hardness Tester, Hardness Testers, HST Group, technical equipment, DIWAN</v>
      </c>
      <c r="Z439" s="54" t="s">
        <v>2291</v>
      </c>
      <c r="AA439" s="55">
        <v>46257</v>
      </c>
      <c r="AB439" s="54" t="s">
        <v>2465</v>
      </c>
      <c r="AC439" s="63" t="str">
        <f t="shared" si="101"/>
        <v>Content drafted - assets/specs pending</v>
      </c>
      <c r="AD43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39" s="58"/>
      <c r="AF439" s="58"/>
      <c r="AG439" s="58" t="s">
        <v>2467</v>
      </c>
      <c r="AH439" s="58" t="s">
        <v>2468</v>
      </c>
      <c r="AI439" s="58" t="s">
        <v>2469</v>
      </c>
    </row>
    <row r="440" spans="1:35" ht="42" customHeight="1" x14ac:dyDescent="0.35">
      <c r="A440" s="69">
        <f t="shared" si="92"/>
        <v>72</v>
      </c>
      <c r="B440" s="70" t="s">
        <v>496</v>
      </c>
      <c r="C440" s="71" t="s">
        <v>28</v>
      </c>
      <c r="D440" s="72" t="s">
        <v>12</v>
      </c>
      <c r="E440" s="45" t="s">
        <v>506</v>
      </c>
      <c r="F440" s="49" t="s">
        <v>3034</v>
      </c>
      <c r="G440" s="45" t="s">
        <v>3045</v>
      </c>
      <c r="H440" s="47">
        <v>46257</v>
      </c>
      <c r="I440" s="48" t="s">
        <v>1942</v>
      </c>
      <c r="J440" s="48" t="s">
        <v>1237</v>
      </c>
      <c r="K440" s="48" t="str">
        <f t="shared" si="93"/>
        <v>Universal Hardness Tester is a hardness testers product from HST Group for application-specific laboratory, engineering or industrial use.</v>
      </c>
      <c r="L440" s="48" t="str">
        <f t="shared" si="94"/>
        <v>Universal Hardness Tester from HST Group for hardness testers applications. Review configuration requirements and request technical information or a quotation from DIWAN.</v>
      </c>
      <c r="M440" s="48" t="s">
        <v>2020</v>
      </c>
      <c r="N440" s="61" t="s">
        <v>2672</v>
      </c>
      <c r="O440" s="54" t="str" cm="1">
        <f t="array" ref="O440">_xlfn.LET(_xlpm.n,LOWER(E440),_xlpm.c,LOWER(B440),_xlpm.t,_xlfn.IFS(OR(ISNUMBER(SEARCH("lens",_xlpm.n)),ISNUMBER(SEARCH("optic",_xlpm.n)),ISNUMBER(SEARCH("polarizer",_xlpm.n))),"precision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"),E440&amp;" is "&amp;_xlpm.art&amp;_xlpm.t&amp;" from "&amp;C440&amp;" designed for application-specific laboratory, engineering or industrial use. It belongs to DIWAN's "&amp;B440&amp;" portfolio; final configuration must be selected against performance, integration and compliance requirements.")</f>
        <v>Universal Hardness Tester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40" s="54" t="str">
        <f t="shared" si="95"/>
        <v>Selection should confirm the model-specific operating range, capacity, accuracy, interfaces, utilities, accessories, standards, environmental limits and service requirements. Final capabilities depend on the approved Universal Hardness Tester configuration.</v>
      </c>
      <c r="Q440" s="54"/>
      <c r="R440" s="54" t="str">
        <f t="shared" si="96"/>
        <v>Hardness Testers applications; laboratory research, engineering development, quality control and industrial deployment where applicable. Suitability must be confirmed against the user's sample, process, environment and required standards.</v>
      </c>
      <c r="S440" s="54"/>
      <c r="T440" s="54" t="str">
        <f t="shared" si="97"/>
        <v>Universal Hardness Tester from HST Group</v>
      </c>
      <c r="U440" s="54"/>
      <c r="V440" s="54" t="s">
        <v>2673</v>
      </c>
      <c r="W440" s="54" t="str">
        <f t="shared" si="98"/>
        <v>See other Hardness Testers products</v>
      </c>
      <c r="X440" s="54" t="str">
        <f t="shared" si="99"/>
        <v>Hardness Testers enquiry → website group enquiry form → category owner assignment</v>
      </c>
      <c r="Y440" s="54" t="str">
        <f t="shared" si="100"/>
        <v>Universal Hardness Tester, Hardness Testers, HST Group, technical equipment, DIWAN</v>
      </c>
      <c r="Z440" s="54" t="s">
        <v>2291</v>
      </c>
      <c r="AA440" s="55">
        <v>46257</v>
      </c>
      <c r="AB440" s="54" t="s">
        <v>2465</v>
      </c>
      <c r="AC440" s="63" t="str">
        <f t="shared" si="101"/>
        <v>Content drafted - assets/specs pending</v>
      </c>
      <c r="AD44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0" s="58"/>
      <c r="AF440" s="58"/>
      <c r="AG440" s="58" t="s">
        <v>2467</v>
      </c>
      <c r="AH440" s="58" t="s">
        <v>2468</v>
      </c>
      <c r="AI440" s="58" t="s">
        <v>2469</v>
      </c>
    </row>
    <row r="441" spans="1:35" ht="42" customHeight="1" x14ac:dyDescent="0.35">
      <c r="A441" s="69">
        <f t="shared" si="92"/>
        <v>72</v>
      </c>
      <c r="B441" s="70" t="s">
        <v>496</v>
      </c>
      <c r="C441" s="71" t="s">
        <v>28</v>
      </c>
      <c r="D441" s="72" t="s">
        <v>12</v>
      </c>
      <c r="E441" s="45" t="s">
        <v>507</v>
      </c>
      <c r="F441" s="49" t="s">
        <v>3034</v>
      </c>
      <c r="G441" s="45" t="s">
        <v>3045</v>
      </c>
      <c r="H441" s="47">
        <v>46257</v>
      </c>
      <c r="I441" s="48" t="s">
        <v>1943</v>
      </c>
      <c r="J441" s="48" t="s">
        <v>1238</v>
      </c>
      <c r="K441" s="48" t="str">
        <f t="shared" si="93"/>
        <v>Universal Hardness Tester (Electric Turret) is a hardness testers product from HST Group for application-specific laboratory, engineering or industrial use.</v>
      </c>
      <c r="L441" s="48" t="str">
        <f t="shared" si="94"/>
        <v>Universal Hardness Tester (Electric Turret) from HST Group for hardness testers applications. Review configuration requirements and request technical information or a quotation from DIWAN.</v>
      </c>
      <c r="M441" s="48" t="s">
        <v>2020</v>
      </c>
      <c r="N441" s="61" t="s">
        <v>2672</v>
      </c>
      <c r="O441" s="54" t="str" cm="1">
        <f t="array" ref="O441">_xlfn.LET(_xlpm.n,LOWER(E441),_xlpm.c,LOWER(B441),_xlpm.t,_xlfn.IFS(OR(ISNUMBER(SEARCH("lens",_xlpm.n)),ISNUMBER(SEARCH("optic",_xlpm.n)),ISNUMBER(SEARCH("polarizer",_xlpm.n))),"precision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"),E441&amp;" is "&amp;_xlpm.art&amp;_xlpm.t&amp;" from "&amp;C441&amp;" designed for application-specific laboratory, engineering or industrial use. It belongs to DIWAN's "&amp;B441&amp;" portfolio; final configuration must be selected against performance, integration and compliance requirements.")</f>
        <v>Universal Hardness Tester (Electric Turret) is a materials or component testing system from HST Group designed for application-specific laboratory, engineering or industrial use. It belongs to DIWAN's Hardness Testers portfolio; final configuration must be selected against performance, integration and compliance requirements.</v>
      </c>
      <c r="P441" s="54" t="str">
        <f t="shared" si="95"/>
        <v>Selection should confirm the model-specific operating range, capacity, accuracy, interfaces, utilities, accessories, standards, environmental limits and service requirements. Final capabilities depend on the approved Universal Hardness Tester (Electric Turret) configuration.</v>
      </c>
      <c r="Q441" s="54"/>
      <c r="R441" s="54" t="str">
        <f t="shared" si="96"/>
        <v>Hardness Testers applications; laboratory research, engineering development, quality control and industrial deployment where applicable. Suitability must be confirmed against the user's sample, process, environment and required standards.</v>
      </c>
      <c r="S441" s="54"/>
      <c r="T441" s="54" t="str">
        <f t="shared" si="97"/>
        <v>Universal Hardness Tester (Electric Turret) from HST Group</v>
      </c>
      <c r="U441" s="54"/>
      <c r="V441" s="54" t="s">
        <v>2673</v>
      </c>
      <c r="W441" s="54" t="str">
        <f t="shared" si="98"/>
        <v>See other Hardness Testers products</v>
      </c>
      <c r="X441" s="54" t="str">
        <f t="shared" si="99"/>
        <v>Hardness Testers enquiry → website group enquiry form → category owner assignment</v>
      </c>
      <c r="Y441" s="54" t="str">
        <f t="shared" si="100"/>
        <v>Universal Hardness Tester (Electric Turret), Hardness Testers, HST Group, technical equipment, DIWAN</v>
      </c>
      <c r="Z441" s="54" t="s">
        <v>2291</v>
      </c>
      <c r="AA441" s="55">
        <v>46257</v>
      </c>
      <c r="AB441" s="54" t="s">
        <v>2465</v>
      </c>
      <c r="AC441" s="63" t="str">
        <f t="shared" si="101"/>
        <v>Content drafted - assets/specs pending</v>
      </c>
      <c r="AD441"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1" s="58"/>
      <c r="AF441" s="58"/>
      <c r="AG441" s="58" t="s">
        <v>2467</v>
      </c>
      <c r="AH441" s="58" t="s">
        <v>2468</v>
      </c>
      <c r="AI441" s="58" t="s">
        <v>2469</v>
      </c>
    </row>
    <row r="442" spans="1:35" ht="42" customHeight="1" x14ac:dyDescent="0.35">
      <c r="A442" s="69">
        <f t="shared" si="92"/>
        <v>72</v>
      </c>
      <c r="B442" s="70" t="s">
        <v>496</v>
      </c>
      <c r="C442" s="71" t="s">
        <v>28</v>
      </c>
      <c r="D442" s="72" t="s">
        <v>12</v>
      </c>
      <c r="E442" s="45" t="s">
        <v>508</v>
      </c>
      <c r="F442" s="49" t="s">
        <v>3034</v>
      </c>
      <c r="G442" s="45" t="s">
        <v>3045</v>
      </c>
      <c r="H442" s="47">
        <v>46257</v>
      </c>
      <c r="I442" s="48" t="s">
        <v>1944</v>
      </c>
      <c r="J442" s="48" t="s">
        <v>1239</v>
      </c>
      <c r="K442" s="48" t="str">
        <f t="shared" si="93"/>
        <v>Brinell Optical Measuring Systems is a hardness testers product from HST Group for application-specific laboratory, engineering or industrial use.</v>
      </c>
      <c r="L442" s="48" t="str">
        <f t="shared" si="94"/>
        <v>Brinell Optical Measuring Systems from HST Group for hardness testers applications. Review configuration requirements and request technical information or a quotation from DIWAN.</v>
      </c>
      <c r="M442" s="48" t="s">
        <v>2020</v>
      </c>
      <c r="N442" s="61" t="s">
        <v>2672</v>
      </c>
      <c r="O442" s="54" t="str" cm="1">
        <f t="array" ref="O442">_xlfn.LET(_xlpm.n,LOWER(E442),_xlpm.c,LOWER(B442),_xlpm.t,_xlfn.IFS(OR(ISNUMBER(SEARCH("lens",_xlpm.n)),ISNUMBER(SEARCH("optic",_xlpm.n)),ISNUMBER(SEARCH("polarizer",_xlpm.n))),"precision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"),E442&amp;" is "&amp;_xlpm.art&amp;_xlpm.t&amp;" from "&amp;C442&amp;" designed for application-specific laboratory, engineering or industrial use. It belongs to DIWAN's "&amp;B442&amp;" portfolio; final configuration must be selected against performance, integration and compliance requirements.")</f>
        <v>Brinell Optical Measuring Systems is a precision optical component from HST Group designed for application-specific laboratory, engineering or industrial use. It belongs to DIWAN's Hardness Testers portfolio; final configuration must be selected against performance, integration and compliance requirements.</v>
      </c>
      <c r="P442" s="54" t="str">
        <f t="shared" si="95"/>
        <v>Selection should confirm the model-specific operating range, capacity, accuracy, interfaces, utilities, accessories, standards, environmental limits and service requirements. Final capabilities depend on the approved Brinell Optical Measuring Systems configuration.</v>
      </c>
      <c r="Q442" s="54"/>
      <c r="R442" s="54" t="str">
        <f t="shared" si="96"/>
        <v>Hardness Testers applications; laboratory research, engineering development, quality control and industrial deployment where applicable. Suitability must be confirmed against the user's sample, process, environment and required standards.</v>
      </c>
      <c r="S442" s="54"/>
      <c r="T442" s="54" t="str">
        <f t="shared" si="97"/>
        <v>Brinell Optical Measuring Systems from HST Group</v>
      </c>
      <c r="U442" s="54"/>
      <c r="V442" s="54" t="s">
        <v>2673</v>
      </c>
      <c r="W442" s="54" t="str">
        <f t="shared" si="98"/>
        <v>See other Hardness Testers products</v>
      </c>
      <c r="X442" s="54" t="str">
        <f t="shared" si="99"/>
        <v>Hardness Testers enquiry → website group enquiry form → category owner assignment</v>
      </c>
      <c r="Y442" s="54" t="str">
        <f t="shared" si="100"/>
        <v>Brinell Optical Measuring Systems, Hardness Testers, HST Group, technical equipment, DIWAN</v>
      </c>
      <c r="Z442" s="54" t="s">
        <v>2291</v>
      </c>
      <c r="AA442" s="55">
        <v>46257</v>
      </c>
      <c r="AB442" s="54" t="s">
        <v>2465</v>
      </c>
      <c r="AC442" s="63" t="str">
        <f t="shared" si="101"/>
        <v>Content drafted - assets/specs pending</v>
      </c>
      <c r="AD44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2" s="58"/>
      <c r="AF442" s="58"/>
      <c r="AG442" s="58" t="s">
        <v>2467</v>
      </c>
      <c r="AH442" s="58" t="s">
        <v>2468</v>
      </c>
      <c r="AI442" s="58" t="s">
        <v>2469</v>
      </c>
    </row>
    <row r="443" spans="1:35" ht="42" customHeight="1" x14ac:dyDescent="0.35">
      <c r="A443" s="69">
        <f t="shared" si="92"/>
        <v>72</v>
      </c>
      <c r="B443" s="70" t="s">
        <v>496</v>
      </c>
      <c r="C443" s="71" t="s">
        <v>28</v>
      </c>
      <c r="D443" s="72" t="s">
        <v>12</v>
      </c>
      <c r="E443" s="45" t="s">
        <v>509</v>
      </c>
      <c r="F443" s="49" t="s">
        <v>3034</v>
      </c>
      <c r="G443" s="45" t="s">
        <v>3045</v>
      </c>
      <c r="H443" s="47">
        <v>46257</v>
      </c>
      <c r="I443" s="48" t="s">
        <v>1945</v>
      </c>
      <c r="J443" s="48" t="s">
        <v>1240</v>
      </c>
      <c r="K443" s="48" t="str">
        <f t="shared" si="93"/>
        <v>Vickers Optical Measuring Systems is a hardness testers product from HST Group for application-specific laboratory, engineering or industrial use.</v>
      </c>
      <c r="L443" s="48" t="str">
        <f t="shared" si="94"/>
        <v>Vickers Optical Measuring Systems from HST Group for hardness testers applications. Review configuration requirements and request technical information or a quotation from DIWAN.</v>
      </c>
      <c r="M443" s="48" t="s">
        <v>2020</v>
      </c>
      <c r="N443" s="61" t="s">
        <v>2672</v>
      </c>
      <c r="O443" s="54" t="str" cm="1">
        <f t="array" ref="O443">_xlfn.LET(_xlpm.n,LOWER(E443),_xlpm.c,LOWER(B443),_xlpm.t,_xlfn.IFS(OR(ISNUMBER(SEARCH("lens",_xlpm.n)),ISNUMBER(SEARCH("optic",_xlpm.n)),ISNUMBER(SEARCH("polarizer",_xlpm.n))),"precision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"),E443&amp;" is "&amp;_xlpm.art&amp;_xlpm.t&amp;" from "&amp;C443&amp;" designed for application-specific laboratory, engineering or industrial use. It belongs to DIWAN's "&amp;B443&amp;" portfolio; final configuration must be selected against performance, integration and compliance requirements.")</f>
        <v>Vickers Optical Measuring Systems is a precision optical component from HST Group designed for application-specific laboratory, engineering or industrial use. It belongs to DIWAN's Hardness Testers portfolio; final configuration must be selected against performance, integration and compliance requirements.</v>
      </c>
      <c r="P443" s="54" t="str">
        <f t="shared" si="95"/>
        <v>Selection should confirm the model-specific operating range, capacity, accuracy, interfaces, utilities, accessories, standards, environmental limits and service requirements. Final capabilities depend on the approved Vickers Optical Measuring Systems configuration.</v>
      </c>
      <c r="Q443" s="54"/>
      <c r="R443" s="54" t="str">
        <f t="shared" si="96"/>
        <v>Hardness Testers applications; laboratory research, engineering development, quality control and industrial deployment where applicable. Suitability must be confirmed against the user's sample, process, environment and required standards.</v>
      </c>
      <c r="S443" s="54"/>
      <c r="T443" s="54" t="str">
        <f t="shared" si="97"/>
        <v>Vickers Optical Measuring Systems from HST Group</v>
      </c>
      <c r="U443" s="54"/>
      <c r="V443" s="54" t="s">
        <v>2673</v>
      </c>
      <c r="W443" s="54" t="str">
        <f t="shared" si="98"/>
        <v>See other Hardness Testers products</v>
      </c>
      <c r="X443" s="54" t="str">
        <f t="shared" si="99"/>
        <v>Hardness Testers enquiry → website group enquiry form → category owner assignment</v>
      </c>
      <c r="Y443" s="54" t="str">
        <f t="shared" si="100"/>
        <v>Vickers Optical Measuring Systems, Hardness Testers, HST Group, technical equipment, DIWAN</v>
      </c>
      <c r="Z443" s="54" t="s">
        <v>2291</v>
      </c>
      <c r="AA443" s="55">
        <v>46257</v>
      </c>
      <c r="AB443" s="54" t="s">
        <v>2465</v>
      </c>
      <c r="AC443" s="63" t="str">
        <f t="shared" si="101"/>
        <v>Content drafted - assets/specs pending</v>
      </c>
      <c r="AD44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3" s="58"/>
      <c r="AF443" s="58"/>
      <c r="AG443" s="58" t="s">
        <v>2467</v>
      </c>
      <c r="AH443" s="58" t="s">
        <v>2468</v>
      </c>
      <c r="AI443" s="58" t="s">
        <v>2469</v>
      </c>
    </row>
    <row r="444" spans="1:35" ht="42" customHeight="1" thickBot="1" x14ac:dyDescent="0.4">
      <c r="A444" s="69">
        <f t="shared" si="92"/>
        <v>72</v>
      </c>
      <c r="B444" s="70" t="s">
        <v>496</v>
      </c>
      <c r="C444" s="71" t="s">
        <v>28</v>
      </c>
      <c r="D444" s="72" t="s">
        <v>12</v>
      </c>
      <c r="E444" s="45" t="s">
        <v>510</v>
      </c>
      <c r="F444" s="49" t="s">
        <v>3034</v>
      </c>
      <c r="G444" s="45" t="s">
        <v>3045</v>
      </c>
      <c r="H444" s="47">
        <v>46257</v>
      </c>
      <c r="I444" s="48" t="s">
        <v>1946</v>
      </c>
      <c r="J444" s="48" t="s">
        <v>1241</v>
      </c>
      <c r="K444" s="48" t="str">
        <f t="shared" si="93"/>
        <v>Brinell Indentation Diameter Measurement is a hardness testers product from HST Group for application-specific laboratory, engineering or industrial use.</v>
      </c>
      <c r="L444" s="48" t="str">
        <f t="shared" si="94"/>
        <v>Brinell Indentation Diameter Measurement from HST Group for hardness testers applications. Review configuration requirements and request technical information or a quotation from DIWAN.</v>
      </c>
      <c r="M444" s="48" t="s">
        <v>2020</v>
      </c>
      <c r="N444" s="61" t="s">
        <v>2672</v>
      </c>
      <c r="O444" s="54" t="str" cm="1">
        <f t="array" ref="O444">_xlfn.LET(_xlpm.n,LOWER(E444),_xlpm.c,LOWER(B444),_xlpm.t,_xlfn.IFS(OR(ISNUMBER(SEARCH("lens",_xlpm.n)),ISNUMBER(SEARCH("optic",_xlpm.n)),ISNUMBER(SEARCH("polarizer",_xlpm.n))),"precision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"),E444&amp;" is "&amp;_xlpm.art&amp;_xlpm.t&amp;" from "&amp;C444&amp;" designed for application-specific laboratory, engineering or industrial use. It belongs to DIWAN's "&amp;B444&amp;" portfolio; final configuration must be selected against performance, integration and compliance requirements.")</f>
        <v>Brinell Indentation Diameter Measurement is a specialized hardness testers product from HST Group designed for application-specific laboratory, engineering or industrial use. It belongs to DIWAN's Hardness Testers portfolio; final configuration must be selected against performance, integration and compliance requirements.</v>
      </c>
      <c r="P444" s="54" t="str">
        <f t="shared" si="95"/>
        <v>Selection should confirm the model-specific operating range, capacity, accuracy, interfaces, utilities, accessories, standards, environmental limits and service requirements. Final capabilities depend on the approved Brinell Indentation Diameter Measurement configuration.</v>
      </c>
      <c r="Q444" s="54"/>
      <c r="R444" s="54" t="str">
        <f t="shared" si="96"/>
        <v>Hardness Testers applications; laboratory research, engineering development, quality control and industrial deployment where applicable. Suitability must be confirmed against the user's sample, process, environment and required standards.</v>
      </c>
      <c r="S444" s="54"/>
      <c r="T444" s="54" t="str">
        <f t="shared" si="97"/>
        <v>Brinell Indentation Diameter Measurement from HST Group</v>
      </c>
      <c r="U444" s="54"/>
      <c r="V444" s="54" t="s">
        <v>2673</v>
      </c>
      <c r="W444" s="54" t="str">
        <f t="shared" si="98"/>
        <v>See other Hardness Testers products</v>
      </c>
      <c r="X444" s="54" t="str">
        <f t="shared" si="99"/>
        <v>Hardness Testers enquiry → website group enquiry form → category owner assignment</v>
      </c>
      <c r="Y444" s="54" t="str">
        <f t="shared" si="100"/>
        <v>Brinell Indentation Diameter Measurement, Hardness Testers, HST Group, technical equipment, DIWAN</v>
      </c>
      <c r="Z444" s="54" t="s">
        <v>2291</v>
      </c>
      <c r="AA444" s="55">
        <v>46257</v>
      </c>
      <c r="AB444" s="54" t="s">
        <v>2465</v>
      </c>
      <c r="AC444" s="63" t="str">
        <f t="shared" si="101"/>
        <v>Content drafted - assets/specs pending</v>
      </c>
      <c r="AD44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4" s="58"/>
      <c r="AF444" s="58"/>
      <c r="AG444" s="58" t="s">
        <v>2467</v>
      </c>
      <c r="AH444" s="58" t="s">
        <v>2468</v>
      </c>
      <c r="AI444" s="58" t="s">
        <v>2469</v>
      </c>
    </row>
    <row r="445" spans="1:35" ht="42" customHeight="1" x14ac:dyDescent="0.35">
      <c r="A445" s="69">
        <f t="shared" si="92"/>
        <v>73</v>
      </c>
      <c r="B445" s="74" t="s">
        <v>511</v>
      </c>
      <c r="C445" s="75" t="s">
        <v>28</v>
      </c>
      <c r="D445" s="76" t="s">
        <v>12</v>
      </c>
      <c r="E445" s="77" t="s">
        <v>512</v>
      </c>
      <c r="F445" s="86" t="s">
        <v>3035</v>
      </c>
      <c r="G445" s="77" t="s">
        <v>3045</v>
      </c>
      <c r="H445" s="79">
        <v>46257</v>
      </c>
      <c r="I445" s="80" t="s">
        <v>1947</v>
      </c>
      <c r="J445" s="80" t="s">
        <v>1242</v>
      </c>
      <c r="K445" s="80" t="str">
        <f t="shared" si="93"/>
        <v>Manual Metallographic Cutting Machine is a metallographic equipment product from HST Group for application-specific laboratory, engineering or industrial use.</v>
      </c>
      <c r="L445" s="80" t="str">
        <f t="shared" si="94"/>
        <v>Manual Metallographic Cutting Machine from HST Group for metallographic equipment applications. Review configuration requirements and request technical information or a quotation from DIWAN.</v>
      </c>
      <c r="M445" s="80" t="s">
        <v>2020</v>
      </c>
      <c r="N445" s="81" t="s">
        <v>2672</v>
      </c>
      <c r="O445" s="82" t="str" cm="1">
        <f t="array" ref="O445">_xlfn.LET(_xlpm.n,LOWER(E445),_xlpm.c,LOWER(B445),_xlpm.t,_xlfn.IFS(OR(ISNUMBER(SEARCH("lens",_xlpm.n)),ISNUMBER(SEARCH("optic",_xlpm.n)),ISNUMBER(SEARCH("polarizer",_xlpm.n))),"precision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"),E445&amp;" is "&amp;_xlpm.art&amp;_xlpm.t&amp;" from "&amp;C445&amp;" designed for application-specific laboratory, engineering or industrial use. It belongs to DIWAN's "&amp;B445&amp;" portfolio; final configuration must be selected against performance, integration and compliance requirements.")</f>
        <v>Manual Metallographic Cutting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45" s="82" t="str">
        <f t="shared" si="95"/>
        <v>Selection should confirm the model-specific operating range, capacity, accuracy, interfaces, utilities, accessories, standards, environmental limits and service requirements. Final capabilities depend on the approved Manual Metallographic Cutting Machine configuration.</v>
      </c>
      <c r="Q445" s="82"/>
      <c r="R445" s="82" t="str">
        <f t="shared" si="96"/>
        <v>Metallographic Equipment applications; laboratory research, engineering development, quality control and industrial deployment where applicable. Suitability must be confirmed against the user's sample, process, environment and required standards.</v>
      </c>
      <c r="S445" s="82"/>
      <c r="T445" s="82" t="str">
        <f t="shared" si="97"/>
        <v>Manual Metallographic Cutting Machine from HST Group</v>
      </c>
      <c r="U445" s="82"/>
      <c r="V445" s="82" t="s">
        <v>2673</v>
      </c>
      <c r="W445" s="82" t="str">
        <f t="shared" si="98"/>
        <v>See other Metallographic Equipment products</v>
      </c>
      <c r="X445" s="82" t="str">
        <f t="shared" si="99"/>
        <v>Metallographic Equipment enquiry → website group enquiry form → category owner assignment</v>
      </c>
      <c r="Y445" s="82" t="str">
        <f t="shared" si="100"/>
        <v>Manual Metallographic Cutting Machine, Metallographic Equipment, HST Group, technical equipment, DIWAN</v>
      </c>
      <c r="Z445" s="82" t="s">
        <v>2292</v>
      </c>
      <c r="AA445" s="83">
        <v>46257</v>
      </c>
      <c r="AB445" s="82" t="s">
        <v>2465</v>
      </c>
      <c r="AC445" s="84" t="str">
        <f t="shared" si="101"/>
        <v>Content drafted - assets/specs pending</v>
      </c>
      <c r="AD445"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5" s="85"/>
      <c r="AF445" s="85"/>
      <c r="AG445" s="85" t="s">
        <v>2467</v>
      </c>
      <c r="AH445" s="85" t="s">
        <v>2468</v>
      </c>
      <c r="AI445" s="85" t="s">
        <v>2469</v>
      </c>
    </row>
    <row r="446" spans="1:35" ht="42" customHeight="1" x14ac:dyDescent="0.35">
      <c r="A446" s="69">
        <f t="shared" si="92"/>
        <v>73</v>
      </c>
      <c r="B446" s="70" t="s">
        <v>511</v>
      </c>
      <c r="C446" s="71" t="s">
        <v>28</v>
      </c>
      <c r="D446" s="72" t="s">
        <v>12</v>
      </c>
      <c r="E446" s="45" t="s">
        <v>513</v>
      </c>
      <c r="F446" s="49" t="s">
        <v>3035</v>
      </c>
      <c r="G446" s="45" t="s">
        <v>3045</v>
      </c>
      <c r="H446" s="47">
        <v>46257</v>
      </c>
      <c r="I446" s="48" t="s">
        <v>1948</v>
      </c>
      <c r="J446" s="48" t="s">
        <v>1243</v>
      </c>
      <c r="K446" s="48" t="str">
        <f t="shared" si="93"/>
        <v>Automatic Metallographic Cutting Machine is a metallographic equipment product from HST Group for application-specific laboratory, engineering or industrial use.</v>
      </c>
      <c r="L446" s="48" t="str">
        <f t="shared" si="94"/>
        <v>Automatic Metallographic Cutting Machine from HST Group for metallographic equipment applications. Review configuration requirements and request technical information or a quotation from DIWAN.</v>
      </c>
      <c r="M446" s="48" t="s">
        <v>2020</v>
      </c>
      <c r="N446" s="61" t="s">
        <v>2672</v>
      </c>
      <c r="O446" s="54" t="str" cm="1">
        <f t="array" ref="O446">_xlfn.LET(_xlpm.n,LOWER(E446),_xlpm.c,LOWER(B446),_xlpm.t,_xlfn.IFS(OR(ISNUMBER(SEARCH("lens",_xlpm.n)),ISNUMBER(SEARCH("optic",_xlpm.n)),ISNUMBER(SEARCH("polarizer",_xlpm.n))),"precision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"),E446&amp;" is "&amp;_xlpm.art&amp;_xlpm.t&amp;" from "&amp;C446&amp;" designed for application-specific laboratory, engineering or industrial use. It belongs to DIWAN's "&amp;B446&amp;" portfolio; final configuration must be selected against performance, integration and compliance requirements.")</f>
        <v>Automatic Metallographic Cutting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46" s="54" t="str">
        <f t="shared" si="95"/>
        <v>Selection should confirm the model-specific operating range, capacity, accuracy, interfaces, utilities, accessories, standards, environmental limits and service requirements. Final capabilities depend on the approved Automatic Metallographic Cutting Machine configuration.</v>
      </c>
      <c r="Q446" s="54"/>
      <c r="R446" s="54" t="str">
        <f t="shared" si="96"/>
        <v>Metallographic Equipment applications; laboratory research, engineering development, quality control and industrial deployment where applicable. Suitability must be confirmed against the user's sample, process, environment and required standards.</v>
      </c>
      <c r="S446" s="54"/>
      <c r="T446" s="54" t="str">
        <f t="shared" si="97"/>
        <v>Automatic Metallographic Cutting Machine from HST Group</v>
      </c>
      <c r="U446" s="54"/>
      <c r="V446" s="54" t="s">
        <v>2673</v>
      </c>
      <c r="W446" s="54" t="str">
        <f t="shared" si="98"/>
        <v>See other Metallographic Equipment products</v>
      </c>
      <c r="X446" s="54" t="str">
        <f t="shared" si="99"/>
        <v>Metallographic Equipment enquiry → website group enquiry form → category owner assignment</v>
      </c>
      <c r="Y446" s="54" t="str">
        <f t="shared" si="100"/>
        <v>Automatic Metallographic Cutting Machine, Metallographic Equipment, HST Group, technical equipment, DIWAN</v>
      </c>
      <c r="Z446" s="54" t="s">
        <v>2292</v>
      </c>
      <c r="AA446" s="55">
        <v>46257</v>
      </c>
      <c r="AB446" s="54" t="s">
        <v>2465</v>
      </c>
      <c r="AC446" s="63" t="str">
        <f t="shared" si="101"/>
        <v>Content drafted - assets/specs pending</v>
      </c>
      <c r="AD44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6" s="58"/>
      <c r="AF446" s="58"/>
      <c r="AG446" s="58" t="s">
        <v>2467</v>
      </c>
      <c r="AH446" s="58" t="s">
        <v>2468</v>
      </c>
      <c r="AI446" s="58" t="s">
        <v>2469</v>
      </c>
    </row>
    <row r="447" spans="1:35" ht="42" customHeight="1" x14ac:dyDescent="0.35">
      <c r="A447" s="69">
        <f t="shared" si="92"/>
        <v>73</v>
      </c>
      <c r="B447" s="70" t="s">
        <v>511</v>
      </c>
      <c r="C447" s="71" t="s">
        <v>28</v>
      </c>
      <c r="D447" s="72" t="s">
        <v>12</v>
      </c>
      <c r="E447" s="45" t="s">
        <v>514</v>
      </c>
      <c r="F447" s="49" t="s">
        <v>3035</v>
      </c>
      <c r="G447" s="45" t="s">
        <v>3045</v>
      </c>
      <c r="H447" s="47">
        <v>46257</v>
      </c>
      <c r="I447" s="48" t="s">
        <v>1949</v>
      </c>
      <c r="J447" s="48" t="s">
        <v>1244</v>
      </c>
      <c r="K447" s="48" t="str">
        <f t="shared" si="93"/>
        <v>Manual Metallographic Specimen Mounting Press is a metallographic equipment product from HST Group for application-specific laboratory, engineering or industrial use.</v>
      </c>
      <c r="L447" s="48" t="str">
        <f t="shared" si="94"/>
        <v>Manual Metallographic Specimen Mounting Press from HST Group for metallographic equipment applications. Review configuration requirements and request technical information or a quotation from DIWAN.</v>
      </c>
      <c r="M447" s="48" t="s">
        <v>2020</v>
      </c>
      <c r="N447" s="61" t="s">
        <v>2672</v>
      </c>
      <c r="O447" s="54" t="str" cm="1">
        <f t="array" ref="O447">_xlfn.LET(_xlpm.n,LOWER(E447),_xlpm.c,LOWER(B447),_xlpm.t,_xlfn.IFS(OR(ISNUMBER(SEARCH("lens",_xlpm.n)),ISNUMBER(SEARCH("optic",_xlpm.n)),ISNUMBER(SEARCH("polarizer",_xlpm.n))),"precision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"),E447&amp;" is "&amp;_xlpm.art&amp;_xlpm.t&amp;" from "&amp;C447&amp;" designed for application-specific laboratory, engineering or industrial use. It belongs to DIWAN's "&amp;B447&amp;" portfolio; final configuration must be selected against performance, integration and compliance requirements.")</f>
        <v>Manual Metallographic Specimen Mounting Press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47" s="54" t="str">
        <f t="shared" si="95"/>
        <v>Selection should confirm the model-specific operating range, capacity, accuracy, interfaces, utilities, accessories, standards, environmental limits and service requirements. Final capabilities depend on the approved Manual Metallographic Specimen Mounting Press configuration.</v>
      </c>
      <c r="Q447" s="54"/>
      <c r="R447" s="54" t="str">
        <f t="shared" si="96"/>
        <v>Metallographic Equipment applications; laboratory research, engineering development, quality control and industrial deployment where applicable. Suitability must be confirmed against the user's sample, process, environment and required standards.</v>
      </c>
      <c r="S447" s="54"/>
      <c r="T447" s="54" t="str">
        <f t="shared" si="97"/>
        <v>Manual Metallographic Specimen Mounting Press from HST Group</v>
      </c>
      <c r="U447" s="54"/>
      <c r="V447" s="54" t="s">
        <v>2673</v>
      </c>
      <c r="W447" s="54" t="str">
        <f t="shared" si="98"/>
        <v>See other Metallographic Equipment products</v>
      </c>
      <c r="X447" s="54" t="str">
        <f t="shared" si="99"/>
        <v>Metallographic Equipment enquiry → website group enquiry form → category owner assignment</v>
      </c>
      <c r="Y447" s="54" t="str">
        <f t="shared" si="100"/>
        <v>Manual Metallographic Specimen Mounting Press, Metallographic Equipment, HST Group, technical equipment, DIWAN</v>
      </c>
      <c r="Z447" s="54" t="s">
        <v>2292</v>
      </c>
      <c r="AA447" s="55">
        <v>46257</v>
      </c>
      <c r="AB447" s="54" t="s">
        <v>2465</v>
      </c>
      <c r="AC447" s="63" t="str">
        <f t="shared" si="101"/>
        <v>Content drafted - assets/specs pending</v>
      </c>
      <c r="AD447"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7" s="58"/>
      <c r="AF447" s="58"/>
      <c r="AG447" s="58" t="s">
        <v>2467</v>
      </c>
      <c r="AH447" s="58" t="s">
        <v>2468</v>
      </c>
      <c r="AI447" s="58" t="s">
        <v>2469</v>
      </c>
    </row>
    <row r="448" spans="1:35" ht="42" customHeight="1" x14ac:dyDescent="0.35">
      <c r="A448" s="69">
        <f t="shared" si="92"/>
        <v>73</v>
      </c>
      <c r="B448" s="70" t="s">
        <v>511</v>
      </c>
      <c r="C448" s="71" t="s">
        <v>28</v>
      </c>
      <c r="D448" s="72" t="s">
        <v>12</v>
      </c>
      <c r="E448" s="45" t="s">
        <v>515</v>
      </c>
      <c r="F448" s="49" t="s">
        <v>3035</v>
      </c>
      <c r="G448" s="45" t="s">
        <v>3045</v>
      </c>
      <c r="H448" s="47">
        <v>46257</v>
      </c>
      <c r="I448" s="48" t="s">
        <v>1950</v>
      </c>
      <c r="J448" s="48" t="s">
        <v>1245</v>
      </c>
      <c r="K448" s="48" t="str">
        <f t="shared" si="93"/>
        <v>Metallurgical Microscope is a metallographic equipment product from HST Group for application-specific laboratory, engineering or industrial use.</v>
      </c>
      <c r="L448" s="48" t="str">
        <f t="shared" si="94"/>
        <v>Metallurgical Microscope from HST Group for metallographic equipment applications. Review configuration requirements and request technical information or a quotation from DIWAN.</v>
      </c>
      <c r="M448" s="48" t="s">
        <v>2020</v>
      </c>
      <c r="N448" s="61" t="s">
        <v>2672</v>
      </c>
      <c r="O448" s="54" t="str" cm="1">
        <f t="array" ref="O448">_xlfn.LET(_xlpm.n,LOWER(E448),_xlpm.c,LOWER(B448),_xlpm.t,_xlfn.IFS(OR(ISNUMBER(SEARCH("lens",_xlpm.n)),ISNUMBER(SEARCH("optic",_xlpm.n)),ISNUMBER(SEARCH("polarizer",_xlpm.n))),"precision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"),E448&amp;" is "&amp;_xlpm.art&amp;_xlpm.t&amp;" from "&amp;C448&amp;" designed for application-specific laboratory, engineering or industrial use. It belongs to DIWAN's "&amp;B448&amp;" portfolio; final configuration must be selected against performance, integration and compliance requirements.")</f>
        <v>Metallurgical Microscope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48" s="54" t="str">
        <f t="shared" si="95"/>
        <v>Selection should confirm the model-specific operating range, capacity, accuracy, interfaces, utilities, accessories, standards, environmental limits and service requirements. Final capabilities depend on the approved Metallurgical Microscope configuration.</v>
      </c>
      <c r="Q448" s="54"/>
      <c r="R448" s="54" t="str">
        <f t="shared" si="96"/>
        <v>Metallographic Equipment applications; laboratory research, engineering development, quality control and industrial deployment where applicable. Suitability must be confirmed against the user's sample, process, environment and required standards.</v>
      </c>
      <c r="S448" s="54"/>
      <c r="T448" s="54" t="str">
        <f t="shared" si="97"/>
        <v>Metallurgical Microscope from HST Group</v>
      </c>
      <c r="U448" s="54"/>
      <c r="V448" s="54" t="s">
        <v>2673</v>
      </c>
      <c r="W448" s="54" t="str">
        <f t="shared" si="98"/>
        <v>See other Metallographic Equipment products</v>
      </c>
      <c r="X448" s="54" t="str">
        <f t="shared" si="99"/>
        <v>Metallographic Equipment enquiry → website group enquiry form → category owner assignment</v>
      </c>
      <c r="Y448" s="54" t="str">
        <f t="shared" si="100"/>
        <v>Metallurgical Microscope, Metallographic Equipment, HST Group, technical equipment, DIWAN</v>
      </c>
      <c r="Z448" s="54" t="s">
        <v>2292</v>
      </c>
      <c r="AA448" s="55">
        <v>46257</v>
      </c>
      <c r="AB448" s="54" t="s">
        <v>2465</v>
      </c>
      <c r="AC448" s="63" t="str">
        <f t="shared" si="101"/>
        <v>Content drafted - assets/specs pending</v>
      </c>
      <c r="AD44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8" s="58"/>
      <c r="AF448" s="58"/>
      <c r="AG448" s="58" t="s">
        <v>2467</v>
      </c>
      <c r="AH448" s="58" t="s">
        <v>2468</v>
      </c>
      <c r="AI448" s="58" t="s">
        <v>2469</v>
      </c>
    </row>
    <row r="449" spans="1:35" ht="42" customHeight="1" x14ac:dyDescent="0.35">
      <c r="A449" s="69">
        <f t="shared" si="92"/>
        <v>73</v>
      </c>
      <c r="B449" s="70" t="s">
        <v>511</v>
      </c>
      <c r="C449" s="71" t="s">
        <v>28</v>
      </c>
      <c r="D449" s="72" t="s">
        <v>12</v>
      </c>
      <c r="E449" s="45" t="s">
        <v>516</v>
      </c>
      <c r="F449" s="49" t="s">
        <v>3035</v>
      </c>
      <c r="G449" s="45" t="s">
        <v>3045</v>
      </c>
      <c r="H449" s="47">
        <v>46257</v>
      </c>
      <c r="I449" s="48" t="s">
        <v>1951</v>
      </c>
      <c r="J449" s="48" t="s">
        <v>1246</v>
      </c>
      <c r="K449" s="48" t="str">
        <f t="shared" si="93"/>
        <v>Metallographic Specimen Mounting Press is a metallographic equipment product from HST Group for application-specific laboratory, engineering or industrial use.</v>
      </c>
      <c r="L449" s="48" t="str">
        <f t="shared" si="94"/>
        <v>Metallographic Specimen Mounting Press from HST Group for metallographic equipment applications. Review configuration requirements and request technical information or a quotation from DIWAN.</v>
      </c>
      <c r="M449" s="48" t="s">
        <v>2020</v>
      </c>
      <c r="N449" s="61" t="s">
        <v>2672</v>
      </c>
      <c r="O449" s="54" t="str" cm="1">
        <f t="array" ref="O449">_xlfn.LET(_xlpm.n,LOWER(E449),_xlpm.c,LOWER(B449),_xlpm.t,_xlfn.IFS(OR(ISNUMBER(SEARCH("lens",_xlpm.n)),ISNUMBER(SEARCH("optic",_xlpm.n)),ISNUMBER(SEARCH("polarizer",_xlpm.n))),"precision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"),E449&amp;" is "&amp;_xlpm.art&amp;_xlpm.t&amp;" from "&amp;C449&amp;" designed for application-specific laboratory, engineering or industrial use. It belongs to DIWAN's "&amp;B449&amp;" portfolio; final configuration must be selected against performance, integration and compliance requirements.")</f>
        <v>Metallographic Specimen Mounting Press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49" s="54" t="str">
        <f t="shared" si="95"/>
        <v>Selection should confirm the model-specific operating range, capacity, accuracy, interfaces, utilities, accessories, standards, environmental limits and service requirements. Final capabilities depend on the approved Metallographic Specimen Mounting Press configuration.</v>
      </c>
      <c r="Q449" s="54"/>
      <c r="R449" s="54" t="str">
        <f t="shared" si="96"/>
        <v>Metallographic Equipment applications; laboratory research, engineering development, quality control and industrial deployment where applicable. Suitability must be confirmed against the user's sample, process, environment and required standards.</v>
      </c>
      <c r="S449" s="54"/>
      <c r="T449" s="54" t="str">
        <f t="shared" si="97"/>
        <v>Metallographic Specimen Mounting Press from HST Group</v>
      </c>
      <c r="U449" s="54"/>
      <c r="V449" s="54" t="s">
        <v>2673</v>
      </c>
      <c r="W449" s="54" t="str">
        <f t="shared" si="98"/>
        <v>See other Metallographic Equipment products</v>
      </c>
      <c r="X449" s="54" t="str">
        <f t="shared" si="99"/>
        <v>Metallographic Equipment enquiry → website group enquiry form → category owner assignment</v>
      </c>
      <c r="Y449" s="54" t="str">
        <f t="shared" si="100"/>
        <v>Metallographic Specimen Mounting Press, Metallographic Equipment, HST Group, technical equipment, DIWAN</v>
      </c>
      <c r="Z449" s="54" t="s">
        <v>2292</v>
      </c>
      <c r="AA449" s="55">
        <v>46257</v>
      </c>
      <c r="AB449" s="54" t="s">
        <v>2465</v>
      </c>
      <c r="AC449" s="63" t="str">
        <f t="shared" si="101"/>
        <v>Content drafted - assets/specs pending</v>
      </c>
      <c r="AD44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49" s="58"/>
      <c r="AF449" s="58"/>
      <c r="AG449" s="58" t="s">
        <v>2467</v>
      </c>
      <c r="AH449" s="58" t="s">
        <v>2468</v>
      </c>
      <c r="AI449" s="58" t="s">
        <v>2469</v>
      </c>
    </row>
    <row r="450" spans="1:35" ht="42" customHeight="1" x14ac:dyDescent="0.35">
      <c r="A450" s="69">
        <f t="shared" si="92"/>
        <v>73</v>
      </c>
      <c r="B450" s="70" t="s">
        <v>511</v>
      </c>
      <c r="C450" s="71" t="s">
        <v>28</v>
      </c>
      <c r="D450" s="72" t="s">
        <v>12</v>
      </c>
      <c r="E450" s="45" t="s">
        <v>517</v>
      </c>
      <c r="F450" s="49" t="s">
        <v>3035</v>
      </c>
      <c r="G450" s="45" t="s">
        <v>3045</v>
      </c>
      <c r="H450" s="47">
        <v>46257</v>
      </c>
      <c r="I450" s="48" t="s">
        <v>1952</v>
      </c>
      <c r="J450" s="48" t="s">
        <v>1247</v>
      </c>
      <c r="K450" s="48" t="str">
        <f t="shared" si="93"/>
        <v>Metallographic Specimen Pre-Grinding Machine is a metallographic equipment product from HST Group for application-specific laboratory, engineering or industrial use.</v>
      </c>
      <c r="L450" s="48" t="str">
        <f t="shared" si="94"/>
        <v>Metallographic Specimen Pre-Grinding Machine from HST Group for metallographic equipment applications. Review configuration requirements and request technical information or a quotation from DIWAN.</v>
      </c>
      <c r="M450" s="48" t="s">
        <v>2020</v>
      </c>
      <c r="N450" s="61" t="s">
        <v>2672</v>
      </c>
      <c r="O450" s="54" t="str" cm="1">
        <f t="array" ref="O450">_xlfn.LET(_xlpm.n,LOWER(E450),_xlpm.c,LOWER(B450),_xlpm.t,_xlfn.IFS(OR(ISNUMBER(SEARCH("lens",_xlpm.n)),ISNUMBER(SEARCH("optic",_xlpm.n)),ISNUMBER(SEARCH("polarizer",_xlpm.n))),"precision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"),E450&amp;" is "&amp;_xlpm.art&amp;_xlpm.t&amp;" from "&amp;C450&amp;" designed for application-specific laboratory, engineering or industrial use. It belongs to DIWAN's "&amp;B450&amp;" portfolio; final configuration must be selected against performance, integration and compliance requirements.")</f>
        <v>Metallographic Specimen Pre-Grinding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50" s="54" t="str">
        <f t="shared" si="95"/>
        <v>Selection should confirm the model-specific operating range, capacity, accuracy, interfaces, utilities, accessories, standards, environmental limits and service requirements. Final capabilities depend on the approved Metallographic Specimen Pre-Grinding Machine configuration.</v>
      </c>
      <c r="Q450" s="54"/>
      <c r="R450" s="54" t="str">
        <f t="shared" si="96"/>
        <v>Metallographic Equipment applications; laboratory research, engineering development, quality control and industrial deployment where applicable. Suitability must be confirmed against the user's sample, process, environment and required standards.</v>
      </c>
      <c r="S450" s="54"/>
      <c r="T450" s="54" t="str">
        <f t="shared" si="97"/>
        <v>Metallographic Specimen Pre-Grinding Machine from HST Group</v>
      </c>
      <c r="U450" s="54"/>
      <c r="V450" s="54" t="s">
        <v>2673</v>
      </c>
      <c r="W450" s="54" t="str">
        <f t="shared" si="98"/>
        <v>See other Metallographic Equipment products</v>
      </c>
      <c r="X450" s="54" t="str">
        <f t="shared" si="99"/>
        <v>Metallographic Equipment enquiry → website group enquiry form → category owner assignment</v>
      </c>
      <c r="Y450" s="54" t="str">
        <f t="shared" si="100"/>
        <v>Metallographic Specimen Pre-Grinding Machine, Metallographic Equipment, HST Group, technical equipment, DIWAN</v>
      </c>
      <c r="Z450" s="54" t="s">
        <v>2292</v>
      </c>
      <c r="AA450" s="55">
        <v>46257</v>
      </c>
      <c r="AB450" s="54" t="s">
        <v>2465</v>
      </c>
      <c r="AC450" s="63" t="str">
        <f t="shared" si="101"/>
        <v>Content drafted - assets/specs pending</v>
      </c>
      <c r="AD45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0" s="58"/>
      <c r="AF450" s="58"/>
      <c r="AG450" s="58" t="s">
        <v>2467</v>
      </c>
      <c r="AH450" s="58" t="s">
        <v>2468</v>
      </c>
      <c r="AI450" s="58" t="s">
        <v>2469</v>
      </c>
    </row>
    <row r="451" spans="1:35" ht="42" customHeight="1" x14ac:dyDescent="0.35">
      <c r="A451" s="69">
        <f t="shared" si="92"/>
        <v>73</v>
      </c>
      <c r="B451" s="70" t="s">
        <v>511</v>
      </c>
      <c r="C451" s="71" t="s">
        <v>28</v>
      </c>
      <c r="D451" s="72" t="s">
        <v>12</v>
      </c>
      <c r="E451" s="45" t="s">
        <v>518</v>
      </c>
      <c r="F451" s="49" t="s">
        <v>3035</v>
      </c>
      <c r="G451" s="45" t="s">
        <v>3045</v>
      </c>
      <c r="H451" s="47">
        <v>46257</v>
      </c>
      <c r="I451" s="48" t="s">
        <v>1953</v>
      </c>
      <c r="J451" s="48" t="s">
        <v>1248</v>
      </c>
      <c r="K451" s="48" t="str">
        <f t="shared" si="93"/>
        <v>Metallographic Specimen Polishing Machine is a metallographic equipment product from HST Group for application-specific laboratory, engineering or industrial use.</v>
      </c>
      <c r="L451" s="48" t="str">
        <f t="shared" si="94"/>
        <v>Metallographic Specimen Polishing Machine from HST Group for metallographic equipment applications. Review configuration requirements and request technical information or a quotation from DIWAN.</v>
      </c>
      <c r="M451" s="48" t="s">
        <v>2020</v>
      </c>
      <c r="N451" s="61" t="s">
        <v>2672</v>
      </c>
      <c r="O451" s="54" t="str" cm="1">
        <f t="array" ref="O451">_xlfn.LET(_xlpm.n,LOWER(E451),_xlpm.c,LOWER(B451),_xlpm.t,_xlfn.IFS(OR(ISNUMBER(SEARCH("lens",_xlpm.n)),ISNUMBER(SEARCH("optic",_xlpm.n)),ISNUMBER(SEARCH("polarizer",_xlpm.n))),"precision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"),E451&amp;" is "&amp;_xlpm.art&amp;_xlpm.t&amp;" from "&amp;C451&amp;" designed for application-specific laboratory, engineering or industrial use. It belongs to DIWAN's "&amp;B451&amp;" portfolio; final configuration must be selected against performance, integration and compliance requirements.")</f>
        <v>Metallographic Specimen Polishing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51" s="54" t="str">
        <f t="shared" si="95"/>
        <v>Selection should confirm the model-specific operating range, capacity, accuracy, interfaces, utilities, accessories, standards, environmental limits and service requirements. Final capabilities depend on the approved Metallographic Specimen Polishing Machine configuration.</v>
      </c>
      <c r="Q451" s="54"/>
      <c r="R451" s="54" t="str">
        <f t="shared" si="96"/>
        <v>Metallographic Equipment applications; laboratory research, engineering development, quality control and industrial deployment where applicable. Suitability must be confirmed against the user's sample, process, environment and required standards.</v>
      </c>
      <c r="S451" s="54"/>
      <c r="T451" s="54" t="str">
        <f t="shared" si="97"/>
        <v>Metallographic Specimen Polishing Machine from HST Group</v>
      </c>
      <c r="U451" s="54"/>
      <c r="V451" s="54" t="s">
        <v>2673</v>
      </c>
      <c r="W451" s="54" t="str">
        <f t="shared" si="98"/>
        <v>See other Metallographic Equipment products</v>
      </c>
      <c r="X451" s="54" t="str">
        <f t="shared" si="99"/>
        <v>Metallographic Equipment enquiry → website group enquiry form → category owner assignment</v>
      </c>
      <c r="Y451" s="54" t="str">
        <f t="shared" si="100"/>
        <v>Metallographic Specimen Polishing Machine, Metallographic Equipment, HST Group, technical equipment, DIWAN</v>
      </c>
      <c r="Z451" s="54" t="s">
        <v>2292</v>
      </c>
      <c r="AA451" s="55">
        <v>46257</v>
      </c>
      <c r="AB451" s="54" t="s">
        <v>2465</v>
      </c>
      <c r="AC451" s="63" t="str">
        <f t="shared" si="101"/>
        <v>Content drafted - assets/specs pending</v>
      </c>
      <c r="AD451"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1" s="58"/>
      <c r="AF451" s="58"/>
      <c r="AG451" s="58" t="s">
        <v>2467</v>
      </c>
      <c r="AH451" s="58" t="s">
        <v>2468</v>
      </c>
      <c r="AI451" s="58" t="s">
        <v>2469</v>
      </c>
    </row>
    <row r="452" spans="1:35" ht="42" customHeight="1" x14ac:dyDescent="0.35">
      <c r="A452" s="69">
        <f t="shared" ref="A452:A515" si="103">IF(B452=B451,A451,A451+1)</f>
        <v>73</v>
      </c>
      <c r="B452" s="70" t="s">
        <v>511</v>
      </c>
      <c r="C452" s="71" t="s">
        <v>28</v>
      </c>
      <c r="D452" s="72" t="s">
        <v>12</v>
      </c>
      <c r="E452" s="45" t="s">
        <v>519</v>
      </c>
      <c r="F452" s="49" t="s">
        <v>3035</v>
      </c>
      <c r="G452" s="45" t="s">
        <v>3045</v>
      </c>
      <c r="H452" s="47">
        <v>46257</v>
      </c>
      <c r="I452" s="48" t="s">
        <v>1954</v>
      </c>
      <c r="J452" s="48" t="s">
        <v>1249</v>
      </c>
      <c r="K452" s="48" t="str">
        <f t="shared" si="93"/>
        <v>Metallographic Specimen Grinding Polishing Machine is a metallographic equipment product from HST Group for application-specific laboratory, engineering or industrial use.</v>
      </c>
      <c r="L452" s="48" t="str">
        <f t="shared" si="94"/>
        <v>Metallographic Specimen Grinding Polishing Machine from HST Group for metallographic equipment applications. Review configuration requirements and request technical information or a quotation from DIWAN.</v>
      </c>
      <c r="M452" s="48" t="s">
        <v>2020</v>
      </c>
      <c r="N452" s="61" t="s">
        <v>2672</v>
      </c>
      <c r="O452" s="54" t="str" cm="1">
        <f t="array" ref="O452">_xlfn.LET(_xlpm.n,LOWER(E452),_xlpm.c,LOWER(B452),_xlpm.t,_xlfn.IFS(OR(ISNUMBER(SEARCH("lens",_xlpm.n)),ISNUMBER(SEARCH("optic",_xlpm.n)),ISNUMBER(SEARCH("polarizer",_xlpm.n))),"precision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"),E452&amp;" is "&amp;_xlpm.art&amp;_xlpm.t&amp;" from "&amp;C452&amp;" designed for application-specific laboratory, engineering or industrial use. It belongs to DIWAN's "&amp;B452&amp;" portfolio; final configuration must be selected against performance, integration and compliance requirements.")</f>
        <v>Metallographic Specimen Grinding Polishing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52" s="54" t="str">
        <f t="shared" si="95"/>
        <v>Selection should confirm the model-specific operating range, capacity, accuracy, interfaces, utilities, accessories, standards, environmental limits and service requirements. Final capabilities depend on the approved Metallographic Specimen Grinding Polishing Machine configuration.</v>
      </c>
      <c r="Q452" s="54"/>
      <c r="R452" s="54" t="str">
        <f t="shared" si="96"/>
        <v>Metallographic Equipment applications; laboratory research, engineering development, quality control and industrial deployment where applicable. Suitability must be confirmed against the user's sample, process, environment and required standards.</v>
      </c>
      <c r="S452" s="54"/>
      <c r="T452" s="54" t="str">
        <f t="shared" si="97"/>
        <v>Metallographic Specimen Grinding Polishing Machine from HST Group</v>
      </c>
      <c r="U452" s="54"/>
      <c r="V452" s="54" t="s">
        <v>2673</v>
      </c>
      <c r="W452" s="54" t="str">
        <f t="shared" si="98"/>
        <v>See other Metallographic Equipment products</v>
      </c>
      <c r="X452" s="54" t="str">
        <f t="shared" si="99"/>
        <v>Metallographic Equipment enquiry → website group enquiry form → category owner assignment</v>
      </c>
      <c r="Y452" s="54" t="str">
        <f t="shared" si="100"/>
        <v>Metallographic Specimen Grinding Polishing Machine, Metallographic Equipment, HST Group, technical equipment, DIWAN</v>
      </c>
      <c r="Z452" s="54" t="s">
        <v>2292</v>
      </c>
      <c r="AA452" s="55">
        <v>46257</v>
      </c>
      <c r="AB452" s="54" t="s">
        <v>2465</v>
      </c>
      <c r="AC452" s="63" t="str">
        <f t="shared" si="101"/>
        <v>Content drafted - assets/specs pending</v>
      </c>
      <c r="AD45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2" s="58"/>
      <c r="AF452" s="58"/>
      <c r="AG452" s="58" t="s">
        <v>2467</v>
      </c>
      <c r="AH452" s="58" t="s">
        <v>2468</v>
      </c>
      <c r="AI452" s="58" t="s">
        <v>2469</v>
      </c>
    </row>
    <row r="453" spans="1:35" ht="42" customHeight="1" x14ac:dyDescent="0.35">
      <c r="A453" s="69">
        <f t="shared" si="103"/>
        <v>73</v>
      </c>
      <c r="B453" s="70" t="s">
        <v>511</v>
      </c>
      <c r="C453" s="71" t="s">
        <v>28</v>
      </c>
      <c r="D453" s="72" t="s">
        <v>12</v>
      </c>
      <c r="E453" s="45" t="s">
        <v>520</v>
      </c>
      <c r="F453" s="49" t="s">
        <v>3035</v>
      </c>
      <c r="G453" s="45" t="s">
        <v>3045</v>
      </c>
      <c r="H453" s="47">
        <v>46257</v>
      </c>
      <c r="I453" s="48" t="s">
        <v>1955</v>
      </c>
      <c r="J453" s="48" t="s">
        <v>1250</v>
      </c>
      <c r="K453" s="48" t="str">
        <f t="shared" si="93"/>
        <v>Metallographic Automatic Specimen Grinding Polishing Machine is a metallographic equipment product from HST Group for application-specific laboratory, engineering or industrial use.</v>
      </c>
      <c r="L453" s="48" t="str">
        <f t="shared" si="94"/>
        <v>Metallographic Automatic Specimen Grinding Polishing Machine from HST Group for metallographic equipment applications. Review configuration requirements and request technical information or a quotation from DIWAN.</v>
      </c>
      <c r="M453" s="48" t="s">
        <v>2020</v>
      </c>
      <c r="N453" s="61" t="s">
        <v>2672</v>
      </c>
      <c r="O453" s="54" t="str" cm="1">
        <f t="array" ref="O453">_xlfn.LET(_xlpm.n,LOWER(E453),_xlpm.c,LOWER(B453),_xlpm.t,_xlfn.IFS(OR(ISNUMBER(SEARCH("lens",_xlpm.n)),ISNUMBER(SEARCH("optic",_xlpm.n)),ISNUMBER(SEARCH("polarizer",_xlpm.n))),"precision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"),E453&amp;" is "&amp;_xlpm.art&amp;_xlpm.t&amp;" from "&amp;C453&amp;" designed for application-specific laboratory, engineering or industrial use. It belongs to DIWAN's "&amp;B453&amp;" portfolio; final configuration must be selected against performance, integration and compliance requirements.")</f>
        <v>Metallographic Automatic Specimen Grinding Polishing Machine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53" s="54" t="str">
        <f t="shared" si="95"/>
        <v>Selection should confirm the model-specific operating range, capacity, accuracy, interfaces, utilities, accessories, standards, environmental limits and service requirements. Final capabilities depend on the approved Metallographic Automatic Specimen Grinding Polishing Machine configuration.</v>
      </c>
      <c r="Q453" s="54"/>
      <c r="R453" s="54" t="str">
        <f t="shared" si="96"/>
        <v>Metallographic Equipment applications; laboratory research, engineering development, quality control and industrial deployment where applicable. Suitability must be confirmed against the user's sample, process, environment and required standards.</v>
      </c>
      <c r="S453" s="54"/>
      <c r="T453" s="54" t="str">
        <f t="shared" si="97"/>
        <v>Metallographic Automatic Specimen Grinding Polishing Machine from HST Group</v>
      </c>
      <c r="U453" s="54"/>
      <c r="V453" s="54" t="s">
        <v>2673</v>
      </c>
      <c r="W453" s="54" t="str">
        <f t="shared" si="98"/>
        <v>See other Metallographic Equipment products</v>
      </c>
      <c r="X453" s="54" t="str">
        <f t="shared" si="99"/>
        <v>Metallographic Equipment enquiry → website group enquiry form → category owner assignment</v>
      </c>
      <c r="Y453" s="54" t="str">
        <f t="shared" si="100"/>
        <v>Metallographic Automatic Specimen Grinding Polishing Machine, Metallographic Equipment, HST Group, technical equipment, DIWAN</v>
      </c>
      <c r="Z453" s="54" t="s">
        <v>2292</v>
      </c>
      <c r="AA453" s="55">
        <v>46257</v>
      </c>
      <c r="AB453" s="54" t="s">
        <v>2465</v>
      </c>
      <c r="AC453" s="63" t="str">
        <f t="shared" si="101"/>
        <v>Content drafted - assets/specs pending</v>
      </c>
      <c r="AD45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3" s="58"/>
      <c r="AF453" s="58"/>
      <c r="AG453" s="58" t="s">
        <v>2467</v>
      </c>
      <c r="AH453" s="58" t="s">
        <v>2468</v>
      </c>
      <c r="AI453" s="58" t="s">
        <v>2469</v>
      </c>
    </row>
    <row r="454" spans="1:35" ht="42" customHeight="1" x14ac:dyDescent="0.35">
      <c r="A454" s="69">
        <f t="shared" si="103"/>
        <v>73</v>
      </c>
      <c r="B454" s="70" t="s">
        <v>511</v>
      </c>
      <c r="C454" s="71" t="s">
        <v>28</v>
      </c>
      <c r="D454" s="72" t="s">
        <v>12</v>
      </c>
      <c r="E454" s="45" t="s">
        <v>521</v>
      </c>
      <c r="F454" s="49" t="s">
        <v>3035</v>
      </c>
      <c r="G454" s="45" t="s">
        <v>3045</v>
      </c>
      <c r="H454" s="47">
        <v>46257</v>
      </c>
      <c r="I454" s="48" t="s">
        <v>1956</v>
      </c>
      <c r="J454" s="48" t="s">
        <v>1251</v>
      </c>
      <c r="K454" s="48" t="str">
        <f t="shared" si="93"/>
        <v>Metallographic Grinding Polishing Consumables is a metallographic equipment product from HST Group for application-specific laboratory, engineering or industrial use.</v>
      </c>
      <c r="L454" s="48" t="str">
        <f t="shared" si="94"/>
        <v>Metallographic Grinding Polishing Consumables from HST Group for metallographic equipment applications. Review configuration requirements and request technical information or a quotation from DIWAN.</v>
      </c>
      <c r="M454" s="48" t="s">
        <v>2020</v>
      </c>
      <c r="N454" s="61" t="s">
        <v>2672</v>
      </c>
      <c r="O454" s="54" t="str" cm="1">
        <f t="array" ref="O454">_xlfn.LET(_xlpm.n,LOWER(E454),_xlpm.c,LOWER(B454),_xlpm.t,_xlfn.IFS(OR(ISNUMBER(SEARCH("lens",_xlpm.n)),ISNUMBER(SEARCH("optic",_xlpm.n)),ISNUMBER(SEARCH("polarizer",_xlpm.n))),"precision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"),E454&amp;" is "&amp;_xlpm.art&amp;_xlpm.t&amp;" from "&amp;C454&amp;" designed for application-specific laboratory, engineering or industrial use. It belongs to DIWAN's "&amp;B454&amp;" portfolio; final configuration must be selected against performance, integration and compliance requirements.")</f>
        <v>Metallographic Grinding Polishing Consumables is a specialized metallographic equipment product from HST Group designed for application-specific laboratory, engineering or industrial use. It belongs to DIWAN's Metallographic Equipment portfolio; final configuration must be selected against performance, integration and compliance requirements.</v>
      </c>
      <c r="P454" s="54" t="str">
        <f t="shared" si="95"/>
        <v>Selection should confirm the model-specific operating range, capacity, accuracy, interfaces, utilities, accessories, standards, environmental limits and service requirements. Final capabilities depend on the approved Metallographic Grinding Polishing Consumables configuration.</v>
      </c>
      <c r="Q454" s="54"/>
      <c r="R454" s="54" t="str">
        <f t="shared" si="96"/>
        <v>Metallographic Equipment applications; laboratory research, engineering development, quality control and industrial deployment where applicable. Suitability must be confirmed against the user's sample, process, environment and required standards.</v>
      </c>
      <c r="S454" s="54"/>
      <c r="T454" s="54" t="str">
        <f t="shared" si="97"/>
        <v>Metallographic Grinding Polishing Consumables from HST Group</v>
      </c>
      <c r="U454" s="54"/>
      <c r="V454" s="54" t="s">
        <v>2673</v>
      </c>
      <c r="W454" s="54" t="str">
        <f t="shared" si="98"/>
        <v>See other Metallographic Equipment products</v>
      </c>
      <c r="X454" s="54" t="str">
        <f t="shared" si="99"/>
        <v>Metallographic Equipment enquiry → website group enquiry form → category owner assignment</v>
      </c>
      <c r="Y454" s="54" t="str">
        <f t="shared" si="100"/>
        <v>Metallographic Grinding Polishing Consumables, Metallographic Equipment, HST Group, technical equipment, DIWAN</v>
      </c>
      <c r="Z454" s="54" t="s">
        <v>2292</v>
      </c>
      <c r="AA454" s="55">
        <v>46257</v>
      </c>
      <c r="AB454" s="54" t="s">
        <v>2465</v>
      </c>
      <c r="AC454" s="63" t="str">
        <f t="shared" si="101"/>
        <v>Content drafted - assets/specs pending</v>
      </c>
      <c r="AD45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4" s="58"/>
      <c r="AF454" s="58"/>
      <c r="AG454" s="58" t="s">
        <v>2467</v>
      </c>
      <c r="AH454" s="58" t="s">
        <v>2468</v>
      </c>
      <c r="AI454" s="58" t="s">
        <v>2469</v>
      </c>
    </row>
    <row r="455" spans="1:35" ht="42" customHeight="1" x14ac:dyDescent="0.35">
      <c r="A455" s="69">
        <f t="shared" si="103"/>
        <v>73</v>
      </c>
      <c r="B455" s="70" t="s">
        <v>511</v>
      </c>
      <c r="C455" s="71" t="s">
        <v>28</v>
      </c>
      <c r="D455" s="72" t="s">
        <v>12</v>
      </c>
      <c r="E455" s="45" t="s">
        <v>522</v>
      </c>
      <c r="F455" s="49" t="s">
        <v>3035</v>
      </c>
      <c r="G455" s="45" t="s">
        <v>3045</v>
      </c>
      <c r="H455" s="47">
        <v>46257</v>
      </c>
      <c r="I455" s="48" t="s">
        <v>1957</v>
      </c>
      <c r="J455" s="48" t="s">
        <v>1252</v>
      </c>
      <c r="K455" s="48" t="str">
        <f t="shared" si="93"/>
        <v>Spectrometer is a metallographic equipment product from HST Group for application-specific laboratory, engineering or industrial use.</v>
      </c>
      <c r="L455" s="48" t="str">
        <f t="shared" si="94"/>
        <v>Spectrometer from HST Group for metallographic equipment applications. Review configuration requirements and request technical information or a quotation from DIWAN.</v>
      </c>
      <c r="M455" s="48" t="s">
        <v>2020</v>
      </c>
      <c r="N455" s="61" t="s">
        <v>2672</v>
      </c>
      <c r="O455" s="54" t="str" cm="1">
        <f t="array" ref="O455">_xlfn.LET(_xlpm.n,LOWER(E455),_xlpm.c,LOWER(B455),_xlpm.t,_xlfn.IFS(OR(ISNUMBER(SEARCH("lens",_xlpm.n)),ISNUMBER(SEARCH("optic",_xlpm.n)),ISNUMBER(SEARCH("polarizer",_xlpm.n))),"precision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"),E455&amp;" is "&amp;_xlpm.art&amp;_xlpm.t&amp;" from "&amp;C455&amp;" designed for application-specific laboratory, engineering or industrial use. It belongs to DIWAN's "&amp;B455&amp;" portfolio; final configuration must be selected against performance, integration and compliance requirements.")</f>
        <v>Spectrometer is an analytical laboratory instrument from HST Group designed for application-specific laboratory, engineering or industrial use. It belongs to DIWAN's Metallographic Equipment portfolio; final configuration must be selected against performance, integration and compliance requirements.</v>
      </c>
      <c r="P455" s="54" t="str">
        <f t="shared" si="95"/>
        <v>Selection should confirm the model-specific operating range, capacity, accuracy, interfaces, utilities, accessories, standards, environmental limits and service requirements. Final capabilities depend on the approved Spectrometer configuration.</v>
      </c>
      <c r="Q455" s="54"/>
      <c r="R455" s="54" t="str">
        <f t="shared" si="96"/>
        <v>Metallographic Equipment applications; laboratory research, engineering development, quality control and industrial deployment where applicable. Suitability must be confirmed against the user's sample, process, environment and required standards.</v>
      </c>
      <c r="S455" s="54"/>
      <c r="T455" s="54" t="str">
        <f t="shared" si="97"/>
        <v>Spectrometer from HST Group</v>
      </c>
      <c r="U455" s="54"/>
      <c r="V455" s="54" t="s">
        <v>2673</v>
      </c>
      <c r="W455" s="54" t="str">
        <f t="shared" si="98"/>
        <v>See other Metallographic Equipment products</v>
      </c>
      <c r="X455" s="54" t="str">
        <f t="shared" si="99"/>
        <v>Metallographic Equipment enquiry → website group enquiry form → category owner assignment</v>
      </c>
      <c r="Y455" s="54" t="str">
        <f t="shared" si="100"/>
        <v>Spectrometer, Metallographic Equipment, HST Group, technical equipment, DIWAN</v>
      </c>
      <c r="Z455" s="54" t="s">
        <v>2292</v>
      </c>
      <c r="AA455" s="55">
        <v>46257</v>
      </c>
      <c r="AB455" s="54" t="s">
        <v>2465</v>
      </c>
      <c r="AC455" s="63" t="str">
        <f t="shared" si="101"/>
        <v>Content drafted - assets/specs pending</v>
      </c>
      <c r="AD455"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5" s="58"/>
      <c r="AF455" s="58"/>
      <c r="AG455" s="58" t="s">
        <v>2467</v>
      </c>
      <c r="AH455" s="58" t="s">
        <v>2468</v>
      </c>
      <c r="AI455" s="58" t="s">
        <v>2469</v>
      </c>
    </row>
    <row r="456" spans="1:35" ht="42" customHeight="1" thickBot="1" x14ac:dyDescent="0.4">
      <c r="A456" s="69">
        <f t="shared" si="103"/>
        <v>73</v>
      </c>
      <c r="B456" s="70" t="s">
        <v>511</v>
      </c>
      <c r="C456" s="71" t="s">
        <v>28</v>
      </c>
      <c r="D456" s="72" t="s">
        <v>12</v>
      </c>
      <c r="E456" s="45" t="s">
        <v>523</v>
      </c>
      <c r="F456" s="49" t="s">
        <v>3035</v>
      </c>
      <c r="G456" s="45" t="s">
        <v>3045</v>
      </c>
      <c r="H456" s="47">
        <v>46257</v>
      </c>
      <c r="I456" s="48" t="s">
        <v>1958</v>
      </c>
      <c r="J456" s="48" t="s">
        <v>1253</v>
      </c>
      <c r="K456" s="48" t="str">
        <f t="shared" si="93"/>
        <v>Metallographic Analysis Software is a metallographic equipment product from HST Group for application-specific laboratory, engineering or industrial use.</v>
      </c>
      <c r="L456" s="48" t="str">
        <f t="shared" si="94"/>
        <v>Metallographic Analysis Software from HST Group for metallographic equipment applications. Review configuration requirements and request technical information or a quotation from DIWAN.</v>
      </c>
      <c r="M456" s="48" t="s">
        <v>2020</v>
      </c>
      <c r="N456" s="61" t="s">
        <v>2672</v>
      </c>
      <c r="O456" s="54" t="str" cm="1">
        <f t="array" ref="O456">_xlfn.LET(_xlpm.n,LOWER(E456),_xlpm.c,LOWER(B456),_xlpm.t,_xlfn.IFS(OR(ISNUMBER(SEARCH("lens",_xlpm.n)),ISNUMBER(SEARCH("optic",_xlpm.n)),ISNUMBER(SEARCH("polarizer",_xlpm.n))),"precision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"),E456&amp;" is "&amp;_xlpm.art&amp;_xlpm.t&amp;" from "&amp;C456&amp;" designed for application-specific laboratory, engineering or industrial use. It belongs to DIWAN's "&amp;B456&amp;" portfolio; final configuration must be selected against performance, integration and compliance requirements.")</f>
        <v>Metallographic Analysis Software is a specialized engineering software platform from HST Group designed for application-specific laboratory, engineering or industrial use. It belongs to DIWAN's Metallographic Equipment portfolio; final configuration must be selected against performance, integration and compliance requirements.</v>
      </c>
      <c r="P456" s="54" t="str">
        <f t="shared" si="95"/>
        <v>Selection should confirm the model-specific operating range, capacity, accuracy, interfaces, utilities, accessories, standards, environmental limits and service requirements. Final capabilities depend on the approved Metallographic Analysis Software configuration.</v>
      </c>
      <c r="Q456" s="54"/>
      <c r="R456" s="54" t="str">
        <f t="shared" si="96"/>
        <v>Metallographic Equipment applications; laboratory research, engineering development, quality control and industrial deployment where applicable. Suitability must be confirmed against the user's sample, process, environment and required standards.</v>
      </c>
      <c r="S456" s="54"/>
      <c r="T456" s="54" t="str">
        <f t="shared" si="97"/>
        <v>Metallographic Analysis Software from HST Group</v>
      </c>
      <c r="U456" s="54"/>
      <c r="V456" s="54" t="s">
        <v>2673</v>
      </c>
      <c r="W456" s="54" t="str">
        <f t="shared" si="98"/>
        <v>See other Metallographic Equipment products</v>
      </c>
      <c r="X456" s="54" t="str">
        <f t="shared" si="99"/>
        <v>Metallographic Equipment enquiry → website group enquiry form → category owner assignment</v>
      </c>
      <c r="Y456" s="54" t="str">
        <f t="shared" si="100"/>
        <v>Metallographic Analysis Software, Metallographic Equipment, HST Group, technical equipment, DIWAN</v>
      </c>
      <c r="Z456" s="54" t="s">
        <v>2292</v>
      </c>
      <c r="AA456" s="55">
        <v>46257</v>
      </c>
      <c r="AB456" s="54" t="s">
        <v>2465</v>
      </c>
      <c r="AC456" s="63" t="str">
        <f t="shared" si="101"/>
        <v>Content drafted - assets/specs pending</v>
      </c>
      <c r="AD45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6" s="58"/>
      <c r="AF456" s="58"/>
      <c r="AG456" s="58" t="s">
        <v>2467</v>
      </c>
      <c r="AH456" s="58" t="s">
        <v>2468</v>
      </c>
      <c r="AI456" s="58" t="s">
        <v>2469</v>
      </c>
    </row>
    <row r="457" spans="1:35" ht="42" customHeight="1" x14ac:dyDescent="0.35">
      <c r="A457" s="69">
        <f t="shared" si="103"/>
        <v>74</v>
      </c>
      <c r="B457" s="74" t="s">
        <v>524</v>
      </c>
      <c r="C457" s="75" t="s">
        <v>28</v>
      </c>
      <c r="D457" s="76" t="s">
        <v>12</v>
      </c>
      <c r="E457" s="77" t="s">
        <v>525</v>
      </c>
      <c r="F457" s="86" t="s">
        <v>3036</v>
      </c>
      <c r="G457" s="77" t="s">
        <v>3045</v>
      </c>
      <c r="H457" s="79">
        <v>46257</v>
      </c>
      <c r="I457" s="80" t="s">
        <v>1959</v>
      </c>
      <c r="J457" s="80" t="s">
        <v>1254</v>
      </c>
      <c r="K457" s="80" t="str">
        <f t="shared" si="93"/>
        <v>Dynamic and Static Fatigue Testing Machine is a fatigue testing machines product from HST Group for application-specific laboratory, engineering or industrial use.</v>
      </c>
      <c r="L457" s="80" t="str">
        <f t="shared" si="94"/>
        <v>Dynamic and Static Fatigue Testing Machine from HST Group for fatigue testing machines applications. Review configuration requirements and request technical information or a quotation from DIWAN.</v>
      </c>
      <c r="M457" s="80" t="s">
        <v>2020</v>
      </c>
      <c r="N457" s="81" t="s">
        <v>2672</v>
      </c>
      <c r="O457" s="82" t="str" cm="1">
        <f t="array" ref="O457">_xlfn.LET(_xlpm.n,LOWER(E457),_xlpm.c,LOWER(B457),_xlpm.t,_xlfn.IFS(OR(ISNUMBER(SEARCH("lens",_xlpm.n)),ISNUMBER(SEARCH("optic",_xlpm.n)),ISNUMBER(SEARCH("polarizer",_xlpm.n))),"precision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"),E457&amp;" is "&amp;_xlpm.art&amp;_xlpm.t&amp;" from "&amp;C457&amp;" designed for application-specific laboratory, engineering or industrial use. It belongs to DIWAN's "&amp;B457&amp;" portfolio; final configuration must be selected against performance, integration and compliance requirements.")</f>
        <v>Dynamic and Static 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57" s="82" t="str">
        <f t="shared" si="95"/>
        <v>Selection should confirm the model-specific operating range, capacity, accuracy, interfaces, utilities, accessories, standards, environmental limits and service requirements. Final capabilities depend on the approved Dynamic and Static Fatigue Testing Machine configuration.</v>
      </c>
      <c r="Q457" s="82"/>
      <c r="R457" s="82" t="str">
        <f t="shared" si="96"/>
        <v>Fatigue Testing Machines applications; laboratory research, engineering development, quality control and industrial deployment where applicable. Suitability must be confirmed against the user's sample, process, environment and required standards.</v>
      </c>
      <c r="S457" s="82"/>
      <c r="T457" s="82" t="str">
        <f t="shared" si="97"/>
        <v>Dynamic and Static Fatigue Testing Machine from HST Group</v>
      </c>
      <c r="U457" s="82"/>
      <c r="V457" s="82" t="s">
        <v>2673</v>
      </c>
      <c r="W457" s="82" t="str">
        <f t="shared" si="98"/>
        <v>See other Fatigue Testing Machines products</v>
      </c>
      <c r="X457" s="82" t="str">
        <f t="shared" si="99"/>
        <v>Fatigue Testing Machines enquiry → website group enquiry form → category owner assignment</v>
      </c>
      <c r="Y457" s="82" t="str">
        <f t="shared" si="100"/>
        <v>Dynamic and Static Fatigue Testing Machine, Fatigue Testing Machines, HST Group, technical equipment, DIWAN</v>
      </c>
      <c r="Z457" s="82" t="s">
        <v>2293</v>
      </c>
      <c r="AA457" s="83">
        <v>46257</v>
      </c>
      <c r="AB457" s="82" t="s">
        <v>2465</v>
      </c>
      <c r="AC457" s="84" t="str">
        <f t="shared" si="101"/>
        <v>Content drafted - assets/specs pending</v>
      </c>
      <c r="AD457"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7" s="85"/>
      <c r="AF457" s="85"/>
      <c r="AG457" s="85" t="s">
        <v>2467</v>
      </c>
      <c r="AH457" s="85" t="s">
        <v>2468</v>
      </c>
      <c r="AI457" s="85" t="s">
        <v>2469</v>
      </c>
    </row>
    <row r="458" spans="1:35" ht="42" customHeight="1" x14ac:dyDescent="0.35">
      <c r="A458" s="69">
        <f t="shared" si="103"/>
        <v>74</v>
      </c>
      <c r="B458" s="70" t="s">
        <v>524</v>
      </c>
      <c r="C458" s="71" t="s">
        <v>28</v>
      </c>
      <c r="D458" s="72" t="s">
        <v>12</v>
      </c>
      <c r="E458" s="45" t="s">
        <v>526</v>
      </c>
      <c r="F458" s="49" t="s">
        <v>3036</v>
      </c>
      <c r="G458" s="45" t="s">
        <v>3045</v>
      </c>
      <c r="H458" s="47">
        <v>46257</v>
      </c>
      <c r="I458" s="48" t="s">
        <v>1960</v>
      </c>
      <c r="J458" s="48" t="s">
        <v>1255</v>
      </c>
      <c r="K458" s="48" t="str">
        <f t="shared" si="93"/>
        <v>Tension Compression Fatigue Testing Machine is a fatigue testing machines product from HST Group for application-specific laboratory, engineering or industrial use.</v>
      </c>
      <c r="L458" s="48" t="str">
        <f t="shared" si="94"/>
        <v>Tension Compression Fatigue Testing Machine from HST Group for fatigue testing machines applications. Review configuration requirements and request technical information or a quotation from DIWAN.</v>
      </c>
      <c r="M458" s="48" t="s">
        <v>2020</v>
      </c>
      <c r="N458" s="61" t="s">
        <v>2672</v>
      </c>
      <c r="O458" s="54" t="str" cm="1">
        <f t="array" ref="O458">_xlfn.LET(_xlpm.n,LOWER(E458),_xlpm.c,LOWER(B458),_xlpm.t,_xlfn.IFS(OR(ISNUMBER(SEARCH("lens",_xlpm.n)),ISNUMBER(SEARCH("optic",_xlpm.n)),ISNUMBER(SEARCH("polarizer",_xlpm.n))),"precision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"),E458&amp;" is "&amp;_xlpm.art&amp;_xlpm.t&amp;" from "&amp;C458&amp;" designed for application-specific laboratory, engineering or industrial use. It belongs to DIWAN's "&amp;B458&amp;" portfolio; final configuration must be selected against performance, integration and compliance requirements.")</f>
        <v>Tension Compression 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58" s="54" t="str">
        <f t="shared" si="95"/>
        <v>Selection should confirm the model-specific operating range, capacity, accuracy, interfaces, utilities, accessories, standards, environmental limits and service requirements. Final capabilities depend on the approved Tension Compression Fatigue Testing Machine configuration.</v>
      </c>
      <c r="Q458" s="54"/>
      <c r="R458" s="54" t="str">
        <f t="shared" si="96"/>
        <v>Fatigue Testing Machines applications; laboratory research, engineering development, quality control and industrial deployment where applicable. Suitability must be confirmed against the user's sample, process, environment and required standards.</v>
      </c>
      <c r="S458" s="54"/>
      <c r="T458" s="54" t="str">
        <f t="shared" si="97"/>
        <v>Tension Compression Fatigue Testing Machine from HST Group</v>
      </c>
      <c r="U458" s="54"/>
      <c r="V458" s="54" t="s">
        <v>2673</v>
      </c>
      <c r="W458" s="54" t="str">
        <f t="shared" si="98"/>
        <v>See other Fatigue Testing Machines products</v>
      </c>
      <c r="X458" s="54" t="str">
        <f t="shared" si="99"/>
        <v>Fatigue Testing Machines enquiry → website group enquiry form → category owner assignment</v>
      </c>
      <c r="Y458" s="54" t="str">
        <f t="shared" si="100"/>
        <v>Tension Compression Fatigue Testing Machine, Fatigue Testing Machines, HST Group, technical equipment, DIWAN</v>
      </c>
      <c r="Z458" s="54" t="s">
        <v>2293</v>
      </c>
      <c r="AA458" s="55">
        <v>46257</v>
      </c>
      <c r="AB458" s="54" t="s">
        <v>2465</v>
      </c>
      <c r="AC458" s="63" t="str">
        <f t="shared" si="101"/>
        <v>Content drafted - assets/specs pending</v>
      </c>
      <c r="AD45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8" s="58"/>
      <c r="AF458" s="58"/>
      <c r="AG458" s="58" t="s">
        <v>2467</v>
      </c>
      <c r="AH458" s="58" t="s">
        <v>2468</v>
      </c>
      <c r="AI458" s="58" t="s">
        <v>2469</v>
      </c>
    </row>
    <row r="459" spans="1:35" ht="42" customHeight="1" x14ac:dyDescent="0.35">
      <c r="A459" s="69">
        <f t="shared" si="103"/>
        <v>74</v>
      </c>
      <c r="B459" s="70" t="s">
        <v>524</v>
      </c>
      <c r="C459" s="71" t="s">
        <v>28</v>
      </c>
      <c r="D459" s="72" t="s">
        <v>12</v>
      </c>
      <c r="E459" s="45" t="s">
        <v>527</v>
      </c>
      <c r="F459" s="49" t="s">
        <v>3036</v>
      </c>
      <c r="G459" s="45" t="s">
        <v>3045</v>
      </c>
      <c r="H459" s="47">
        <v>46257</v>
      </c>
      <c r="I459" s="48" t="s">
        <v>1961</v>
      </c>
      <c r="J459" s="48" t="s">
        <v>1256</v>
      </c>
      <c r="K459" s="48" t="str">
        <f t="shared" si="93"/>
        <v>Fatigue Testing Machine is a fatigue testing machines product from HST Group for application-specific laboratory, engineering or industrial use.</v>
      </c>
      <c r="L459" s="48" t="str">
        <f t="shared" si="94"/>
        <v>Fatigue Testing Machine from HST Group for fatigue testing machines applications. Review configuration requirements and request technical information or a quotation from DIWAN.</v>
      </c>
      <c r="M459" s="48" t="s">
        <v>2020</v>
      </c>
      <c r="N459" s="61" t="s">
        <v>2672</v>
      </c>
      <c r="O459" s="54" t="str" cm="1">
        <f t="array" ref="O459">_xlfn.LET(_xlpm.n,LOWER(E459),_xlpm.c,LOWER(B459),_xlpm.t,_xlfn.IFS(OR(ISNUMBER(SEARCH("lens",_xlpm.n)),ISNUMBER(SEARCH("optic",_xlpm.n)),ISNUMBER(SEARCH("polarizer",_xlpm.n))),"precision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"),E459&amp;" is "&amp;_xlpm.art&amp;_xlpm.t&amp;" from "&amp;C459&amp;" designed for application-specific laboratory, engineering or industrial use. It belongs to DIWAN's "&amp;B459&amp;" portfolio; final configuration must be selected against performance, integration and compliance requirements.")</f>
        <v>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59" s="54" t="str">
        <f t="shared" si="95"/>
        <v>Selection should confirm the model-specific operating range, capacity, accuracy, interfaces, utilities, accessories, standards, environmental limits and service requirements. Final capabilities depend on the approved Fatigue Testing Machine configuration.</v>
      </c>
      <c r="Q459" s="54"/>
      <c r="R459" s="54" t="str">
        <f t="shared" si="96"/>
        <v>Fatigue Testing Machines applications; laboratory research, engineering development, quality control and industrial deployment where applicable. Suitability must be confirmed against the user's sample, process, environment and required standards.</v>
      </c>
      <c r="S459" s="54"/>
      <c r="T459" s="54" t="str">
        <f t="shared" si="97"/>
        <v>Fatigue Testing Machine from HST Group</v>
      </c>
      <c r="U459" s="54"/>
      <c r="V459" s="54" t="s">
        <v>2673</v>
      </c>
      <c r="W459" s="54" t="str">
        <f t="shared" si="98"/>
        <v>See other Fatigue Testing Machines products</v>
      </c>
      <c r="X459" s="54" t="str">
        <f t="shared" si="99"/>
        <v>Fatigue Testing Machines enquiry → website group enquiry form → category owner assignment</v>
      </c>
      <c r="Y459" s="54" t="str">
        <f t="shared" si="100"/>
        <v>Fatigue Testing Machine, Fatigue Testing Machines, HST Group, technical equipment, DIWAN</v>
      </c>
      <c r="Z459" s="54" t="s">
        <v>2293</v>
      </c>
      <c r="AA459" s="55">
        <v>46257</v>
      </c>
      <c r="AB459" s="54" t="s">
        <v>2465</v>
      </c>
      <c r="AC459" s="63" t="str">
        <f t="shared" si="101"/>
        <v>Content drafted - assets/specs pending</v>
      </c>
      <c r="AD45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59" s="58"/>
      <c r="AF459" s="58"/>
      <c r="AG459" s="58" t="s">
        <v>2467</v>
      </c>
      <c r="AH459" s="58" t="s">
        <v>2468</v>
      </c>
      <c r="AI459" s="58" t="s">
        <v>2469</v>
      </c>
    </row>
    <row r="460" spans="1:35" ht="42" customHeight="1" x14ac:dyDescent="0.35">
      <c r="A460" s="69">
        <f t="shared" si="103"/>
        <v>74</v>
      </c>
      <c r="B460" s="70" t="s">
        <v>524</v>
      </c>
      <c r="C460" s="71" t="s">
        <v>28</v>
      </c>
      <c r="D460" s="72" t="s">
        <v>12</v>
      </c>
      <c r="E460" s="45" t="s">
        <v>528</v>
      </c>
      <c r="F460" s="49" t="s">
        <v>3036</v>
      </c>
      <c r="G460" s="45" t="s">
        <v>3045</v>
      </c>
      <c r="H460" s="47">
        <v>46257</v>
      </c>
      <c r="I460" s="48" t="s">
        <v>1962</v>
      </c>
      <c r="J460" s="48" t="s">
        <v>1257</v>
      </c>
      <c r="K460" s="48" t="str">
        <f t="shared" si="93"/>
        <v>Bending Fatigue Testing Machine is a fatigue testing machines product from HST Group for application-specific laboratory, engineering or industrial use.</v>
      </c>
      <c r="L460" s="48" t="str">
        <f t="shared" si="94"/>
        <v>Bending Fatigue Testing Machine from HST Group for fatigue testing machines applications. Review configuration requirements and request technical information or a quotation from DIWAN.</v>
      </c>
      <c r="M460" s="48" t="s">
        <v>2020</v>
      </c>
      <c r="N460" s="61" t="s">
        <v>2672</v>
      </c>
      <c r="O460" s="54" t="str" cm="1">
        <f t="array" ref="O460">_xlfn.LET(_xlpm.n,LOWER(E460),_xlpm.c,LOWER(B460),_xlpm.t,_xlfn.IFS(OR(ISNUMBER(SEARCH("lens",_xlpm.n)),ISNUMBER(SEARCH("optic",_xlpm.n)),ISNUMBER(SEARCH("polarizer",_xlpm.n))),"precision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"),E460&amp;" is "&amp;_xlpm.art&amp;_xlpm.t&amp;" from "&amp;C460&amp;" designed for application-specific laboratory, engineering or industrial use. It belongs to DIWAN's "&amp;B460&amp;" portfolio; final configuration must be selected against performance, integration and compliance requirements.")</f>
        <v>Bending 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0" s="54" t="str">
        <f t="shared" si="95"/>
        <v>Selection should confirm the model-specific operating range, capacity, accuracy, interfaces, utilities, accessories, standards, environmental limits and service requirements. Final capabilities depend on the approved Bending Fatigue Testing Machine configuration.</v>
      </c>
      <c r="Q460" s="54"/>
      <c r="R460" s="54" t="str">
        <f t="shared" si="96"/>
        <v>Fatigue Testing Machines applications; laboratory research, engineering development, quality control and industrial deployment where applicable. Suitability must be confirmed against the user's sample, process, environment and required standards.</v>
      </c>
      <c r="S460" s="54"/>
      <c r="T460" s="54" t="str">
        <f t="shared" si="97"/>
        <v>Bending Fatigue Testing Machine from HST Group</v>
      </c>
      <c r="U460" s="54"/>
      <c r="V460" s="54" t="s">
        <v>2673</v>
      </c>
      <c r="W460" s="54" t="str">
        <f t="shared" si="98"/>
        <v>See other Fatigue Testing Machines products</v>
      </c>
      <c r="X460" s="54" t="str">
        <f t="shared" si="99"/>
        <v>Fatigue Testing Machines enquiry → website group enquiry form → category owner assignment</v>
      </c>
      <c r="Y460" s="54" t="str">
        <f t="shared" si="100"/>
        <v>Bending Fatigue Testing Machine, Fatigue Testing Machines, HST Group, technical equipment, DIWAN</v>
      </c>
      <c r="Z460" s="54" t="s">
        <v>2293</v>
      </c>
      <c r="AA460" s="55">
        <v>46257</v>
      </c>
      <c r="AB460" s="54" t="s">
        <v>2465</v>
      </c>
      <c r="AC460" s="63" t="str">
        <f t="shared" si="101"/>
        <v>Content drafted - assets/specs pending</v>
      </c>
      <c r="AD46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0" s="58"/>
      <c r="AF460" s="58"/>
      <c r="AG460" s="58" t="s">
        <v>2467</v>
      </c>
      <c r="AH460" s="58" t="s">
        <v>2468</v>
      </c>
      <c r="AI460" s="58" t="s">
        <v>2469</v>
      </c>
    </row>
    <row r="461" spans="1:35" ht="42" customHeight="1" x14ac:dyDescent="0.35">
      <c r="A461" s="69">
        <f t="shared" si="103"/>
        <v>74</v>
      </c>
      <c r="B461" s="70" t="s">
        <v>524</v>
      </c>
      <c r="C461" s="71" t="s">
        <v>28</v>
      </c>
      <c r="D461" s="72" t="s">
        <v>12</v>
      </c>
      <c r="E461" s="45" t="s">
        <v>529</v>
      </c>
      <c r="F461" s="49" t="s">
        <v>3036</v>
      </c>
      <c r="G461" s="45" t="s">
        <v>3045</v>
      </c>
      <c r="H461" s="47">
        <v>46257</v>
      </c>
      <c r="I461" s="48" t="s">
        <v>1963</v>
      </c>
      <c r="J461" s="48" t="s">
        <v>1258</v>
      </c>
      <c r="K461" s="48" t="str">
        <f t="shared" si="93"/>
        <v>Rock Dynamic Testing System is a fatigue testing machines product from HST Group for application-specific laboratory, engineering or industrial use.</v>
      </c>
      <c r="L461" s="48" t="str">
        <f t="shared" si="94"/>
        <v>Rock Dynamic Testing System from HST Group for fatigue testing machines applications. Review configuration requirements and request technical information or a quotation from DIWAN.</v>
      </c>
      <c r="M461" s="48" t="s">
        <v>2020</v>
      </c>
      <c r="N461" s="61" t="s">
        <v>2672</v>
      </c>
      <c r="O461" s="54" t="str" cm="1">
        <f t="array" ref="O461">_xlfn.LET(_xlpm.n,LOWER(E461),_xlpm.c,LOWER(B461),_xlpm.t,_xlfn.IFS(OR(ISNUMBER(SEARCH("lens",_xlpm.n)),ISNUMBER(SEARCH("optic",_xlpm.n)),ISNUMBER(SEARCH("polarizer",_xlpm.n))),"precision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"),E461&amp;" is "&amp;_xlpm.art&amp;_xlpm.t&amp;" from "&amp;C461&amp;" designed for application-specific laboratory, engineering or industrial use. It belongs to DIWAN's "&amp;B461&amp;" portfolio; final configuration must be selected against performance, integration and compliance requirements.")</f>
        <v>Rock Dynamic Testing System is a specialized fatigue testing machines product from HST Group designed for application-specific laboratory, engineering or industrial use. It belongs to DIWAN's Fatigue Testing Machines portfolio; final configuration must be selected against performance, integration and compliance requirements.</v>
      </c>
      <c r="P461" s="54" t="str">
        <f t="shared" si="95"/>
        <v>Selection should confirm the model-specific operating range, capacity, accuracy, interfaces, utilities, accessories, standards, environmental limits and service requirements. Final capabilities depend on the approved Rock Dynamic Testing System configuration.</v>
      </c>
      <c r="Q461" s="54"/>
      <c r="R461" s="54" t="str">
        <f t="shared" si="96"/>
        <v>Fatigue Testing Machines applications; laboratory research, engineering development, quality control and industrial deployment where applicable. Suitability must be confirmed against the user's sample, process, environment and required standards.</v>
      </c>
      <c r="S461" s="54"/>
      <c r="T461" s="54" t="str">
        <f t="shared" si="97"/>
        <v>Rock Dynamic Testing System from HST Group</v>
      </c>
      <c r="U461" s="54"/>
      <c r="V461" s="54" t="s">
        <v>2673</v>
      </c>
      <c r="W461" s="54" t="str">
        <f t="shared" si="98"/>
        <v>See other Fatigue Testing Machines products</v>
      </c>
      <c r="X461" s="54" t="str">
        <f t="shared" si="99"/>
        <v>Fatigue Testing Machines enquiry → website group enquiry form → category owner assignment</v>
      </c>
      <c r="Y461" s="54" t="str">
        <f t="shared" si="100"/>
        <v>Rock Dynamic Testing System, Fatigue Testing Machines, HST Group, technical equipment, DIWAN</v>
      </c>
      <c r="Z461" s="54" t="s">
        <v>2293</v>
      </c>
      <c r="AA461" s="55">
        <v>46257</v>
      </c>
      <c r="AB461" s="54" t="s">
        <v>2465</v>
      </c>
      <c r="AC461" s="63" t="str">
        <f t="shared" si="101"/>
        <v>Content drafted - assets/specs pending</v>
      </c>
      <c r="AD461"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1" s="58"/>
      <c r="AF461" s="58"/>
      <c r="AG461" s="58" t="s">
        <v>2467</v>
      </c>
      <c r="AH461" s="58" t="s">
        <v>2468</v>
      </c>
      <c r="AI461" s="58" t="s">
        <v>2469</v>
      </c>
    </row>
    <row r="462" spans="1:35" ht="42" customHeight="1" x14ac:dyDescent="0.35">
      <c r="A462" s="69">
        <f t="shared" si="103"/>
        <v>74</v>
      </c>
      <c r="B462" s="70" t="s">
        <v>524</v>
      </c>
      <c r="C462" s="71" t="s">
        <v>28</v>
      </c>
      <c r="D462" s="72" t="s">
        <v>12</v>
      </c>
      <c r="E462" s="45" t="s">
        <v>530</v>
      </c>
      <c r="F462" s="49" t="s">
        <v>3036</v>
      </c>
      <c r="G462" s="45" t="s">
        <v>3045</v>
      </c>
      <c r="H462" s="47">
        <v>46257</v>
      </c>
      <c r="I462" s="48" t="s">
        <v>1964</v>
      </c>
      <c r="J462" s="48" t="s">
        <v>1259</v>
      </c>
      <c r="K462" s="48" t="str">
        <f t="shared" si="93"/>
        <v>Rock Dynamic and Static Triaxial Testing System is a fatigue testing machines product from HST Group for application-specific laboratory, engineering or industrial use.</v>
      </c>
      <c r="L462" s="48" t="str">
        <f t="shared" si="94"/>
        <v>Rock Dynamic and Static Triaxial Testing System from HST Group for fatigue testing machines applications. Review configuration requirements and request technical information or a quotation from DIWAN.</v>
      </c>
      <c r="M462" s="48" t="s">
        <v>2020</v>
      </c>
      <c r="N462" s="61" t="s">
        <v>2672</v>
      </c>
      <c r="O462" s="54" t="str" cm="1">
        <f t="array" ref="O462">_xlfn.LET(_xlpm.n,LOWER(E462),_xlpm.c,LOWER(B462),_xlpm.t,_xlfn.IFS(OR(ISNUMBER(SEARCH("lens",_xlpm.n)),ISNUMBER(SEARCH("optic",_xlpm.n)),ISNUMBER(SEARCH("polarizer",_xlpm.n))),"precision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"),E462&amp;" is "&amp;_xlpm.art&amp;_xlpm.t&amp;" from "&amp;C462&amp;" designed for application-specific laboratory, engineering or industrial use. It belongs to DIWAN's "&amp;B462&amp;" portfolio; final configuration must be selected against performance, integration and compliance requirements.")</f>
        <v>Rock Dynamic and Static Triaxial Testing System is a specialized fatigue testing machines product from HST Group designed for application-specific laboratory, engineering or industrial use. It belongs to DIWAN's Fatigue Testing Machines portfolio; final configuration must be selected against performance, integration and compliance requirements.</v>
      </c>
      <c r="P462" s="54" t="str">
        <f t="shared" si="95"/>
        <v>Selection should confirm the model-specific operating range, capacity, accuracy, interfaces, utilities, accessories, standards, environmental limits and service requirements. Final capabilities depend on the approved Rock Dynamic and Static Triaxial Testing System configuration.</v>
      </c>
      <c r="Q462" s="54"/>
      <c r="R462" s="54" t="str">
        <f t="shared" si="96"/>
        <v>Fatigue Testing Machines applications; laboratory research, engineering development, quality control and industrial deployment where applicable. Suitability must be confirmed against the user's sample, process, environment and required standards.</v>
      </c>
      <c r="S462" s="54"/>
      <c r="T462" s="54" t="str">
        <f t="shared" si="97"/>
        <v>Rock Dynamic and Static Triaxial Testing System from HST Group</v>
      </c>
      <c r="U462" s="54"/>
      <c r="V462" s="54" t="s">
        <v>2673</v>
      </c>
      <c r="W462" s="54" t="str">
        <f t="shared" si="98"/>
        <v>See other Fatigue Testing Machines products</v>
      </c>
      <c r="X462" s="54" t="str">
        <f t="shared" si="99"/>
        <v>Fatigue Testing Machines enquiry → website group enquiry form → category owner assignment</v>
      </c>
      <c r="Y462" s="54" t="str">
        <f t="shared" si="100"/>
        <v>Rock Dynamic and Static Triaxial Testing System, Fatigue Testing Machines, HST Group, technical equipment, DIWAN</v>
      </c>
      <c r="Z462" s="54" t="s">
        <v>2293</v>
      </c>
      <c r="AA462" s="55">
        <v>46257</v>
      </c>
      <c r="AB462" s="54" t="s">
        <v>2465</v>
      </c>
      <c r="AC462" s="63" t="str">
        <f t="shared" si="101"/>
        <v>Content drafted - assets/specs pending</v>
      </c>
      <c r="AD46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2" s="58"/>
      <c r="AF462" s="58"/>
      <c r="AG462" s="58" t="s">
        <v>2467</v>
      </c>
      <c r="AH462" s="58" t="s">
        <v>2468</v>
      </c>
      <c r="AI462" s="58" t="s">
        <v>2469</v>
      </c>
    </row>
    <row r="463" spans="1:35" ht="42" customHeight="1" x14ac:dyDescent="0.35">
      <c r="A463" s="69">
        <f t="shared" si="103"/>
        <v>74</v>
      </c>
      <c r="B463" s="70" t="s">
        <v>524</v>
      </c>
      <c r="C463" s="71" t="s">
        <v>28</v>
      </c>
      <c r="D463" s="72" t="s">
        <v>12</v>
      </c>
      <c r="E463" s="45" t="s">
        <v>531</v>
      </c>
      <c r="F463" s="49" t="s">
        <v>3036</v>
      </c>
      <c r="G463" s="45" t="s">
        <v>3045</v>
      </c>
      <c r="H463" s="47">
        <v>46257</v>
      </c>
      <c r="I463" s="48" t="s">
        <v>1965</v>
      </c>
      <c r="J463" s="48" t="s">
        <v>1260</v>
      </c>
      <c r="K463" s="48" t="str">
        <f t="shared" si="93"/>
        <v>Rock Triaxial Creep Testing Machine is a fatigue testing machines product from HST Group for application-specific laboratory, engineering or industrial use.</v>
      </c>
      <c r="L463" s="48" t="str">
        <f t="shared" si="94"/>
        <v>Rock Triaxial Creep Testing Machine from HST Group for fatigue testing machines applications. Review configuration requirements and request technical information or a quotation from DIWAN.</v>
      </c>
      <c r="M463" s="48" t="s">
        <v>2020</v>
      </c>
      <c r="N463" s="61" t="s">
        <v>2672</v>
      </c>
      <c r="O463" s="54" t="str" cm="1">
        <f t="array" ref="O463">_xlfn.LET(_xlpm.n,LOWER(E463),_xlpm.c,LOWER(B463),_xlpm.t,_xlfn.IFS(OR(ISNUMBER(SEARCH("lens",_xlpm.n)),ISNUMBER(SEARCH("optic",_xlpm.n)),ISNUMBER(SEARCH("polarizer",_xlpm.n))),"precision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"),E463&amp;" is "&amp;_xlpm.art&amp;_xlpm.t&amp;" from "&amp;C463&amp;" designed for application-specific laboratory, engineering or industrial use. It belongs to DIWAN's "&amp;B463&amp;" portfolio; final configuration must be selected against performance, integration and compliance requirements.")</f>
        <v>Rock Triaxial Creep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3" s="54" t="str">
        <f t="shared" si="95"/>
        <v>Selection should confirm the model-specific operating range, capacity, accuracy, interfaces, utilities, accessories, standards, environmental limits and service requirements. Final capabilities depend on the approved Rock Triaxial Creep Testing Machine configuration.</v>
      </c>
      <c r="Q463" s="54"/>
      <c r="R463" s="54" t="str">
        <f t="shared" si="96"/>
        <v>Fatigue Testing Machines applications; laboratory research, engineering development, quality control and industrial deployment where applicable. Suitability must be confirmed against the user's sample, process, environment and required standards.</v>
      </c>
      <c r="S463" s="54"/>
      <c r="T463" s="54" t="str">
        <f t="shared" si="97"/>
        <v>Rock Triaxial Creep Testing Machine from HST Group</v>
      </c>
      <c r="U463" s="54"/>
      <c r="V463" s="54" t="s">
        <v>2673</v>
      </c>
      <c r="W463" s="54" t="str">
        <f t="shared" si="98"/>
        <v>See other Fatigue Testing Machines products</v>
      </c>
      <c r="X463" s="54" t="str">
        <f t="shared" si="99"/>
        <v>Fatigue Testing Machines enquiry → website group enquiry form → category owner assignment</v>
      </c>
      <c r="Y463" s="54" t="str">
        <f t="shared" si="100"/>
        <v>Rock Triaxial Creep Testing Machine, Fatigue Testing Machines, HST Group, technical equipment, DIWAN</v>
      </c>
      <c r="Z463" s="54" t="s">
        <v>2293</v>
      </c>
      <c r="AA463" s="55">
        <v>46257</v>
      </c>
      <c r="AB463" s="54" t="s">
        <v>2465</v>
      </c>
      <c r="AC463" s="63" t="str">
        <f t="shared" si="101"/>
        <v>Content drafted - assets/specs pending</v>
      </c>
      <c r="AD46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3" s="58"/>
      <c r="AF463" s="58"/>
      <c r="AG463" s="58" t="s">
        <v>2467</v>
      </c>
      <c r="AH463" s="58" t="s">
        <v>2468</v>
      </c>
      <c r="AI463" s="58" t="s">
        <v>2469</v>
      </c>
    </row>
    <row r="464" spans="1:35" ht="42" customHeight="1" x14ac:dyDescent="0.35">
      <c r="A464" s="69">
        <f t="shared" si="103"/>
        <v>74</v>
      </c>
      <c r="B464" s="70" t="s">
        <v>524</v>
      </c>
      <c r="C464" s="71" t="s">
        <v>28</v>
      </c>
      <c r="D464" s="72" t="s">
        <v>12</v>
      </c>
      <c r="E464" s="45" t="s">
        <v>532</v>
      </c>
      <c r="F464" s="49" t="s">
        <v>3036</v>
      </c>
      <c r="G464" s="45" t="s">
        <v>3045</v>
      </c>
      <c r="H464" s="47">
        <v>46257</v>
      </c>
      <c r="I464" s="48" t="s">
        <v>1966</v>
      </c>
      <c r="J464" s="48" t="s">
        <v>1261</v>
      </c>
      <c r="K464" s="48" t="str">
        <f t="shared" si="93"/>
        <v>Dynamic and Static Universal Testing Machine is a fatigue testing machines product from HST Group for application-specific laboratory, engineering or industrial use.</v>
      </c>
      <c r="L464" s="48" t="str">
        <f t="shared" si="94"/>
        <v>Dynamic and Static Universal Testing Machine from HST Group for fatigue testing machines applications. Review configuration requirements and request technical information or a quotation from DIWAN.</v>
      </c>
      <c r="M464" s="48" t="s">
        <v>2020</v>
      </c>
      <c r="N464" s="61" t="s">
        <v>2672</v>
      </c>
      <c r="O464" s="54" t="str" cm="1">
        <f t="array" ref="O464">_xlfn.LET(_xlpm.n,LOWER(E464),_xlpm.c,LOWER(B464),_xlpm.t,_xlfn.IFS(OR(ISNUMBER(SEARCH("lens",_xlpm.n)),ISNUMBER(SEARCH("optic",_xlpm.n)),ISNUMBER(SEARCH("polarizer",_xlpm.n))),"precision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"),E464&amp;" is "&amp;_xlpm.art&amp;_xlpm.t&amp;" from "&amp;C464&amp;" designed for application-specific laboratory, engineering or industrial use. It belongs to DIWAN's "&amp;B464&amp;" portfolio; final configuration must be selected against performance, integration and compliance requirements.")</f>
        <v>Dynamic and Static Universal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4" s="54" t="str">
        <f t="shared" si="95"/>
        <v>Selection should confirm the model-specific operating range, capacity, accuracy, interfaces, utilities, accessories, standards, environmental limits and service requirements. Final capabilities depend on the approved Dynamic and Static Universal Testing Machine configuration.</v>
      </c>
      <c r="Q464" s="54"/>
      <c r="R464" s="54" t="str">
        <f t="shared" si="96"/>
        <v>Fatigue Testing Machines applications; laboratory research, engineering development, quality control and industrial deployment where applicable. Suitability must be confirmed against the user's sample, process, environment and required standards.</v>
      </c>
      <c r="S464" s="54"/>
      <c r="T464" s="54" t="str">
        <f t="shared" si="97"/>
        <v>Dynamic and Static Universal Testing Machine from HST Group</v>
      </c>
      <c r="U464" s="54"/>
      <c r="V464" s="54" t="s">
        <v>2673</v>
      </c>
      <c r="W464" s="54" t="str">
        <f t="shared" si="98"/>
        <v>See other Fatigue Testing Machines products</v>
      </c>
      <c r="X464" s="54" t="str">
        <f t="shared" si="99"/>
        <v>Fatigue Testing Machines enquiry → website group enquiry form → category owner assignment</v>
      </c>
      <c r="Y464" s="54" t="str">
        <f t="shared" si="100"/>
        <v>Dynamic and Static Universal Testing Machine, Fatigue Testing Machines, HST Group, technical equipment, DIWAN</v>
      </c>
      <c r="Z464" s="54" t="s">
        <v>2293</v>
      </c>
      <c r="AA464" s="55">
        <v>46257</v>
      </c>
      <c r="AB464" s="54" t="s">
        <v>2465</v>
      </c>
      <c r="AC464" s="63" t="str">
        <f t="shared" si="101"/>
        <v>Content drafted - assets/specs pending</v>
      </c>
      <c r="AD46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4" s="58"/>
      <c r="AF464" s="58"/>
      <c r="AG464" s="58" t="s">
        <v>2467</v>
      </c>
      <c r="AH464" s="58" t="s">
        <v>2468</v>
      </c>
      <c r="AI464" s="58" t="s">
        <v>2469</v>
      </c>
    </row>
    <row r="465" spans="1:35" ht="42" customHeight="1" x14ac:dyDescent="0.35">
      <c r="A465" s="69">
        <f t="shared" si="103"/>
        <v>74</v>
      </c>
      <c r="B465" s="70" t="s">
        <v>524</v>
      </c>
      <c r="C465" s="71" t="s">
        <v>28</v>
      </c>
      <c r="D465" s="72" t="s">
        <v>12</v>
      </c>
      <c r="E465" s="45" t="s">
        <v>533</v>
      </c>
      <c r="F465" s="49" t="s">
        <v>3036</v>
      </c>
      <c r="G465" s="45" t="s">
        <v>3045</v>
      </c>
      <c r="H465" s="47">
        <v>46257</v>
      </c>
      <c r="I465" s="48" t="s">
        <v>1967</v>
      </c>
      <c r="J465" s="48" t="s">
        <v>1262</v>
      </c>
      <c r="K465" s="48" t="str">
        <f t="shared" si="93"/>
        <v>Hydraulic Servo Fatigue Testing Machine is a fatigue testing machines product from HST Group for application-specific laboratory, engineering or industrial use.</v>
      </c>
      <c r="L465" s="48" t="str">
        <f t="shared" si="94"/>
        <v>Hydraulic Servo Fatigue Testing Machine from HST Group for fatigue testing machines applications. Review configuration requirements and request technical information or a quotation from DIWAN.</v>
      </c>
      <c r="M465" s="48" t="s">
        <v>2020</v>
      </c>
      <c r="N465" s="61" t="s">
        <v>2672</v>
      </c>
      <c r="O465" s="54" t="str" cm="1">
        <f t="array" ref="O465">_xlfn.LET(_xlpm.n,LOWER(E465),_xlpm.c,LOWER(B465),_xlpm.t,_xlfn.IFS(OR(ISNUMBER(SEARCH("lens",_xlpm.n)),ISNUMBER(SEARCH("optic",_xlpm.n)),ISNUMBER(SEARCH("polarizer",_xlpm.n))),"precision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"),E465&amp;" is "&amp;_xlpm.art&amp;_xlpm.t&amp;" from "&amp;C465&amp;" designed for application-specific laboratory, engineering or industrial use. It belongs to DIWAN's "&amp;B465&amp;" portfolio; final configuration must be selected against performance, integration and compliance requirements.")</f>
        <v>Hydraulic Servo 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5" s="54" t="str">
        <f t="shared" si="95"/>
        <v>Selection should confirm the model-specific operating range, capacity, accuracy, interfaces, utilities, accessories, standards, environmental limits and service requirements. Final capabilities depend on the approved Hydraulic Servo Fatigue Testing Machine configuration.</v>
      </c>
      <c r="Q465" s="54"/>
      <c r="R465" s="54" t="str">
        <f t="shared" si="96"/>
        <v>Fatigue Testing Machines applications; laboratory research, engineering development, quality control and industrial deployment where applicable. Suitability must be confirmed against the user's sample, process, environment and required standards.</v>
      </c>
      <c r="S465" s="54"/>
      <c r="T465" s="54" t="str">
        <f t="shared" si="97"/>
        <v>Hydraulic Servo Fatigue Testing Machine from HST Group</v>
      </c>
      <c r="U465" s="54"/>
      <c r="V465" s="54" t="s">
        <v>2673</v>
      </c>
      <c r="W465" s="54" t="str">
        <f t="shared" si="98"/>
        <v>See other Fatigue Testing Machines products</v>
      </c>
      <c r="X465" s="54" t="str">
        <f t="shared" si="99"/>
        <v>Fatigue Testing Machines enquiry → website group enquiry form → category owner assignment</v>
      </c>
      <c r="Y465" s="54" t="str">
        <f t="shared" si="100"/>
        <v>Hydraulic Servo Fatigue Testing Machine, Fatigue Testing Machines, HST Group, technical equipment, DIWAN</v>
      </c>
      <c r="Z465" s="54" t="s">
        <v>2293</v>
      </c>
      <c r="AA465" s="55">
        <v>46257</v>
      </c>
      <c r="AB465" s="54" t="s">
        <v>2465</v>
      </c>
      <c r="AC465" s="63" t="str">
        <f t="shared" si="101"/>
        <v>Content drafted - assets/specs pending</v>
      </c>
      <c r="AD465"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5" s="58"/>
      <c r="AF465" s="58"/>
      <c r="AG465" s="58" t="s">
        <v>2467</v>
      </c>
      <c r="AH465" s="58" t="s">
        <v>2468</v>
      </c>
      <c r="AI465" s="58" t="s">
        <v>2469</v>
      </c>
    </row>
    <row r="466" spans="1:35" ht="42" customHeight="1" x14ac:dyDescent="0.35">
      <c r="A466" s="69">
        <f t="shared" si="103"/>
        <v>74</v>
      </c>
      <c r="B466" s="70" t="s">
        <v>524</v>
      </c>
      <c r="C466" s="71" t="s">
        <v>28</v>
      </c>
      <c r="D466" s="72" t="s">
        <v>12</v>
      </c>
      <c r="E466" s="45" t="s">
        <v>534</v>
      </c>
      <c r="F466" s="49" t="s">
        <v>3036</v>
      </c>
      <c r="G466" s="45" t="s">
        <v>3045</v>
      </c>
      <c r="H466" s="47">
        <v>46257</v>
      </c>
      <c r="I466" s="48" t="s">
        <v>1968</v>
      </c>
      <c r="J466" s="48" t="s">
        <v>1263</v>
      </c>
      <c r="K466" s="48" t="str">
        <f t="shared" si="93"/>
        <v>Rotating Bending Fatigue Testing Machine is a fatigue testing machines product from HST Group for application-specific laboratory, engineering or industrial use.</v>
      </c>
      <c r="L466" s="48" t="str">
        <f t="shared" si="94"/>
        <v>Rotating Bending Fatigue Testing Machine from HST Group for fatigue testing machines applications. Review configuration requirements and request technical information or a quotation from DIWAN.</v>
      </c>
      <c r="M466" s="48" t="s">
        <v>2020</v>
      </c>
      <c r="N466" s="61" t="s">
        <v>2672</v>
      </c>
      <c r="O466" s="54" t="str" cm="1">
        <f t="array" ref="O466">_xlfn.LET(_xlpm.n,LOWER(E466),_xlpm.c,LOWER(B466),_xlpm.t,_xlfn.IFS(OR(ISNUMBER(SEARCH("lens",_xlpm.n)),ISNUMBER(SEARCH("optic",_xlpm.n)),ISNUMBER(SEARCH("polarizer",_xlpm.n))),"precision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"),E466&amp;" is "&amp;_xlpm.art&amp;_xlpm.t&amp;" from "&amp;C466&amp;" designed for application-specific laboratory, engineering or industrial use. It belongs to DIWAN's "&amp;B466&amp;" portfolio; final configuration must be selected against performance, integration and compliance requirements.")</f>
        <v>Rotating Bending Fatigue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6" s="54" t="str">
        <f t="shared" si="95"/>
        <v>Selection should confirm the model-specific operating range, capacity, accuracy, interfaces, utilities, accessories, standards, environmental limits and service requirements. Final capabilities depend on the approved Rotating Bending Fatigue Testing Machine configuration.</v>
      </c>
      <c r="Q466" s="54"/>
      <c r="R466" s="54" t="str">
        <f t="shared" si="96"/>
        <v>Fatigue Testing Machines applications; laboratory research, engineering development, quality control and industrial deployment where applicable. Suitability must be confirmed against the user's sample, process, environment and required standards.</v>
      </c>
      <c r="S466" s="54"/>
      <c r="T466" s="54" t="str">
        <f t="shared" si="97"/>
        <v>Rotating Bending Fatigue Testing Machine from HST Group</v>
      </c>
      <c r="U466" s="54"/>
      <c r="V466" s="54" t="s">
        <v>2673</v>
      </c>
      <c r="W466" s="54" t="str">
        <f t="shared" si="98"/>
        <v>See other Fatigue Testing Machines products</v>
      </c>
      <c r="X466" s="54" t="str">
        <f t="shared" si="99"/>
        <v>Fatigue Testing Machines enquiry → website group enquiry form → category owner assignment</v>
      </c>
      <c r="Y466" s="54" t="str">
        <f t="shared" si="100"/>
        <v>Rotating Bending Fatigue Testing Machine, Fatigue Testing Machines, HST Group, technical equipment, DIWAN</v>
      </c>
      <c r="Z466" s="54" t="s">
        <v>2293</v>
      </c>
      <c r="AA466" s="55">
        <v>46257</v>
      </c>
      <c r="AB466" s="54" t="s">
        <v>2465</v>
      </c>
      <c r="AC466" s="63" t="str">
        <f t="shared" si="101"/>
        <v>Content drafted - assets/specs pending</v>
      </c>
      <c r="AD46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6" s="58"/>
      <c r="AF466" s="58"/>
      <c r="AG466" s="58" t="s">
        <v>2467</v>
      </c>
      <c r="AH466" s="58" t="s">
        <v>2468</v>
      </c>
      <c r="AI466" s="58" t="s">
        <v>2469</v>
      </c>
    </row>
    <row r="467" spans="1:35" ht="42" customHeight="1" thickBot="1" x14ac:dyDescent="0.4">
      <c r="A467" s="69">
        <f t="shared" si="103"/>
        <v>74</v>
      </c>
      <c r="B467" s="70" t="s">
        <v>524</v>
      </c>
      <c r="C467" s="71" t="s">
        <v>28</v>
      </c>
      <c r="D467" s="72" t="s">
        <v>12</v>
      </c>
      <c r="E467" s="45" t="s">
        <v>535</v>
      </c>
      <c r="F467" s="49" t="s">
        <v>3036</v>
      </c>
      <c r="G467" s="45" t="s">
        <v>3045</v>
      </c>
      <c r="H467" s="47">
        <v>46257</v>
      </c>
      <c r="I467" s="48" t="s">
        <v>1969</v>
      </c>
      <c r="J467" s="48" t="s">
        <v>1264</v>
      </c>
      <c r="K467" s="48" t="str">
        <f t="shared" si="93"/>
        <v>Fracture Toughness Testing Machine is a fatigue testing machines product from HST Group for application-specific laboratory, engineering or industrial use.</v>
      </c>
      <c r="L467" s="48" t="str">
        <f t="shared" si="94"/>
        <v>Fracture Toughness Testing Machine from HST Group for fatigue testing machines applications. Review configuration requirements and request technical information or a quotation from DIWAN.</v>
      </c>
      <c r="M467" s="48" t="s">
        <v>2020</v>
      </c>
      <c r="N467" s="61" t="s">
        <v>2672</v>
      </c>
      <c r="O467" s="54" t="str" cm="1">
        <f t="array" ref="O467">_xlfn.LET(_xlpm.n,LOWER(E467),_xlpm.c,LOWER(B467),_xlpm.t,_xlfn.IFS(OR(ISNUMBER(SEARCH("lens",_xlpm.n)),ISNUMBER(SEARCH("optic",_xlpm.n)),ISNUMBER(SEARCH("polarizer",_xlpm.n))),"precision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"),E467&amp;" is "&amp;_xlpm.art&amp;_xlpm.t&amp;" from "&amp;C467&amp;" designed for application-specific laboratory, engineering or industrial use. It belongs to DIWAN's "&amp;B467&amp;" portfolio; final configuration must be selected against performance, integration and compliance requirements.")</f>
        <v>Fracture Toughness Testing Machine is a materials or component testing system from HST Group designed for application-specific laboratory, engineering or industrial use. It belongs to DIWAN's Fatigue Testing Machines portfolio; final configuration must be selected against performance, integration and compliance requirements.</v>
      </c>
      <c r="P467" s="54" t="str">
        <f t="shared" si="95"/>
        <v>Selection should confirm the model-specific operating range, capacity, accuracy, interfaces, utilities, accessories, standards, environmental limits and service requirements. Final capabilities depend on the approved Fracture Toughness Testing Machine configuration.</v>
      </c>
      <c r="Q467" s="54"/>
      <c r="R467" s="54" t="str">
        <f t="shared" si="96"/>
        <v>Fatigue Testing Machines applications; laboratory research, engineering development, quality control and industrial deployment where applicable. Suitability must be confirmed against the user's sample, process, environment and required standards.</v>
      </c>
      <c r="S467" s="54"/>
      <c r="T467" s="54" t="str">
        <f t="shared" si="97"/>
        <v>Fracture Toughness Testing Machine from HST Group</v>
      </c>
      <c r="U467" s="54"/>
      <c r="V467" s="54" t="s">
        <v>2673</v>
      </c>
      <c r="W467" s="54" t="str">
        <f t="shared" si="98"/>
        <v>See other Fatigue Testing Machines products</v>
      </c>
      <c r="X467" s="54" t="str">
        <f t="shared" si="99"/>
        <v>Fatigue Testing Machines enquiry → website group enquiry form → category owner assignment</v>
      </c>
      <c r="Y467" s="54" t="str">
        <f t="shared" si="100"/>
        <v>Fracture Toughness Testing Machine, Fatigue Testing Machines, HST Group, technical equipment, DIWAN</v>
      </c>
      <c r="Z467" s="54" t="s">
        <v>2293</v>
      </c>
      <c r="AA467" s="55">
        <v>46257</v>
      </c>
      <c r="AB467" s="54" t="s">
        <v>2465</v>
      </c>
      <c r="AC467" s="63" t="str">
        <f t="shared" si="101"/>
        <v>Content drafted - assets/specs pending</v>
      </c>
      <c r="AD467"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7" s="58"/>
      <c r="AF467" s="58"/>
      <c r="AG467" s="58" t="s">
        <v>2467</v>
      </c>
      <c r="AH467" s="58" t="s">
        <v>2468</v>
      </c>
      <c r="AI467" s="58" t="s">
        <v>2469</v>
      </c>
    </row>
    <row r="468" spans="1:35" ht="42" customHeight="1" x14ac:dyDescent="0.35">
      <c r="A468" s="69">
        <f t="shared" si="103"/>
        <v>75</v>
      </c>
      <c r="B468" s="74" t="s">
        <v>536</v>
      </c>
      <c r="C468" s="75" t="s">
        <v>28</v>
      </c>
      <c r="D468" s="76" t="s">
        <v>12</v>
      </c>
      <c r="E468" s="77" t="s">
        <v>537</v>
      </c>
      <c r="F468" s="86" t="s">
        <v>3037</v>
      </c>
      <c r="G468" s="77" t="s">
        <v>3045</v>
      </c>
      <c r="H468" s="79">
        <v>46257</v>
      </c>
      <c r="I468" s="80" t="s">
        <v>1970</v>
      </c>
      <c r="J468" s="80" t="s">
        <v>1265</v>
      </c>
      <c r="K468" s="80" t="str">
        <f t="shared" si="93"/>
        <v>Wire Torsion Testing Machine is a torsion testing machines product from HST Group for application-specific laboratory, engineering or industrial use.</v>
      </c>
      <c r="L468" s="80" t="str">
        <f t="shared" si="94"/>
        <v>Wire Torsion Testing Machine from HST Group for torsion testing machines applications. Review configuration requirements and request technical information or a quotation from DIWAN.</v>
      </c>
      <c r="M468" s="80" t="s">
        <v>2020</v>
      </c>
      <c r="N468" s="81" t="s">
        <v>2672</v>
      </c>
      <c r="O468" s="82" t="str" cm="1">
        <f t="array" ref="O468">_xlfn.LET(_xlpm.n,LOWER(E468),_xlpm.c,LOWER(B468),_xlpm.t,_xlfn.IFS(OR(ISNUMBER(SEARCH("lens",_xlpm.n)),ISNUMBER(SEARCH("optic",_xlpm.n)),ISNUMBER(SEARCH("polarizer",_xlpm.n))),"precision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"),E468&amp;" is "&amp;_xlpm.art&amp;_xlpm.t&amp;" from "&amp;C468&amp;" designed for application-specific laboratory, engineering or industrial use. It belongs to DIWAN's "&amp;B468&amp;" portfolio; final configuration must be selected against performance, integration and compliance requirements.")</f>
        <v>Wire Torsion Testing Machine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68" s="82" t="str">
        <f t="shared" si="95"/>
        <v>Selection should confirm the model-specific operating range, capacity, accuracy, interfaces, utilities, accessories, standards, environmental limits and service requirements. Final capabilities depend on the approved Wire Torsion Testing Machine configuration.</v>
      </c>
      <c r="Q468" s="82"/>
      <c r="R468" s="82" t="str">
        <f t="shared" si="96"/>
        <v>Torsion Testing Machines applications; laboratory research, engineering development, quality control and industrial deployment where applicable. Suitability must be confirmed against the user's sample, process, environment and required standards.</v>
      </c>
      <c r="S468" s="82"/>
      <c r="T468" s="82" t="str">
        <f t="shared" si="97"/>
        <v>Wire Torsion Testing Machine from HST Group</v>
      </c>
      <c r="U468" s="82"/>
      <c r="V468" s="82" t="s">
        <v>2673</v>
      </c>
      <c r="W468" s="82" t="str">
        <f t="shared" si="98"/>
        <v>See other Torsion Testing Machines products</v>
      </c>
      <c r="X468" s="82" t="str">
        <f t="shared" si="99"/>
        <v>Torsion Testing Machines enquiry → website group enquiry form → category owner assignment</v>
      </c>
      <c r="Y468" s="82" t="str">
        <f t="shared" si="100"/>
        <v>Wire Torsion Testing Machine, Torsion Testing Machines, HST Group, technical equipment, DIWAN</v>
      </c>
      <c r="Z468" s="82" t="s">
        <v>2294</v>
      </c>
      <c r="AA468" s="83">
        <v>46257</v>
      </c>
      <c r="AB468" s="82" t="s">
        <v>2465</v>
      </c>
      <c r="AC468" s="84" t="str">
        <f t="shared" si="101"/>
        <v>Content drafted - assets/specs pending</v>
      </c>
      <c r="AD468"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8" s="85"/>
      <c r="AF468" s="85"/>
      <c r="AG468" s="85" t="s">
        <v>2467</v>
      </c>
      <c r="AH468" s="85" t="s">
        <v>2468</v>
      </c>
      <c r="AI468" s="85" t="s">
        <v>2469</v>
      </c>
    </row>
    <row r="469" spans="1:35" ht="42" customHeight="1" x14ac:dyDescent="0.35">
      <c r="A469" s="69">
        <f t="shared" si="103"/>
        <v>75</v>
      </c>
      <c r="B469" s="70" t="s">
        <v>536</v>
      </c>
      <c r="C469" s="71" t="s">
        <v>28</v>
      </c>
      <c r="D469" s="72" t="s">
        <v>12</v>
      </c>
      <c r="E469" s="45" t="s">
        <v>538</v>
      </c>
      <c r="F469" s="49" t="s">
        <v>3037</v>
      </c>
      <c r="G469" s="45" t="s">
        <v>3045</v>
      </c>
      <c r="H469" s="47">
        <v>46257</v>
      </c>
      <c r="I469" s="48" t="s">
        <v>1971</v>
      </c>
      <c r="J469" s="48" t="s">
        <v>1266</v>
      </c>
      <c r="K469" s="48" t="str">
        <f t="shared" si="93"/>
        <v>Metal Wire Reverse Torsion Testing Machine is a torsion testing machines product from HST Group for application-specific laboratory, engineering or industrial use.</v>
      </c>
      <c r="L469" s="48" t="str">
        <f t="shared" si="94"/>
        <v>Metal Wire Reverse Torsion Testing Machine from HST Group for torsion testing machines applications. Review configuration requirements and request technical information or a quotation from DIWAN.</v>
      </c>
      <c r="M469" s="48" t="s">
        <v>2020</v>
      </c>
      <c r="N469" s="61" t="s">
        <v>2672</v>
      </c>
      <c r="O469" s="54" t="str" cm="1">
        <f t="array" ref="O469">_xlfn.LET(_xlpm.n,LOWER(E469),_xlpm.c,LOWER(B469),_xlpm.t,_xlfn.IFS(OR(ISNUMBER(SEARCH("lens",_xlpm.n)),ISNUMBER(SEARCH("optic",_xlpm.n)),ISNUMBER(SEARCH("polarizer",_xlpm.n))),"precision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"),E469&amp;" is "&amp;_xlpm.art&amp;_xlpm.t&amp;" from "&amp;C469&amp;" designed for application-specific laboratory, engineering or industrial use. It belongs to DIWAN's "&amp;B469&amp;" portfolio; final configuration must be selected against performance, integration and compliance requirements.")</f>
        <v>Metal Wire Reverse Torsion Testing Machine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69" s="54" t="str">
        <f t="shared" si="95"/>
        <v>Selection should confirm the model-specific operating range, capacity, accuracy, interfaces, utilities, accessories, standards, environmental limits and service requirements. Final capabilities depend on the approved Metal Wire Reverse Torsion Testing Machine configuration.</v>
      </c>
      <c r="Q469" s="54"/>
      <c r="R469" s="54" t="str">
        <f t="shared" si="96"/>
        <v>Torsion Testing Machines applications; laboratory research, engineering development, quality control and industrial deployment where applicable. Suitability must be confirmed against the user's sample, process, environment and required standards.</v>
      </c>
      <c r="S469" s="54"/>
      <c r="T469" s="54" t="str">
        <f t="shared" si="97"/>
        <v>Metal Wire Reverse Torsion Testing Machine from HST Group</v>
      </c>
      <c r="U469" s="54"/>
      <c r="V469" s="54" t="s">
        <v>2673</v>
      </c>
      <c r="W469" s="54" t="str">
        <f t="shared" si="98"/>
        <v>See other Torsion Testing Machines products</v>
      </c>
      <c r="X469" s="54" t="str">
        <f t="shared" si="99"/>
        <v>Torsion Testing Machines enquiry → website group enquiry form → category owner assignment</v>
      </c>
      <c r="Y469" s="54" t="str">
        <f t="shared" si="100"/>
        <v>Metal Wire Reverse Torsion Testing Machine, Torsion Testing Machines, HST Group, technical equipment, DIWAN</v>
      </c>
      <c r="Z469" s="54" t="s">
        <v>2294</v>
      </c>
      <c r="AA469" s="55">
        <v>46257</v>
      </c>
      <c r="AB469" s="54" t="s">
        <v>2465</v>
      </c>
      <c r="AC469" s="63" t="str">
        <f t="shared" si="101"/>
        <v>Content drafted - assets/specs pending</v>
      </c>
      <c r="AD469"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69" s="58"/>
      <c r="AF469" s="58"/>
      <c r="AG469" s="58" t="s">
        <v>2467</v>
      </c>
      <c r="AH469" s="58" t="s">
        <v>2468</v>
      </c>
      <c r="AI469" s="58" t="s">
        <v>2469</v>
      </c>
    </row>
    <row r="470" spans="1:35" ht="42" customHeight="1" x14ac:dyDescent="0.35">
      <c r="A470" s="69">
        <f t="shared" si="103"/>
        <v>75</v>
      </c>
      <c r="B470" s="70" t="s">
        <v>536</v>
      </c>
      <c r="C470" s="71" t="s">
        <v>28</v>
      </c>
      <c r="D470" s="72" t="s">
        <v>12</v>
      </c>
      <c r="E470" s="45" t="s">
        <v>539</v>
      </c>
      <c r="F470" s="49" t="s">
        <v>3037</v>
      </c>
      <c r="G470" s="45" t="s">
        <v>3045</v>
      </c>
      <c r="H470" s="47">
        <v>46257</v>
      </c>
      <c r="I470" s="48" t="s">
        <v>1972</v>
      </c>
      <c r="J470" s="48" t="s">
        <v>1267</v>
      </c>
      <c r="K470" s="48" t="str">
        <f t="shared" si="93"/>
        <v>Wire Torsion Tester (Digital Display) is a torsion testing machines product from HST Group for application-specific laboratory, engineering or industrial use.</v>
      </c>
      <c r="L470" s="48" t="str">
        <f t="shared" si="94"/>
        <v>Wire Torsion Tester (Digital Display) from HST Group for torsion testing machines applications. Review configuration requirements and request technical information or a quotation from DIWAN.</v>
      </c>
      <c r="M470" s="48" t="s">
        <v>2020</v>
      </c>
      <c r="N470" s="61" t="s">
        <v>2672</v>
      </c>
      <c r="O470" s="54" t="str" cm="1">
        <f t="array" ref="O470">_xlfn.LET(_xlpm.n,LOWER(E470),_xlpm.c,LOWER(B470),_xlpm.t,_xlfn.IFS(OR(ISNUMBER(SEARCH("lens",_xlpm.n)),ISNUMBER(SEARCH("optic",_xlpm.n)),ISNUMBER(SEARCH("polarizer",_xlpm.n))),"precision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"),E470&amp;" is "&amp;_xlpm.art&amp;_xlpm.t&amp;" from "&amp;C470&amp;" designed for application-specific laboratory, engineering or industrial use. It belongs to DIWAN's "&amp;B470&amp;" portfolio; final configuration must be selected against performance, integration and compliance requirements.")</f>
        <v>Wire Torsion Tester (Digital Display)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70" s="54" t="str">
        <f t="shared" si="95"/>
        <v>Selection should confirm the model-specific operating range, capacity, accuracy, interfaces, utilities, accessories, standards, environmental limits and service requirements. Final capabilities depend on the approved Wire Torsion Tester (Digital Display) configuration.</v>
      </c>
      <c r="Q470" s="54"/>
      <c r="R470" s="54" t="str">
        <f t="shared" si="96"/>
        <v>Torsion Testing Machines applications; laboratory research, engineering development, quality control and industrial deployment where applicable. Suitability must be confirmed against the user's sample, process, environment and required standards.</v>
      </c>
      <c r="S470" s="54"/>
      <c r="T470" s="54" t="str">
        <f t="shared" si="97"/>
        <v>Wire Torsion Tester (Digital Display) from HST Group</v>
      </c>
      <c r="U470" s="54"/>
      <c r="V470" s="54" t="s">
        <v>2673</v>
      </c>
      <c r="W470" s="54" t="str">
        <f t="shared" si="98"/>
        <v>See other Torsion Testing Machines products</v>
      </c>
      <c r="X470" s="54" t="str">
        <f t="shared" si="99"/>
        <v>Torsion Testing Machines enquiry → website group enquiry form → category owner assignment</v>
      </c>
      <c r="Y470" s="54" t="str">
        <f t="shared" si="100"/>
        <v>Wire Torsion Tester (Digital Display), Torsion Testing Machines, HST Group, technical equipment, DIWAN</v>
      </c>
      <c r="Z470" s="54" t="s">
        <v>2294</v>
      </c>
      <c r="AA470" s="55">
        <v>46257</v>
      </c>
      <c r="AB470" s="54" t="s">
        <v>2465</v>
      </c>
      <c r="AC470" s="63" t="str">
        <f t="shared" si="101"/>
        <v>Content drafted - assets/specs pending</v>
      </c>
      <c r="AD470"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0" s="58"/>
      <c r="AF470" s="58"/>
      <c r="AG470" s="58" t="s">
        <v>2467</v>
      </c>
      <c r="AH470" s="58" t="s">
        <v>2468</v>
      </c>
      <c r="AI470" s="58" t="s">
        <v>2469</v>
      </c>
    </row>
    <row r="471" spans="1:35" ht="42" customHeight="1" x14ac:dyDescent="0.35">
      <c r="A471" s="69">
        <f t="shared" si="103"/>
        <v>75</v>
      </c>
      <c r="B471" s="70" t="s">
        <v>536</v>
      </c>
      <c r="C471" s="71" t="s">
        <v>28</v>
      </c>
      <c r="D471" s="72" t="s">
        <v>12</v>
      </c>
      <c r="E471" s="45" t="s">
        <v>540</v>
      </c>
      <c r="F471" s="49" t="s">
        <v>3037</v>
      </c>
      <c r="G471" s="45" t="s">
        <v>3045</v>
      </c>
      <c r="H471" s="47">
        <v>46257</v>
      </c>
      <c r="I471" s="48" t="s">
        <v>1973</v>
      </c>
      <c r="J471" s="48" t="s">
        <v>1268</v>
      </c>
      <c r="K471" s="48" t="str">
        <f t="shared" si="93"/>
        <v>Material Torsion Testing Machine is a torsion testing machines product from HST Group for application-specific laboratory, engineering or industrial use.</v>
      </c>
      <c r="L471" s="48" t="str">
        <f t="shared" si="94"/>
        <v>Material Torsion Testing Machine from HST Group for torsion testing machines applications. Review configuration requirements and request technical information or a quotation from DIWAN.</v>
      </c>
      <c r="M471" s="48" t="s">
        <v>2020</v>
      </c>
      <c r="N471" s="61" t="s">
        <v>2672</v>
      </c>
      <c r="O471" s="54" t="str" cm="1">
        <f t="array" ref="O471">_xlfn.LET(_xlpm.n,LOWER(E471),_xlpm.c,LOWER(B471),_xlpm.t,_xlfn.IFS(OR(ISNUMBER(SEARCH("lens",_xlpm.n)),ISNUMBER(SEARCH("optic",_xlpm.n)),ISNUMBER(SEARCH("polarizer",_xlpm.n))),"precision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"),E471&amp;" is "&amp;_xlpm.art&amp;_xlpm.t&amp;" from "&amp;C471&amp;" designed for application-specific laboratory, engineering or industrial use. It belongs to DIWAN's "&amp;B471&amp;" portfolio; final configuration must be selected against performance, integration and compliance requirements.")</f>
        <v>Material Torsion Testing Machine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71" s="54" t="str">
        <f t="shared" si="95"/>
        <v>Selection should confirm the model-specific operating range, capacity, accuracy, interfaces, utilities, accessories, standards, environmental limits and service requirements. Final capabilities depend on the approved Material Torsion Testing Machine configuration.</v>
      </c>
      <c r="Q471" s="54"/>
      <c r="R471" s="54" t="str">
        <f t="shared" si="96"/>
        <v>Torsion Testing Machines applications; laboratory research, engineering development, quality control and industrial deployment where applicable. Suitability must be confirmed against the user's sample, process, environment and required standards.</v>
      </c>
      <c r="S471" s="54"/>
      <c r="T471" s="54" t="str">
        <f t="shared" si="97"/>
        <v>Material Torsion Testing Machine from HST Group</v>
      </c>
      <c r="U471" s="54"/>
      <c r="V471" s="54" t="s">
        <v>2673</v>
      </c>
      <c r="W471" s="54" t="str">
        <f t="shared" si="98"/>
        <v>See other Torsion Testing Machines products</v>
      </c>
      <c r="X471" s="54" t="str">
        <f t="shared" si="99"/>
        <v>Torsion Testing Machines enquiry → website group enquiry form → category owner assignment</v>
      </c>
      <c r="Y471" s="54" t="str">
        <f t="shared" si="100"/>
        <v>Material Torsion Testing Machine, Torsion Testing Machines, HST Group, technical equipment, DIWAN</v>
      </c>
      <c r="Z471" s="54" t="s">
        <v>2294</v>
      </c>
      <c r="AA471" s="55">
        <v>46257</v>
      </c>
      <c r="AB471" s="54" t="s">
        <v>2465</v>
      </c>
      <c r="AC471" s="63" t="str">
        <f t="shared" si="101"/>
        <v>Content drafted - assets/specs pending</v>
      </c>
      <c r="AD471"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1" s="58"/>
      <c r="AF471" s="58"/>
      <c r="AG471" s="58" t="s">
        <v>2467</v>
      </c>
      <c r="AH471" s="58" t="s">
        <v>2468</v>
      </c>
      <c r="AI471" s="58" t="s">
        <v>2469</v>
      </c>
    </row>
    <row r="472" spans="1:35" ht="42" customHeight="1" x14ac:dyDescent="0.35">
      <c r="A472" s="69">
        <f t="shared" si="103"/>
        <v>75</v>
      </c>
      <c r="B472" s="70" t="s">
        <v>536</v>
      </c>
      <c r="C472" s="71" t="s">
        <v>28</v>
      </c>
      <c r="D472" s="72" t="s">
        <v>12</v>
      </c>
      <c r="E472" s="45" t="s">
        <v>541</v>
      </c>
      <c r="F472" s="49" t="s">
        <v>3037</v>
      </c>
      <c r="G472" s="45" t="s">
        <v>3045</v>
      </c>
      <c r="H472" s="47">
        <v>46257</v>
      </c>
      <c r="I472" s="48" t="s">
        <v>1974</v>
      </c>
      <c r="J472" s="48" t="s">
        <v>1269</v>
      </c>
      <c r="K472" s="48" t="str">
        <f t="shared" si="93"/>
        <v>Torsion Testing Machine is a torsion testing machines product from HST Group for application-specific laboratory, engineering or industrial use.</v>
      </c>
      <c r="L472" s="48" t="str">
        <f t="shared" si="94"/>
        <v>Torsion Testing Machine from HST Group for torsion testing machines applications. Review configuration requirements and request technical information or a quotation from DIWAN.</v>
      </c>
      <c r="M472" s="48" t="s">
        <v>2020</v>
      </c>
      <c r="N472" s="61" t="s">
        <v>2672</v>
      </c>
      <c r="O472" s="54" t="str" cm="1">
        <f t="array" ref="O472">_xlfn.LET(_xlpm.n,LOWER(E472),_xlpm.c,LOWER(B472),_xlpm.t,_xlfn.IFS(OR(ISNUMBER(SEARCH("lens",_xlpm.n)),ISNUMBER(SEARCH("optic",_xlpm.n)),ISNUMBER(SEARCH("polarizer",_xlpm.n))),"precision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"),E472&amp;" is "&amp;_xlpm.art&amp;_xlpm.t&amp;" from "&amp;C472&amp;" designed for application-specific laboratory, engineering or industrial use. It belongs to DIWAN's "&amp;B472&amp;" portfolio; final configuration must be selected against performance, integration and compliance requirements.")</f>
        <v>Torsion Testing Machine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72" s="54" t="str">
        <f t="shared" si="95"/>
        <v>Selection should confirm the model-specific operating range, capacity, accuracy, interfaces, utilities, accessories, standards, environmental limits and service requirements. Final capabilities depend on the approved Torsion Testing Machine configuration.</v>
      </c>
      <c r="Q472" s="54"/>
      <c r="R472" s="54" t="str">
        <f t="shared" si="96"/>
        <v>Torsion Testing Machines applications; laboratory research, engineering development, quality control and industrial deployment where applicable. Suitability must be confirmed against the user's sample, process, environment and required standards.</v>
      </c>
      <c r="S472" s="54"/>
      <c r="T472" s="54" t="str">
        <f t="shared" si="97"/>
        <v>Torsion Testing Machine from HST Group</v>
      </c>
      <c r="U472" s="54"/>
      <c r="V472" s="54" t="s">
        <v>2673</v>
      </c>
      <c r="W472" s="54" t="str">
        <f t="shared" si="98"/>
        <v>See other Torsion Testing Machines products</v>
      </c>
      <c r="X472" s="54" t="str">
        <f t="shared" si="99"/>
        <v>Torsion Testing Machines enquiry → website group enquiry form → category owner assignment</v>
      </c>
      <c r="Y472" s="54" t="str">
        <f t="shared" si="100"/>
        <v>Torsion Testing Machine, Torsion Testing Machines, HST Group, technical equipment, DIWAN</v>
      </c>
      <c r="Z472" s="54" t="s">
        <v>2294</v>
      </c>
      <c r="AA472" s="55">
        <v>46257</v>
      </c>
      <c r="AB472" s="54" t="s">
        <v>2465</v>
      </c>
      <c r="AC472" s="63" t="str">
        <f t="shared" si="101"/>
        <v>Content drafted - assets/specs pending</v>
      </c>
      <c r="AD472"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2" s="58"/>
      <c r="AF472" s="58"/>
      <c r="AG472" s="58" t="s">
        <v>2467</v>
      </c>
      <c r="AH472" s="58" t="s">
        <v>2468</v>
      </c>
      <c r="AI472" s="58" t="s">
        <v>2469</v>
      </c>
    </row>
    <row r="473" spans="1:35" ht="42" customHeight="1" x14ac:dyDescent="0.35">
      <c r="A473" s="69">
        <f t="shared" si="103"/>
        <v>75</v>
      </c>
      <c r="B473" s="70" t="s">
        <v>536</v>
      </c>
      <c r="C473" s="71" t="s">
        <v>28</v>
      </c>
      <c r="D473" s="72" t="s">
        <v>12</v>
      </c>
      <c r="E473" s="45" t="s">
        <v>542</v>
      </c>
      <c r="F473" s="49" t="s">
        <v>3037</v>
      </c>
      <c r="G473" s="45" t="s">
        <v>3045</v>
      </c>
      <c r="H473" s="47">
        <v>46257</v>
      </c>
      <c r="I473" s="48" t="s">
        <v>1975</v>
      </c>
      <c r="J473" s="48" t="s">
        <v>1270</v>
      </c>
      <c r="K473" s="48" t="str">
        <f t="shared" si="93"/>
        <v>Torsional Strength Test Machine is a torsion testing machines product from HST Group for application-specific laboratory, engineering or industrial use.</v>
      </c>
      <c r="L473" s="48" t="str">
        <f t="shared" si="94"/>
        <v>Torsional Strength Test Machine from HST Group for torsion testing machines applications. Review configuration requirements and request technical information or a quotation from DIWAN.</v>
      </c>
      <c r="M473" s="48" t="s">
        <v>2020</v>
      </c>
      <c r="N473" s="61" t="s">
        <v>2672</v>
      </c>
      <c r="O473" s="54" t="str" cm="1">
        <f t="array" ref="O473">_xlfn.LET(_xlpm.n,LOWER(E473),_xlpm.c,LOWER(B473),_xlpm.t,_xlfn.IFS(OR(ISNUMBER(SEARCH("lens",_xlpm.n)),ISNUMBER(SEARCH("optic",_xlpm.n)),ISNUMBER(SEARCH("polarizer",_xlpm.n))),"precision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"),E473&amp;" is "&amp;_xlpm.art&amp;_xlpm.t&amp;" from "&amp;C473&amp;" designed for application-specific laboratory, engineering or industrial use. It belongs to DIWAN's "&amp;B473&amp;" portfolio; final configuration must be selected against performance, integration and compliance requirements.")</f>
        <v>Torsional Strength Test Machine is a specialized torsion testing machines product from HST Group designed for application-specific laboratory, engineering or industrial use. It belongs to DIWAN's Torsion Testing Machines portfolio; final configuration must be selected against performance, integration and compliance requirements.</v>
      </c>
      <c r="P473" s="54" t="str">
        <f t="shared" si="95"/>
        <v>Selection should confirm the model-specific operating range, capacity, accuracy, interfaces, utilities, accessories, standards, environmental limits and service requirements. Final capabilities depend on the approved Torsional Strength Test Machine configuration.</v>
      </c>
      <c r="Q473" s="54"/>
      <c r="R473" s="54" t="str">
        <f t="shared" si="96"/>
        <v>Torsion Testing Machines applications; laboratory research, engineering development, quality control and industrial deployment where applicable. Suitability must be confirmed against the user's sample, process, environment and required standards.</v>
      </c>
      <c r="S473" s="54"/>
      <c r="T473" s="54" t="str">
        <f t="shared" si="97"/>
        <v>Torsional Strength Test Machine from HST Group</v>
      </c>
      <c r="U473" s="54"/>
      <c r="V473" s="54" t="s">
        <v>2673</v>
      </c>
      <c r="W473" s="54" t="str">
        <f t="shared" si="98"/>
        <v>See other Torsion Testing Machines products</v>
      </c>
      <c r="X473" s="54" t="str">
        <f t="shared" si="99"/>
        <v>Torsion Testing Machines enquiry → website group enquiry form → category owner assignment</v>
      </c>
      <c r="Y473" s="54" t="str">
        <f t="shared" si="100"/>
        <v>Torsional Strength Test Machine, Torsion Testing Machines, HST Group, technical equipment, DIWAN</v>
      </c>
      <c r="Z473" s="54" t="s">
        <v>2294</v>
      </c>
      <c r="AA473" s="55">
        <v>46257</v>
      </c>
      <c r="AB473" s="54" t="s">
        <v>2465</v>
      </c>
      <c r="AC473" s="63" t="str">
        <f t="shared" si="101"/>
        <v>Content drafted - assets/specs pending</v>
      </c>
      <c r="AD473"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3" s="58"/>
      <c r="AF473" s="58"/>
      <c r="AG473" s="58" t="s">
        <v>2467</v>
      </c>
      <c r="AH473" s="58" t="s">
        <v>2468</v>
      </c>
      <c r="AI473" s="58" t="s">
        <v>2469</v>
      </c>
    </row>
    <row r="474" spans="1:35" ht="42" customHeight="1" thickBot="1" x14ac:dyDescent="0.4">
      <c r="A474" s="69">
        <f t="shared" si="103"/>
        <v>75</v>
      </c>
      <c r="B474" s="70" t="s">
        <v>536</v>
      </c>
      <c r="C474" s="71" t="s">
        <v>28</v>
      </c>
      <c r="D474" s="72" t="s">
        <v>12</v>
      </c>
      <c r="E474" s="45" t="s">
        <v>543</v>
      </c>
      <c r="F474" s="49" t="s">
        <v>3037</v>
      </c>
      <c r="G474" s="45" t="s">
        <v>3045</v>
      </c>
      <c r="H474" s="47">
        <v>46257</v>
      </c>
      <c r="I474" s="48" t="s">
        <v>1976</v>
      </c>
      <c r="J474" s="48" t="s">
        <v>1271</v>
      </c>
      <c r="K474" s="48" t="str">
        <f t="shared" si="93"/>
        <v>Hand Digital Torque Wrench Tester is a torsion testing machines product from HST Group for application-specific laboratory, engineering or industrial use.</v>
      </c>
      <c r="L474" s="48" t="str">
        <f t="shared" si="94"/>
        <v>Hand Digital Torque Wrench Tester from HST Group for torsion testing machines applications. Review configuration requirements and request technical information or a quotation from DIWAN.</v>
      </c>
      <c r="M474" s="48" t="s">
        <v>2020</v>
      </c>
      <c r="N474" s="61" t="s">
        <v>2672</v>
      </c>
      <c r="O474" s="54" t="str" cm="1">
        <f t="array" ref="O474">_xlfn.LET(_xlpm.n,LOWER(E474),_xlpm.c,LOWER(B474),_xlpm.t,_xlfn.IFS(OR(ISNUMBER(SEARCH("lens",_xlpm.n)),ISNUMBER(SEARCH("optic",_xlpm.n)),ISNUMBER(SEARCH("polarizer",_xlpm.n))),"precision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"),E474&amp;" is "&amp;_xlpm.art&amp;_xlpm.t&amp;" from "&amp;C474&amp;" designed for application-specific laboratory, engineering or industrial use. It belongs to DIWAN's "&amp;B474&amp;" portfolio; final configuration must be selected against performance, integration and compliance requirements.")</f>
        <v>Hand Digital Torque Wrench Tester is a materials or component testing system from HST Group designed for application-specific laboratory, engineering or industrial use. It belongs to DIWAN's Torsion Testing Machines portfolio; final configuration must be selected against performance, integration and compliance requirements.</v>
      </c>
      <c r="P474" s="54" t="str">
        <f t="shared" si="95"/>
        <v>Selection should confirm the model-specific operating range, capacity, accuracy, interfaces, utilities, accessories, standards, environmental limits and service requirements. Final capabilities depend on the approved Hand Digital Torque Wrench Tester configuration.</v>
      </c>
      <c r="Q474" s="54"/>
      <c r="R474" s="54" t="str">
        <f t="shared" si="96"/>
        <v>Torsion Testing Machines applications; laboratory research, engineering development, quality control and industrial deployment where applicable. Suitability must be confirmed against the user's sample, process, environment and required standards.</v>
      </c>
      <c r="S474" s="54"/>
      <c r="T474" s="54" t="str">
        <f t="shared" si="97"/>
        <v>Hand Digital Torque Wrench Tester from HST Group</v>
      </c>
      <c r="U474" s="54"/>
      <c r="V474" s="54" t="s">
        <v>2673</v>
      </c>
      <c r="W474" s="54" t="str">
        <f t="shared" si="98"/>
        <v>See other Torsion Testing Machines products</v>
      </c>
      <c r="X474" s="54" t="str">
        <f t="shared" si="99"/>
        <v>Torsion Testing Machines enquiry → website group enquiry form → category owner assignment</v>
      </c>
      <c r="Y474" s="54" t="str">
        <f t="shared" si="100"/>
        <v>Hand Digital Torque Wrench Tester, Torsion Testing Machines, HST Group, technical equipment, DIWAN</v>
      </c>
      <c r="Z474" s="54" t="s">
        <v>2294</v>
      </c>
      <c r="AA474" s="55">
        <v>46257</v>
      </c>
      <c r="AB474" s="54" t="s">
        <v>2465</v>
      </c>
      <c r="AC474" s="63" t="str">
        <f t="shared" si="101"/>
        <v>Content drafted - assets/specs pending</v>
      </c>
      <c r="AD474"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4" s="58"/>
      <c r="AF474" s="58"/>
      <c r="AG474" s="58" t="s">
        <v>2467</v>
      </c>
      <c r="AH474" s="58" t="s">
        <v>2468</v>
      </c>
      <c r="AI474" s="58" t="s">
        <v>2469</v>
      </c>
    </row>
    <row r="475" spans="1:35" ht="42" customHeight="1" x14ac:dyDescent="0.35">
      <c r="A475" s="69">
        <f t="shared" si="103"/>
        <v>76</v>
      </c>
      <c r="B475" s="74" t="s">
        <v>544</v>
      </c>
      <c r="C475" s="75" t="s">
        <v>28</v>
      </c>
      <c r="D475" s="76" t="s">
        <v>12</v>
      </c>
      <c r="E475" s="77" t="s">
        <v>545</v>
      </c>
      <c r="F475" s="86" t="s">
        <v>3038</v>
      </c>
      <c r="G475" s="77" t="s">
        <v>3045</v>
      </c>
      <c r="H475" s="79">
        <v>46257</v>
      </c>
      <c r="I475" s="80" t="s">
        <v>1977</v>
      </c>
      <c r="J475" s="80" t="s">
        <v>1272</v>
      </c>
      <c r="K475" s="80" t="str">
        <f t="shared" si="93"/>
        <v>Steel Bar Bend Tester is a bending testing machines product from HST Group for application-specific laboratory, engineering or industrial use.</v>
      </c>
      <c r="L475" s="80" t="str">
        <f t="shared" si="94"/>
        <v>Steel Bar Bend Tester from HST Group for bending testing machines applications. Review configuration requirements and request technical information or a quotation from DIWAN.</v>
      </c>
      <c r="M475" s="80" t="s">
        <v>2020</v>
      </c>
      <c r="N475" s="81" t="s">
        <v>2672</v>
      </c>
      <c r="O475" s="82" t="str" cm="1">
        <f t="array" ref="O475">_xlfn.LET(_xlpm.n,LOWER(E475),_xlpm.c,LOWER(B475),_xlpm.t,_xlfn.IFS(OR(ISNUMBER(SEARCH("lens",_xlpm.n)),ISNUMBER(SEARCH("optic",_xlpm.n)),ISNUMBER(SEARCH("polarizer",_xlpm.n))),"precision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"),E475&amp;" is "&amp;_xlpm.art&amp;_xlpm.t&amp;" from "&amp;C475&amp;" designed for application-specific laboratory, engineering or industrial use. It belongs to DIWAN's "&amp;B475&amp;" portfolio; final configuration must be selected against performance, integration and compliance requirements.")</f>
        <v>Steel Bar Bend Tester is a materials or component testing system from HST Group designed for application-specific laboratory, engineering or industrial use. It belongs to DIWAN's Bending Testing Machines portfolio; final configuration must be selected against performance, integration and compliance requirements.</v>
      </c>
      <c r="P475" s="82" t="str">
        <f t="shared" si="95"/>
        <v>Selection should confirm the model-specific operating range, capacity, accuracy, interfaces, utilities, accessories, standards, environmental limits and service requirements. Final capabilities depend on the approved Steel Bar Bend Tester configuration.</v>
      </c>
      <c r="Q475" s="82"/>
      <c r="R475" s="82" t="str">
        <f t="shared" si="96"/>
        <v>Bending Testing Machines applications; laboratory research, engineering development, quality control and industrial deployment where applicable. Suitability must be confirmed against the user's sample, process, environment and required standards.</v>
      </c>
      <c r="S475" s="82"/>
      <c r="T475" s="82" t="str">
        <f t="shared" si="97"/>
        <v>Steel Bar Bend Tester from HST Group</v>
      </c>
      <c r="U475" s="82"/>
      <c r="V475" s="82" t="s">
        <v>2673</v>
      </c>
      <c r="W475" s="82" t="str">
        <f t="shared" si="98"/>
        <v>See other Bending Testing Machines products</v>
      </c>
      <c r="X475" s="82" t="str">
        <f t="shared" si="99"/>
        <v>Bending Testing Machines enquiry → website group enquiry form → category owner assignment</v>
      </c>
      <c r="Y475" s="82" t="str">
        <f t="shared" si="100"/>
        <v>Steel Bar Bend Tester, Bending Testing Machines, HST Group, technical equipment, DIWAN</v>
      </c>
      <c r="Z475" s="82" t="s">
        <v>2295</v>
      </c>
      <c r="AA475" s="83">
        <v>46257</v>
      </c>
      <c r="AB475" s="82" t="s">
        <v>2465</v>
      </c>
      <c r="AC475" s="84" t="str">
        <f t="shared" si="101"/>
        <v>Content drafted - assets/specs pending</v>
      </c>
      <c r="AD475"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5" s="85"/>
      <c r="AF475" s="85"/>
      <c r="AG475" s="85" t="s">
        <v>2467</v>
      </c>
      <c r="AH475" s="85" t="s">
        <v>2468</v>
      </c>
      <c r="AI475" s="85" t="s">
        <v>2469</v>
      </c>
    </row>
    <row r="476" spans="1:35" ht="42" customHeight="1" thickBot="1" x14ac:dyDescent="0.4">
      <c r="A476" s="69">
        <f t="shared" si="103"/>
        <v>76</v>
      </c>
      <c r="B476" s="70" t="s">
        <v>544</v>
      </c>
      <c r="C476" s="71" t="s">
        <v>28</v>
      </c>
      <c r="D476" s="72" t="s">
        <v>12</v>
      </c>
      <c r="E476" s="45" t="s">
        <v>546</v>
      </c>
      <c r="F476" s="49" t="s">
        <v>3038</v>
      </c>
      <c r="G476" s="45" t="s">
        <v>3045</v>
      </c>
      <c r="H476" s="47">
        <v>46257</v>
      </c>
      <c r="I476" s="48" t="s">
        <v>1978</v>
      </c>
      <c r="J476" s="48" t="s">
        <v>1273</v>
      </c>
      <c r="K476" s="48" t="str">
        <f t="shared" si="93"/>
        <v>Metal Wire Repeated Bending Tester is a bending testing machines product from HST Group for application-specific laboratory, engineering or industrial use.</v>
      </c>
      <c r="L476" s="48" t="str">
        <f t="shared" si="94"/>
        <v>Metal Wire Repeated Bending Tester from HST Group for bending testing machines applications. Review configuration requirements and request technical information or a quotation from DIWAN.</v>
      </c>
      <c r="M476" s="48" t="s">
        <v>2020</v>
      </c>
      <c r="N476" s="61" t="s">
        <v>2672</v>
      </c>
      <c r="O476" s="54" t="str" cm="1">
        <f t="array" ref="O476">_xlfn.LET(_xlpm.n,LOWER(E476),_xlpm.c,LOWER(B476),_xlpm.t,_xlfn.IFS(OR(ISNUMBER(SEARCH("lens",_xlpm.n)),ISNUMBER(SEARCH("optic",_xlpm.n)),ISNUMBER(SEARCH("polarizer",_xlpm.n))),"precision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"),E476&amp;" is "&amp;_xlpm.art&amp;_xlpm.t&amp;" from "&amp;C476&amp;" designed for application-specific laboratory, engineering or industrial use. It belongs to DIWAN's "&amp;B476&amp;" portfolio; final configuration must be selected against performance, integration and compliance requirements.")</f>
        <v>Metal Wire Repeated Bending Tester is a materials or component testing system from HST Group designed for application-specific laboratory, engineering or industrial use. It belongs to DIWAN's Bending Testing Machines portfolio; final configuration must be selected against performance, integration and compliance requirements.</v>
      </c>
      <c r="P476" s="54" t="str">
        <f t="shared" si="95"/>
        <v>Selection should confirm the model-specific operating range, capacity, accuracy, interfaces, utilities, accessories, standards, environmental limits and service requirements. Final capabilities depend on the approved Metal Wire Repeated Bending Tester configuration.</v>
      </c>
      <c r="Q476" s="54"/>
      <c r="R476" s="54" t="str">
        <f t="shared" si="96"/>
        <v>Bending Testing Machines applications; laboratory research, engineering development, quality control and industrial deployment where applicable. Suitability must be confirmed against the user's sample, process, environment and required standards.</v>
      </c>
      <c r="S476" s="54"/>
      <c r="T476" s="54" t="str">
        <f t="shared" si="97"/>
        <v>Metal Wire Repeated Bending Tester from HST Group</v>
      </c>
      <c r="U476" s="54"/>
      <c r="V476" s="54" t="s">
        <v>2673</v>
      </c>
      <c r="W476" s="54" t="str">
        <f t="shared" si="98"/>
        <v>See other Bending Testing Machines products</v>
      </c>
      <c r="X476" s="54" t="str">
        <f t="shared" si="99"/>
        <v>Bending Testing Machines enquiry → website group enquiry form → category owner assignment</v>
      </c>
      <c r="Y476" s="54" t="str">
        <f t="shared" si="100"/>
        <v>Metal Wire Repeated Bending Tester, Bending Testing Machines, HST Group, technical equipment, DIWAN</v>
      </c>
      <c r="Z476" s="54" t="s">
        <v>2295</v>
      </c>
      <c r="AA476" s="55">
        <v>46257</v>
      </c>
      <c r="AB476" s="54" t="s">
        <v>2465</v>
      </c>
      <c r="AC476" s="63" t="str">
        <f t="shared" si="101"/>
        <v>Content drafted - assets/specs pending</v>
      </c>
      <c r="AD476"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6" s="58"/>
      <c r="AF476" s="58"/>
      <c r="AG476" s="58" t="s">
        <v>2467</v>
      </c>
      <c r="AH476" s="58" t="s">
        <v>2468</v>
      </c>
      <c r="AI476" s="58" t="s">
        <v>2469</v>
      </c>
    </row>
    <row r="477" spans="1:35" ht="42" customHeight="1" x14ac:dyDescent="0.35">
      <c r="A477" s="69">
        <f t="shared" si="103"/>
        <v>77</v>
      </c>
      <c r="B477" s="74" t="s">
        <v>547</v>
      </c>
      <c r="C477" s="75" t="s">
        <v>28</v>
      </c>
      <c r="D477" s="76" t="s">
        <v>12</v>
      </c>
      <c r="E477" s="77" t="s">
        <v>548</v>
      </c>
      <c r="F477" s="86" t="s">
        <v>3039</v>
      </c>
      <c r="G477" s="77" t="s">
        <v>3045</v>
      </c>
      <c r="H477" s="79">
        <v>46257</v>
      </c>
      <c r="I477" s="80" t="s">
        <v>1979</v>
      </c>
      <c r="J477" s="80" t="s">
        <v>1274</v>
      </c>
      <c r="K477" s="80" t="str">
        <f t="shared" si="93"/>
        <v>Rock Direct Shear Testing Machine is a cement, aggregate, concrete &amp; soil testing product from HST Group for application-specific laboratory, engineering or industrial use.</v>
      </c>
      <c r="L477" s="80" t="str">
        <f t="shared" si="94"/>
        <v>Rock Direct Shear Testing Machine from HST Group for cement, aggregate, concrete &amp; soil testing applications. Review configuration requirements and request technical information or a quotation from DIWAN.</v>
      </c>
      <c r="M477" s="80" t="s">
        <v>2020</v>
      </c>
      <c r="N477" s="81" t="s">
        <v>2672</v>
      </c>
      <c r="O477" s="82" t="str" cm="1">
        <f t="array" ref="O477">_xlfn.LET(_xlpm.n,LOWER(E477),_xlpm.c,LOWER(B477),_xlpm.t,_xlfn.IFS(OR(ISNUMBER(SEARCH("lens",_xlpm.n)),ISNUMBER(SEARCH("optic",_xlpm.n)),ISNUMBER(SEARCH("polarizer",_xlpm.n))),"precision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"),E477&amp;" is "&amp;_xlpm.art&amp;_xlpm.t&amp;" from "&amp;C477&amp;" designed for application-specific laboratory, engineering or industrial use. It belongs to DIWAN's "&amp;B477&amp;" portfolio; final configuration must be selected against performance, integration and compliance requirements.")</f>
        <v>Rock Direct Shear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77" s="82" t="str">
        <f t="shared" si="95"/>
        <v>Selection should confirm the model-specific operating range, capacity, accuracy, interfaces, utilities, accessories, standards, environmental limits and service requirements. Final capabilities depend on the approved Rock Direct Shear Testing Machine configuration.</v>
      </c>
      <c r="Q477" s="82"/>
      <c r="R477" s="82" t="str">
        <f t="shared" si="96"/>
        <v>Cement, Aggregate, Concrete &amp; Soil Testing applications; laboratory research, engineering development, quality control and industrial deployment where applicable. Suitability must be confirmed against the user's sample, process, environment and required standards.</v>
      </c>
      <c r="S477" s="82"/>
      <c r="T477" s="82" t="str">
        <f t="shared" si="97"/>
        <v>Rock Direct Shear Testing Machine from HST Group</v>
      </c>
      <c r="U477" s="82"/>
      <c r="V477" s="82" t="s">
        <v>2673</v>
      </c>
      <c r="W477" s="82" t="str">
        <f t="shared" si="98"/>
        <v>See other Cement, Aggregate, Concrete &amp; Soil Testing products</v>
      </c>
      <c r="X477" s="82" t="str">
        <f t="shared" si="99"/>
        <v>Cement, Aggregate, Concrete &amp; Soil Testing enquiry → website group enquiry form → category owner assignment</v>
      </c>
      <c r="Y477" s="82" t="str">
        <f t="shared" si="100"/>
        <v>Rock Direct Shear Testing Machine, Cement, Aggregate, Concrete &amp; Soil Testing, HST Group, technical equipment, DIWAN</v>
      </c>
      <c r="Z477" s="82" t="s">
        <v>2296</v>
      </c>
      <c r="AA477" s="83">
        <v>46257</v>
      </c>
      <c r="AB477" s="82" t="s">
        <v>2465</v>
      </c>
      <c r="AC477" s="84" t="str">
        <f t="shared" si="101"/>
        <v>Content drafted - assets/specs pending</v>
      </c>
      <c r="AD477" s="82"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7" s="85"/>
      <c r="AF477" s="85"/>
      <c r="AG477" s="85" t="s">
        <v>2467</v>
      </c>
      <c r="AH477" s="85" t="s">
        <v>2468</v>
      </c>
      <c r="AI477" s="85" t="s">
        <v>2469</v>
      </c>
    </row>
    <row r="478" spans="1:35" ht="42" customHeight="1" x14ac:dyDescent="0.35">
      <c r="A478" s="69">
        <f t="shared" si="103"/>
        <v>77</v>
      </c>
      <c r="B478" s="70" t="s">
        <v>547</v>
      </c>
      <c r="C478" s="71" t="s">
        <v>28</v>
      </c>
      <c r="D478" s="72" t="s">
        <v>12</v>
      </c>
      <c r="E478" s="45" t="s">
        <v>549</v>
      </c>
      <c r="F478" s="49" t="s">
        <v>3039</v>
      </c>
      <c r="G478" s="45" t="s">
        <v>3045</v>
      </c>
      <c r="H478" s="47">
        <v>46257</v>
      </c>
      <c r="I478" s="48" t="s">
        <v>1980</v>
      </c>
      <c r="J478" s="48" t="s">
        <v>1275</v>
      </c>
      <c r="K478" s="48" t="str">
        <f t="shared" si="93"/>
        <v>Gyratory Compactor is a cement, aggregate, concrete &amp; soil testing product from HST Group for application-specific laboratory, engineering or industrial use.</v>
      </c>
      <c r="L478" s="48" t="str">
        <f t="shared" si="94"/>
        <v>Gyratory Compactor from HST Group for cement, aggregate, concrete &amp; soil testing applications. Review configuration requirements and request technical information or a quotation from DIWAN.</v>
      </c>
      <c r="M478" s="48" t="s">
        <v>2020</v>
      </c>
      <c r="N478" s="61" t="s">
        <v>2672</v>
      </c>
      <c r="O478" s="54" t="str" cm="1">
        <f t="array" ref="O478">_xlfn.LET(_xlpm.n,LOWER(E478),_xlpm.c,LOWER(B478),_xlpm.t,_xlfn.IFS(OR(ISNUMBER(SEARCH("lens",_xlpm.n)),ISNUMBER(SEARCH("optic",_xlpm.n)),ISNUMBER(SEARCH("polarizer",_xlpm.n))),"precision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"),E478&amp;" is "&amp;_xlpm.art&amp;_xlpm.t&amp;" from "&amp;C478&amp;" designed for application-specific laboratory, engineering or industrial use. It belongs to DIWAN's "&amp;B478&amp;" portfolio; final configuration must be selected against performance, integration and compliance requirements.")</f>
        <v>Gyratory Compactor is a specialized cement, aggregate, concrete &amp; soil testing product from HST Group designed for application-specific laboratory, engineering or industrial use. It belongs to DIWAN's Cement, Aggregate, Concrete &amp; Soil Testing portfolio; final configuration must be selected against performance, integration and compliance requirements.</v>
      </c>
      <c r="P478" s="54" t="str">
        <f t="shared" si="95"/>
        <v>Selection should confirm the model-specific operating range, capacity, accuracy, interfaces, utilities, accessories, standards, environmental limits and service requirements. Final capabilities depend on the approved Gyratory Compactor configuration.</v>
      </c>
      <c r="Q478" s="54"/>
      <c r="R478" s="54" t="str">
        <f t="shared" si="96"/>
        <v>Cement, Aggregate, Concrete &amp; Soil Testing applications; laboratory research, engineering development, quality control and industrial deployment where applicable. Suitability must be confirmed against the user's sample, process, environment and required standards.</v>
      </c>
      <c r="S478" s="54"/>
      <c r="T478" s="54" t="str">
        <f t="shared" si="97"/>
        <v>Gyratory Compactor from HST Group</v>
      </c>
      <c r="U478" s="54"/>
      <c r="V478" s="54" t="s">
        <v>2673</v>
      </c>
      <c r="W478" s="54" t="str">
        <f t="shared" si="98"/>
        <v>See other Cement, Aggregate, Concrete &amp; Soil Testing products</v>
      </c>
      <c r="X478" s="54" t="str">
        <f t="shared" si="99"/>
        <v>Cement, Aggregate, Concrete &amp; Soil Testing enquiry → website group enquiry form → category owner assignment</v>
      </c>
      <c r="Y478" s="54" t="str">
        <f t="shared" si="100"/>
        <v>Gyratory Compactor, Cement, Aggregate, Concrete &amp; Soil Testing, HST Group, technical equipment, DIWAN</v>
      </c>
      <c r="Z478" s="54" t="s">
        <v>2296</v>
      </c>
      <c r="AA478" s="55">
        <v>46257</v>
      </c>
      <c r="AB478" s="54" t="s">
        <v>2465</v>
      </c>
      <c r="AC478" s="63" t="str">
        <f t="shared" si="101"/>
        <v>Content drafted - assets/specs pending</v>
      </c>
      <c r="AD478" s="54" t="str">
        <f t="shared" si="102"/>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8" s="58"/>
      <c r="AF478" s="58"/>
      <c r="AG478" s="58" t="s">
        <v>2467</v>
      </c>
      <c r="AH478" s="58" t="s">
        <v>2468</v>
      </c>
      <c r="AI478" s="58" t="s">
        <v>2469</v>
      </c>
    </row>
    <row r="479" spans="1:35" ht="42" customHeight="1" x14ac:dyDescent="0.35">
      <c r="A479" s="69">
        <f t="shared" si="103"/>
        <v>77</v>
      </c>
      <c r="B479" s="70" t="s">
        <v>547</v>
      </c>
      <c r="C479" s="71" t="s">
        <v>28</v>
      </c>
      <c r="D479" s="72" t="s">
        <v>12</v>
      </c>
      <c r="E479" s="45" t="s">
        <v>550</v>
      </c>
      <c r="F479" s="49" t="s">
        <v>3039</v>
      </c>
      <c r="G479" s="45" t="s">
        <v>3045</v>
      </c>
      <c r="H479" s="47">
        <v>46257</v>
      </c>
      <c r="I479" s="48" t="s">
        <v>1981</v>
      </c>
      <c r="J479" s="48" t="s">
        <v>1276</v>
      </c>
      <c r="K479" s="48" t="str">
        <f t="shared" ref="K479:K517" si="104">E479&amp;" is "&amp;IF(ISNUMBER(SEARCH(LEFT(LOWER(B479),1),"aeiou")),"an ","a ")&amp;LOWER(B479)&amp;" product from "&amp;C479&amp;" for application-specific laboratory, engineering or industrial use."</f>
        <v>Elastic Modulus Tester is a cement, aggregate, concrete &amp; soil testing product from HST Group for application-specific laboratory, engineering or industrial use.</v>
      </c>
      <c r="L479" s="48" t="str">
        <f t="shared" ref="L479:L517" si="105">E479&amp;" from "&amp;C479&amp;" for "&amp;LOWER(B479)&amp;" applications. Review configuration requirements and request technical information or a quotation from DIWAN."</f>
        <v>Elastic Modulus Tester from HST Group for cement, aggregate, concrete &amp; soil testing applications. Review configuration requirements and request technical information or a quotation from DIWAN.</v>
      </c>
      <c r="M479" s="48" t="s">
        <v>2020</v>
      </c>
      <c r="N479" s="61" t="s">
        <v>2672</v>
      </c>
      <c r="O479" s="54" t="str" cm="1">
        <f t="array" ref="O479">_xlfn.LET(_xlpm.n,LOWER(E479),_xlpm.c,LOWER(B479),_xlpm.t,_xlfn.IFS(OR(ISNUMBER(SEARCH("lens",_xlpm.n)),ISNUMBER(SEARCH("optic",_xlpm.n)),ISNUMBER(SEARCH("polarizer",_xlpm.n))),"precision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"),E479&amp;" is "&amp;_xlpm.art&amp;_xlpm.t&amp;" from "&amp;C479&amp;" designed for application-specific laboratory, engineering or industrial use. It belongs to DIWAN's "&amp;B479&amp;" portfolio; final configuration must be selected against performance, integration and compliance requirements.")</f>
        <v>Elastic Modulus Tester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79" s="54" t="str">
        <f t="shared" ref="P479:P517" si="106">"Selection should confirm the model-specific operating range, capacity, accuracy, interfaces, utilities, accessories, standards, environmental limits and service requirements. Final capabilities depend on the approved "&amp;E479&amp;" configuration."</f>
        <v>Selection should confirm the model-specific operating range, capacity, accuracy, interfaces, utilities, accessories, standards, environmental limits and service requirements. Final capabilities depend on the approved Elastic Modulus Tester configuration.</v>
      </c>
      <c r="Q479" s="54"/>
      <c r="R479" s="54" t="str">
        <f t="shared" ref="R479:R517" si="107">B479&amp;" applications; laboratory research, engineering development, quality control and industrial deployment where applicable. Suitability must be confirmed against the user's sample, process, environment and required standards."</f>
        <v>Cement, Aggregate, Concrete &amp; Soil Testing applications; laboratory research, engineering development, quality control and industrial deployment where applicable. Suitability must be confirmed against the user's sample, process, environment and required standards.</v>
      </c>
      <c r="S479" s="54"/>
      <c r="T479" s="54" t="str">
        <f t="shared" ref="T479:T517" si="108">E479&amp;" from "&amp;C479</f>
        <v>Elastic Modulus Tester from HST Group</v>
      </c>
      <c r="U479" s="54"/>
      <c r="V479" s="54" t="s">
        <v>2673</v>
      </c>
      <c r="W479" s="54" t="str">
        <f t="shared" ref="W479:W517" si="109">"See other "&amp;B479&amp;" products"</f>
        <v>See other Cement, Aggregate, Concrete &amp; Soil Testing products</v>
      </c>
      <c r="X479" s="54" t="str">
        <f t="shared" ref="X479:X517" si="110">B479&amp;" enquiry → website group enquiry form → category owner assignment"</f>
        <v>Cement, Aggregate, Concrete &amp; Soil Testing enquiry → website group enquiry form → category owner assignment</v>
      </c>
      <c r="Y479" s="54" t="str">
        <f t="shared" ref="Y479:Y517" si="111">E479&amp;", "&amp;B479&amp;", "&amp;C479&amp;", technical equipment, DIWAN"</f>
        <v>Elastic Modulus Tester, Cement, Aggregate, Concrete &amp; Soil Testing, HST Group, technical equipment, DIWAN</v>
      </c>
      <c r="Z479" s="54" t="s">
        <v>2296</v>
      </c>
      <c r="AA479" s="55">
        <v>46257</v>
      </c>
      <c r="AB479" s="54" t="s">
        <v>2465</v>
      </c>
      <c r="AC479" s="63" t="str">
        <f t="shared" ref="AC479:AC517" si="112">IF(AND(O479&lt;&gt;"",P479&lt;&gt;"",R479&lt;&gt;"",T479&lt;&gt;"",X479&lt;&gt;"",Y479&lt;&gt;"",Z479&lt;&gt;"",AA479&lt;&gt;"",AB479&lt;&gt;""),IF(AND(Q479&lt;&gt;"",S479&lt;&gt;"",U479&lt;&gt;""),"Ready for approval","Content drafted - assets/specs pending"),IF(COUNTA(O479:AB479)=0,"Not started","In progress"))</f>
        <v>Content drafted - assets/specs pending</v>
      </c>
      <c r="AD479" s="54" t="str">
        <f t="shared" ref="AD479:AD517" si="113">"Baseline definition created from the official catalog name, partner and category classification ("&amp;G479&amp;").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79" s="58"/>
      <c r="AF479" s="58"/>
      <c r="AG479" s="58" t="s">
        <v>2467</v>
      </c>
      <c r="AH479" s="58" t="s">
        <v>2468</v>
      </c>
      <c r="AI479" s="58" t="s">
        <v>2469</v>
      </c>
    </row>
    <row r="480" spans="1:35" ht="42" customHeight="1" x14ac:dyDescent="0.35">
      <c r="A480" s="69">
        <f t="shared" si="103"/>
        <v>77</v>
      </c>
      <c r="B480" s="70" t="s">
        <v>547</v>
      </c>
      <c r="C480" s="71" t="s">
        <v>28</v>
      </c>
      <c r="D480" s="72" t="s">
        <v>12</v>
      </c>
      <c r="E480" s="45" t="s">
        <v>551</v>
      </c>
      <c r="F480" s="49" t="s">
        <v>3039</v>
      </c>
      <c r="G480" s="45" t="s">
        <v>3045</v>
      </c>
      <c r="H480" s="47">
        <v>46257</v>
      </c>
      <c r="I480" s="48" t="s">
        <v>1982</v>
      </c>
      <c r="J480" s="48" t="s">
        <v>1277</v>
      </c>
      <c r="K480" s="48" t="str">
        <f t="shared" si="104"/>
        <v>Resilient Modulus Tester is a cement, aggregate, concrete &amp; soil testing product from HST Group for application-specific laboratory, engineering or industrial use.</v>
      </c>
      <c r="L480" s="48" t="str">
        <f t="shared" si="105"/>
        <v>Resilient Modulus Tester from HST Group for cement, aggregate, concrete &amp; soil testing applications. Review configuration requirements and request technical information or a quotation from DIWAN.</v>
      </c>
      <c r="M480" s="48" t="s">
        <v>2020</v>
      </c>
      <c r="N480" s="61" t="s">
        <v>2672</v>
      </c>
      <c r="O480" s="54" t="str" cm="1">
        <f t="array" ref="O480">_xlfn.LET(_xlpm.n,LOWER(E480),_xlpm.c,LOWER(B480),_xlpm.t,_xlfn.IFS(OR(ISNUMBER(SEARCH("lens",_xlpm.n)),ISNUMBER(SEARCH("optic",_xlpm.n)),ISNUMBER(SEARCH("polarizer",_xlpm.n))),"precision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"),E480&amp;" is "&amp;_xlpm.art&amp;_xlpm.t&amp;" from "&amp;C480&amp;" designed for application-specific laboratory, engineering or industrial use. It belongs to DIWAN's "&amp;B480&amp;" portfolio; final configuration must be selected against performance, integration and compliance requirements.")</f>
        <v>Resilient Modulus Tester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0" s="54" t="str">
        <f t="shared" si="106"/>
        <v>Selection should confirm the model-specific operating range, capacity, accuracy, interfaces, utilities, accessories, standards, environmental limits and service requirements. Final capabilities depend on the approved Resilient Modulus Tester configuration.</v>
      </c>
      <c r="Q480" s="54"/>
      <c r="R480"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0" s="54"/>
      <c r="T480" s="54" t="str">
        <f t="shared" si="108"/>
        <v>Resilient Modulus Tester from HST Group</v>
      </c>
      <c r="U480" s="54"/>
      <c r="V480" s="54" t="s">
        <v>2673</v>
      </c>
      <c r="W480" s="54" t="str">
        <f t="shared" si="109"/>
        <v>See other Cement, Aggregate, Concrete &amp; Soil Testing products</v>
      </c>
      <c r="X480" s="54" t="str">
        <f t="shared" si="110"/>
        <v>Cement, Aggregate, Concrete &amp; Soil Testing enquiry → website group enquiry form → category owner assignment</v>
      </c>
      <c r="Y480" s="54" t="str">
        <f t="shared" si="111"/>
        <v>Resilient Modulus Tester, Cement, Aggregate, Concrete &amp; Soil Testing, HST Group, technical equipment, DIWAN</v>
      </c>
      <c r="Z480" s="54" t="s">
        <v>2296</v>
      </c>
      <c r="AA480" s="55">
        <v>46257</v>
      </c>
      <c r="AB480" s="54" t="s">
        <v>2465</v>
      </c>
      <c r="AC480" s="63" t="str">
        <f t="shared" si="112"/>
        <v>Content drafted - assets/specs pending</v>
      </c>
      <c r="AD480"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0" s="58"/>
      <c r="AF480" s="58"/>
      <c r="AG480" s="58" t="s">
        <v>2467</v>
      </c>
      <c r="AH480" s="58" t="s">
        <v>2468</v>
      </c>
      <c r="AI480" s="58" t="s">
        <v>2469</v>
      </c>
    </row>
    <row r="481" spans="1:35" ht="42" customHeight="1" x14ac:dyDescent="0.35">
      <c r="A481" s="69">
        <f t="shared" si="103"/>
        <v>77</v>
      </c>
      <c r="B481" s="70" t="s">
        <v>547</v>
      </c>
      <c r="C481" s="71" t="s">
        <v>28</v>
      </c>
      <c r="D481" s="72" t="s">
        <v>12</v>
      </c>
      <c r="E481" s="45" t="s">
        <v>552</v>
      </c>
      <c r="F481" s="49" t="s">
        <v>3039</v>
      </c>
      <c r="G481" s="45" t="s">
        <v>3045</v>
      </c>
      <c r="H481" s="47">
        <v>46257</v>
      </c>
      <c r="I481" s="48" t="s">
        <v>1983</v>
      </c>
      <c r="J481" s="48" t="s">
        <v>1278</v>
      </c>
      <c r="K481" s="48" t="str">
        <f t="shared" si="104"/>
        <v>Asphalt Dynamic Shear Rheometer is a cement, aggregate, concrete &amp; soil testing product from HST Group for application-specific laboratory, engineering or industrial use.</v>
      </c>
      <c r="L481" s="48" t="str">
        <f t="shared" si="105"/>
        <v>Asphalt Dynamic Shear Rheometer from HST Group for cement, aggregate, concrete &amp; soil testing applications. Review configuration requirements and request technical information or a quotation from DIWAN.</v>
      </c>
      <c r="M481" s="48" t="s">
        <v>2020</v>
      </c>
      <c r="N481" s="61" t="s">
        <v>2672</v>
      </c>
      <c r="O481" s="54" t="str" cm="1">
        <f t="array" ref="O481">_xlfn.LET(_xlpm.n,LOWER(E481),_xlpm.c,LOWER(B481),_xlpm.t,_xlfn.IFS(OR(ISNUMBER(SEARCH("lens",_xlpm.n)),ISNUMBER(SEARCH("optic",_xlpm.n)),ISNUMBER(SEARCH("polarizer",_xlpm.n))),"precision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"),E481&amp;" is "&amp;_xlpm.art&amp;_xlpm.t&amp;" from "&amp;C481&amp;" designed for application-specific laboratory, engineering or industrial use. It belongs to DIWAN's "&amp;B481&amp;" portfolio; final configuration must be selected against performance, integration and compliance requirements.")</f>
        <v>Asphalt Dynamic Shear Rheometer is a specialized cement, aggregate, concrete &amp; soil testing product from HST Group designed for application-specific laboratory, engineering or industrial use. It belongs to DIWAN's Cement, Aggregate, Concrete &amp; Soil Testing portfolio; final configuration must be selected against performance, integration and compliance requirements.</v>
      </c>
      <c r="P481" s="54" t="str">
        <f t="shared" si="106"/>
        <v>Selection should confirm the model-specific operating range, capacity, accuracy, interfaces, utilities, accessories, standards, environmental limits and service requirements. Final capabilities depend on the approved Asphalt Dynamic Shear Rheometer configuration.</v>
      </c>
      <c r="Q481" s="54"/>
      <c r="R481"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1" s="54"/>
      <c r="T481" s="54" t="str">
        <f t="shared" si="108"/>
        <v>Asphalt Dynamic Shear Rheometer from HST Group</v>
      </c>
      <c r="U481" s="54"/>
      <c r="V481" s="54" t="s">
        <v>2673</v>
      </c>
      <c r="W481" s="54" t="str">
        <f t="shared" si="109"/>
        <v>See other Cement, Aggregate, Concrete &amp; Soil Testing products</v>
      </c>
      <c r="X481" s="54" t="str">
        <f t="shared" si="110"/>
        <v>Cement, Aggregate, Concrete &amp; Soil Testing enquiry → website group enquiry form → category owner assignment</v>
      </c>
      <c r="Y481" s="54" t="str">
        <f t="shared" si="111"/>
        <v>Asphalt Dynamic Shear Rheometer, Cement, Aggregate, Concrete &amp; Soil Testing, HST Group, technical equipment, DIWAN</v>
      </c>
      <c r="Z481" s="54" t="s">
        <v>2296</v>
      </c>
      <c r="AA481" s="55">
        <v>46257</v>
      </c>
      <c r="AB481" s="54" t="s">
        <v>2465</v>
      </c>
      <c r="AC481" s="63" t="str">
        <f t="shared" si="112"/>
        <v>Content drafted - assets/specs pending</v>
      </c>
      <c r="AD481"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1" s="58"/>
      <c r="AF481" s="58"/>
      <c r="AG481" s="58" t="s">
        <v>2467</v>
      </c>
      <c r="AH481" s="58" t="s">
        <v>2468</v>
      </c>
      <c r="AI481" s="58" t="s">
        <v>2469</v>
      </c>
    </row>
    <row r="482" spans="1:35" ht="42" customHeight="1" x14ac:dyDescent="0.35">
      <c r="A482" s="69">
        <f t="shared" si="103"/>
        <v>77</v>
      </c>
      <c r="B482" s="70" t="s">
        <v>547</v>
      </c>
      <c r="C482" s="71" t="s">
        <v>28</v>
      </c>
      <c r="D482" s="72" t="s">
        <v>12</v>
      </c>
      <c r="E482" s="45" t="s">
        <v>553</v>
      </c>
      <c r="F482" s="49" t="s">
        <v>3039</v>
      </c>
      <c r="G482" s="45" t="s">
        <v>3045</v>
      </c>
      <c r="H482" s="47">
        <v>46257</v>
      </c>
      <c r="I482" s="48" t="s">
        <v>1984</v>
      </c>
      <c r="J482" s="48" t="s">
        <v>1279</v>
      </c>
      <c r="K482" s="48" t="str">
        <f t="shared" si="104"/>
        <v>Unconfined Compressive Strength Tester is a cement, aggregate, concrete &amp; soil testing product from HST Group for application-specific laboratory, engineering or industrial use.</v>
      </c>
      <c r="L482" s="48" t="str">
        <f t="shared" si="105"/>
        <v>Unconfined Compressive Strength Tester from HST Group for cement, aggregate, concrete &amp; soil testing applications. Review configuration requirements and request technical information or a quotation from DIWAN.</v>
      </c>
      <c r="M482" s="48" t="s">
        <v>2020</v>
      </c>
      <c r="N482" s="61" t="s">
        <v>2672</v>
      </c>
      <c r="O482" s="54" t="str" cm="1">
        <f t="array" ref="O482">_xlfn.LET(_xlpm.n,LOWER(E482),_xlpm.c,LOWER(B482),_xlpm.t,_xlfn.IFS(OR(ISNUMBER(SEARCH("lens",_xlpm.n)),ISNUMBER(SEARCH("optic",_xlpm.n)),ISNUMBER(SEARCH("polarizer",_xlpm.n))),"precision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"),E482&amp;" is "&amp;_xlpm.art&amp;_xlpm.t&amp;" from "&amp;C482&amp;" designed for application-specific laboratory, engineering or industrial use. It belongs to DIWAN's "&amp;B482&amp;" portfolio; final configuration must be selected against performance, integration and compliance requirements.")</f>
        <v>Unconfined Compressive Strength Tester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2" s="54" t="str">
        <f t="shared" si="106"/>
        <v>Selection should confirm the model-specific operating range, capacity, accuracy, interfaces, utilities, accessories, standards, environmental limits and service requirements. Final capabilities depend on the approved Unconfined Compressive Strength Tester configuration.</v>
      </c>
      <c r="Q482" s="54"/>
      <c r="R482"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2" s="54"/>
      <c r="T482" s="54" t="str">
        <f t="shared" si="108"/>
        <v>Unconfined Compressive Strength Tester from HST Group</v>
      </c>
      <c r="U482" s="54"/>
      <c r="V482" s="54" t="s">
        <v>2673</v>
      </c>
      <c r="W482" s="54" t="str">
        <f t="shared" si="109"/>
        <v>See other Cement, Aggregate, Concrete &amp; Soil Testing products</v>
      </c>
      <c r="X482" s="54" t="str">
        <f t="shared" si="110"/>
        <v>Cement, Aggregate, Concrete &amp; Soil Testing enquiry → website group enquiry form → category owner assignment</v>
      </c>
      <c r="Y482" s="54" t="str">
        <f t="shared" si="111"/>
        <v>Unconfined Compressive Strength Tester, Cement, Aggregate, Concrete &amp; Soil Testing, HST Group, technical equipment, DIWAN</v>
      </c>
      <c r="Z482" s="54" t="s">
        <v>2296</v>
      </c>
      <c r="AA482" s="55">
        <v>46257</v>
      </c>
      <c r="AB482" s="54" t="s">
        <v>2465</v>
      </c>
      <c r="AC482" s="63" t="str">
        <f t="shared" si="112"/>
        <v>Content drafted - assets/specs pending</v>
      </c>
      <c r="AD482"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2" s="58"/>
      <c r="AF482" s="58"/>
      <c r="AG482" s="58" t="s">
        <v>2467</v>
      </c>
      <c r="AH482" s="58" t="s">
        <v>2468</v>
      </c>
      <c r="AI482" s="58" t="s">
        <v>2469</v>
      </c>
    </row>
    <row r="483" spans="1:35" ht="42" customHeight="1" x14ac:dyDescent="0.35">
      <c r="A483" s="69">
        <f t="shared" si="103"/>
        <v>77</v>
      </c>
      <c r="B483" s="70" t="s">
        <v>547</v>
      </c>
      <c r="C483" s="71" t="s">
        <v>28</v>
      </c>
      <c r="D483" s="72" t="s">
        <v>12</v>
      </c>
      <c r="E483" s="45" t="s">
        <v>554</v>
      </c>
      <c r="F483" s="49" t="s">
        <v>3039</v>
      </c>
      <c r="G483" s="45" t="s">
        <v>3045</v>
      </c>
      <c r="H483" s="47">
        <v>46257</v>
      </c>
      <c r="I483" s="48" t="s">
        <v>1985</v>
      </c>
      <c r="J483" s="48" t="s">
        <v>1280</v>
      </c>
      <c r="K483" s="48" t="str">
        <f t="shared" si="104"/>
        <v>Cement Concrete Shrinkage Apparatus is a cement, aggregate, concrete &amp; soil testing product from HST Group for application-specific laboratory, engineering or industrial use.</v>
      </c>
      <c r="L483" s="48" t="str">
        <f t="shared" si="105"/>
        <v>Cement Concrete Shrinkage Apparatus from HST Group for cement, aggregate, concrete &amp; soil testing applications. Review configuration requirements and request technical information or a quotation from DIWAN.</v>
      </c>
      <c r="M483" s="48" t="s">
        <v>2020</v>
      </c>
      <c r="N483" s="61" t="s">
        <v>2672</v>
      </c>
      <c r="O483" s="54" t="str" cm="1">
        <f t="array" ref="O483">_xlfn.LET(_xlpm.n,LOWER(E483),_xlpm.c,LOWER(B483),_xlpm.t,_xlfn.IFS(OR(ISNUMBER(SEARCH("lens",_xlpm.n)),ISNUMBER(SEARCH("optic",_xlpm.n)),ISNUMBER(SEARCH("polarizer",_xlpm.n))),"precision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"),E483&amp;" is "&amp;_xlpm.art&amp;_xlpm.t&amp;" from "&amp;C483&amp;" designed for application-specific laboratory, engineering or industrial use. It belongs to DIWAN's "&amp;B483&amp;" portfolio; final configuration must be selected against performance, integration and compliance requirements.")</f>
        <v>Cement Concrete Shrinkage Apparatus is a specialized cement, aggregate, concrete &amp; soil testing product from HST Group designed for application-specific laboratory, engineering or industrial use. It belongs to DIWAN's Cement, Aggregate, Concrete &amp; Soil Testing portfolio; final configuration must be selected against performance, integration and compliance requirements.</v>
      </c>
      <c r="P483" s="54" t="str">
        <f t="shared" si="106"/>
        <v>Selection should confirm the model-specific operating range, capacity, accuracy, interfaces, utilities, accessories, standards, environmental limits and service requirements. Final capabilities depend on the approved Cement Concrete Shrinkage Apparatus configuration.</v>
      </c>
      <c r="Q483" s="54"/>
      <c r="R483"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3" s="54"/>
      <c r="T483" s="54" t="str">
        <f t="shared" si="108"/>
        <v>Cement Concrete Shrinkage Apparatus from HST Group</v>
      </c>
      <c r="U483" s="54"/>
      <c r="V483" s="54" t="s">
        <v>2673</v>
      </c>
      <c r="W483" s="54" t="str">
        <f t="shared" si="109"/>
        <v>See other Cement, Aggregate, Concrete &amp; Soil Testing products</v>
      </c>
      <c r="X483" s="54" t="str">
        <f t="shared" si="110"/>
        <v>Cement, Aggregate, Concrete &amp; Soil Testing enquiry → website group enquiry form → category owner assignment</v>
      </c>
      <c r="Y483" s="54" t="str">
        <f t="shared" si="111"/>
        <v>Cement Concrete Shrinkage Apparatus, Cement, Aggregate, Concrete &amp; Soil Testing, HST Group, technical equipment, DIWAN</v>
      </c>
      <c r="Z483" s="54" t="s">
        <v>2296</v>
      </c>
      <c r="AA483" s="55">
        <v>46257</v>
      </c>
      <c r="AB483" s="54" t="s">
        <v>2465</v>
      </c>
      <c r="AC483" s="63" t="str">
        <f t="shared" si="112"/>
        <v>Content drafted - assets/specs pending</v>
      </c>
      <c r="AD483"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3" s="58"/>
      <c r="AF483" s="58"/>
      <c r="AG483" s="58" t="s">
        <v>2467</v>
      </c>
      <c r="AH483" s="58" t="s">
        <v>2468</v>
      </c>
      <c r="AI483" s="58" t="s">
        <v>2469</v>
      </c>
    </row>
    <row r="484" spans="1:35" ht="42" customHeight="1" x14ac:dyDescent="0.35">
      <c r="A484" s="69">
        <f t="shared" si="103"/>
        <v>77</v>
      </c>
      <c r="B484" s="70" t="s">
        <v>547</v>
      </c>
      <c r="C484" s="71" t="s">
        <v>28</v>
      </c>
      <c r="D484" s="72" t="s">
        <v>12</v>
      </c>
      <c r="E484" s="45" t="s">
        <v>555</v>
      </c>
      <c r="F484" s="49" t="s">
        <v>3039</v>
      </c>
      <c r="G484" s="45" t="s">
        <v>3045</v>
      </c>
      <c r="H484" s="47">
        <v>46257</v>
      </c>
      <c r="I484" s="48" t="s">
        <v>1986</v>
      </c>
      <c r="J484" s="48" t="s">
        <v>1281</v>
      </c>
      <c r="K484" s="48" t="str">
        <f t="shared" si="104"/>
        <v>Cement Concrete Curing Room is a cement, aggregate, concrete &amp; soil testing product from HST Group for application-specific laboratory, engineering or industrial use.</v>
      </c>
      <c r="L484" s="48" t="str">
        <f t="shared" si="105"/>
        <v>Cement Concrete Curing Room from HST Group for cement, aggregate, concrete &amp; soil testing applications. Review configuration requirements and request technical information or a quotation from DIWAN.</v>
      </c>
      <c r="M484" s="48" t="s">
        <v>2020</v>
      </c>
      <c r="N484" s="61" t="s">
        <v>2672</v>
      </c>
      <c r="O484" s="54" t="str" cm="1">
        <f t="array" ref="O484">_xlfn.LET(_xlpm.n,LOWER(E484),_xlpm.c,LOWER(B484),_xlpm.t,_xlfn.IFS(OR(ISNUMBER(SEARCH("lens",_xlpm.n)),ISNUMBER(SEARCH("optic",_xlpm.n)),ISNUMBER(SEARCH("polarizer",_xlpm.n))),"precision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"),E484&amp;" is "&amp;_xlpm.art&amp;_xlpm.t&amp;" from "&amp;C484&amp;" designed for application-specific laboratory, engineering or industrial use. It belongs to DIWAN's "&amp;B484&amp;" portfolio; final configuration must be selected against performance, integration and compliance requirements.")</f>
        <v>Cement Concrete Curing Room is a specialized cement, aggregate, concrete &amp; soil testing product from HST Group designed for application-specific laboratory, engineering or industrial use. It belongs to DIWAN's Cement, Aggregate, Concrete &amp; Soil Testing portfolio; final configuration must be selected against performance, integration and compliance requirements.</v>
      </c>
      <c r="P484" s="54" t="str">
        <f t="shared" si="106"/>
        <v>Selection should confirm the model-specific operating range, capacity, accuracy, interfaces, utilities, accessories, standards, environmental limits and service requirements. Final capabilities depend on the approved Cement Concrete Curing Room configuration.</v>
      </c>
      <c r="Q484" s="54"/>
      <c r="R484"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4" s="54"/>
      <c r="T484" s="54" t="str">
        <f t="shared" si="108"/>
        <v>Cement Concrete Curing Room from HST Group</v>
      </c>
      <c r="U484" s="54"/>
      <c r="V484" s="54" t="s">
        <v>2673</v>
      </c>
      <c r="W484" s="54" t="str">
        <f t="shared" si="109"/>
        <v>See other Cement, Aggregate, Concrete &amp; Soil Testing products</v>
      </c>
      <c r="X484" s="54" t="str">
        <f t="shared" si="110"/>
        <v>Cement, Aggregate, Concrete &amp; Soil Testing enquiry → website group enquiry form → category owner assignment</v>
      </c>
      <c r="Y484" s="54" t="str">
        <f t="shared" si="111"/>
        <v>Cement Concrete Curing Room, Cement, Aggregate, Concrete &amp; Soil Testing, HST Group, technical equipment, DIWAN</v>
      </c>
      <c r="Z484" s="54" t="s">
        <v>2296</v>
      </c>
      <c r="AA484" s="55">
        <v>46257</v>
      </c>
      <c r="AB484" s="54" t="s">
        <v>2465</v>
      </c>
      <c r="AC484" s="63" t="str">
        <f t="shared" si="112"/>
        <v>Content drafted - assets/specs pending</v>
      </c>
      <c r="AD484"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4" s="58"/>
      <c r="AF484" s="58"/>
      <c r="AG484" s="58" t="s">
        <v>2467</v>
      </c>
      <c r="AH484" s="58" t="s">
        <v>2468</v>
      </c>
      <c r="AI484" s="58" t="s">
        <v>2469</v>
      </c>
    </row>
    <row r="485" spans="1:35" ht="42" customHeight="1" x14ac:dyDescent="0.35">
      <c r="A485" s="69">
        <f t="shared" si="103"/>
        <v>77</v>
      </c>
      <c r="B485" s="70" t="s">
        <v>547</v>
      </c>
      <c r="C485" s="71" t="s">
        <v>28</v>
      </c>
      <c r="D485" s="72" t="s">
        <v>12</v>
      </c>
      <c r="E485" s="45" t="s">
        <v>556</v>
      </c>
      <c r="F485" s="49" t="s">
        <v>3039</v>
      </c>
      <c r="G485" s="45" t="s">
        <v>3045</v>
      </c>
      <c r="H485" s="47">
        <v>46257</v>
      </c>
      <c r="I485" s="48" t="s">
        <v>1987</v>
      </c>
      <c r="J485" s="48" t="s">
        <v>1282</v>
      </c>
      <c r="K485" s="48" t="str">
        <f t="shared" si="104"/>
        <v>Bending Tensile Testing Machine is a cement, aggregate, concrete &amp; soil testing product from HST Group for application-specific laboratory, engineering or industrial use.</v>
      </c>
      <c r="L485" s="48" t="str">
        <f t="shared" si="105"/>
        <v>Bending Tensile Testing Machine from HST Group for cement, aggregate, concrete &amp; soil testing applications. Review configuration requirements and request technical information or a quotation from DIWAN.</v>
      </c>
      <c r="M485" s="48" t="s">
        <v>2020</v>
      </c>
      <c r="N485" s="61" t="s">
        <v>2672</v>
      </c>
      <c r="O485" s="54" t="str" cm="1">
        <f t="array" ref="O485">_xlfn.LET(_xlpm.n,LOWER(E485),_xlpm.c,LOWER(B485),_xlpm.t,_xlfn.IFS(OR(ISNUMBER(SEARCH("lens",_xlpm.n)),ISNUMBER(SEARCH("optic",_xlpm.n)),ISNUMBER(SEARCH("polarizer",_xlpm.n))),"precision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"),E485&amp;" is "&amp;_xlpm.art&amp;_xlpm.t&amp;" from "&amp;C485&amp;" designed for application-specific laboratory, engineering or industrial use. It belongs to DIWAN's "&amp;B485&amp;" portfolio; final configuration must be selected against performance, integration and compliance requirements.")</f>
        <v>Bending Tensile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5" s="54" t="str">
        <f t="shared" si="106"/>
        <v>Selection should confirm the model-specific operating range, capacity, accuracy, interfaces, utilities, accessories, standards, environmental limits and service requirements. Final capabilities depend on the approved Bending Tensile Testing Machine configuration.</v>
      </c>
      <c r="Q485" s="54"/>
      <c r="R485"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5" s="54"/>
      <c r="T485" s="54" t="str">
        <f t="shared" si="108"/>
        <v>Bending Tensile Testing Machine from HST Group</v>
      </c>
      <c r="U485" s="54"/>
      <c r="V485" s="54" t="s">
        <v>2673</v>
      </c>
      <c r="W485" s="54" t="str">
        <f t="shared" si="109"/>
        <v>See other Cement, Aggregate, Concrete &amp; Soil Testing products</v>
      </c>
      <c r="X485" s="54" t="str">
        <f t="shared" si="110"/>
        <v>Cement, Aggregate, Concrete &amp; Soil Testing enquiry → website group enquiry form → category owner assignment</v>
      </c>
      <c r="Y485" s="54" t="str">
        <f t="shared" si="111"/>
        <v>Bending Tensile Testing Machine, Cement, Aggregate, Concrete &amp; Soil Testing, HST Group, technical equipment, DIWAN</v>
      </c>
      <c r="Z485" s="54" t="s">
        <v>2296</v>
      </c>
      <c r="AA485" s="55">
        <v>46257</v>
      </c>
      <c r="AB485" s="54" t="s">
        <v>2465</v>
      </c>
      <c r="AC485" s="63" t="str">
        <f t="shared" si="112"/>
        <v>Content drafted - assets/specs pending</v>
      </c>
      <c r="AD485"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5" s="58"/>
      <c r="AF485" s="58"/>
      <c r="AG485" s="58" t="s">
        <v>2467</v>
      </c>
      <c r="AH485" s="58" t="s">
        <v>2468</v>
      </c>
      <c r="AI485" s="58" t="s">
        <v>2469</v>
      </c>
    </row>
    <row r="486" spans="1:35" ht="42" customHeight="1" x14ac:dyDescent="0.35">
      <c r="A486" s="69">
        <f t="shared" si="103"/>
        <v>77</v>
      </c>
      <c r="B486" s="70" t="s">
        <v>547</v>
      </c>
      <c r="C486" s="71" t="s">
        <v>28</v>
      </c>
      <c r="D486" s="72" t="s">
        <v>12</v>
      </c>
      <c r="E486" s="45" t="s">
        <v>557</v>
      </c>
      <c r="F486" s="49" t="s">
        <v>3039</v>
      </c>
      <c r="G486" s="45" t="s">
        <v>3045</v>
      </c>
      <c r="H486" s="47">
        <v>46257</v>
      </c>
      <c r="I486" s="48" t="s">
        <v>1988</v>
      </c>
      <c r="J486" s="48" t="s">
        <v>1283</v>
      </c>
      <c r="K486" s="48" t="str">
        <f t="shared" si="104"/>
        <v>Compression Shear Testing Machine is a cement, aggregate, concrete &amp; soil testing product from HST Group for application-specific laboratory, engineering or industrial use.</v>
      </c>
      <c r="L486" s="48" t="str">
        <f t="shared" si="105"/>
        <v>Compression Shear Testing Machine from HST Group for cement, aggregate, concrete &amp; soil testing applications. Review configuration requirements and request technical information or a quotation from DIWAN.</v>
      </c>
      <c r="M486" s="48" t="s">
        <v>2020</v>
      </c>
      <c r="N486" s="61" t="s">
        <v>2672</v>
      </c>
      <c r="O486" s="54" t="str" cm="1">
        <f t="array" ref="O486">_xlfn.LET(_xlpm.n,LOWER(E486),_xlpm.c,LOWER(B486),_xlpm.t,_xlfn.IFS(OR(ISNUMBER(SEARCH("lens",_xlpm.n)),ISNUMBER(SEARCH("optic",_xlpm.n)),ISNUMBER(SEARCH("polarizer",_xlpm.n))),"precision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"),E486&amp;" is "&amp;_xlpm.art&amp;_xlpm.t&amp;" from "&amp;C486&amp;" designed for application-specific laboratory, engineering or industrial use. It belongs to DIWAN's "&amp;B486&amp;" portfolio; final configuration must be selected against performance, integration and compliance requirements.")</f>
        <v>Compression Shear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6" s="54" t="str">
        <f t="shared" si="106"/>
        <v>Selection should confirm the model-specific operating range, capacity, accuracy, interfaces, utilities, accessories, standards, environmental limits and service requirements. Final capabilities depend on the approved Compression Shear Testing Machine configuration.</v>
      </c>
      <c r="Q486" s="54"/>
      <c r="R486"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6" s="54"/>
      <c r="T486" s="54" t="str">
        <f t="shared" si="108"/>
        <v>Compression Shear Testing Machine from HST Group</v>
      </c>
      <c r="U486" s="54"/>
      <c r="V486" s="54" t="s">
        <v>2673</v>
      </c>
      <c r="W486" s="54" t="str">
        <f t="shared" si="109"/>
        <v>See other Cement, Aggregate, Concrete &amp; Soil Testing products</v>
      </c>
      <c r="X486" s="54" t="str">
        <f t="shared" si="110"/>
        <v>Cement, Aggregate, Concrete &amp; Soil Testing enquiry → website group enquiry form → category owner assignment</v>
      </c>
      <c r="Y486" s="54" t="str">
        <f t="shared" si="111"/>
        <v>Compression Shear Testing Machine, Cement, Aggregate, Concrete &amp; Soil Testing, HST Group, technical equipment, DIWAN</v>
      </c>
      <c r="Z486" s="54" t="s">
        <v>2296</v>
      </c>
      <c r="AA486" s="55">
        <v>46257</v>
      </c>
      <c r="AB486" s="54" t="s">
        <v>2465</v>
      </c>
      <c r="AC486" s="63" t="str">
        <f t="shared" si="112"/>
        <v>Content drafted - assets/specs pending</v>
      </c>
      <c r="AD486"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6" s="58"/>
      <c r="AF486" s="58"/>
      <c r="AG486" s="58" t="s">
        <v>2467</v>
      </c>
      <c r="AH486" s="58" t="s">
        <v>2468</v>
      </c>
      <c r="AI486" s="58" t="s">
        <v>2469</v>
      </c>
    </row>
    <row r="487" spans="1:35" ht="42" customHeight="1" x14ac:dyDescent="0.35">
      <c r="A487" s="69">
        <f t="shared" si="103"/>
        <v>77</v>
      </c>
      <c r="B487" s="70" t="s">
        <v>547</v>
      </c>
      <c r="C487" s="71" t="s">
        <v>28</v>
      </c>
      <c r="D487" s="72" t="s">
        <v>12</v>
      </c>
      <c r="E487" s="45" t="s">
        <v>558</v>
      </c>
      <c r="F487" s="49" t="s">
        <v>3039</v>
      </c>
      <c r="G487" s="45" t="s">
        <v>3045</v>
      </c>
      <c r="H487" s="47">
        <v>46257</v>
      </c>
      <c r="I487" s="48" t="s">
        <v>1989</v>
      </c>
      <c r="J487" s="48" t="s">
        <v>1284</v>
      </c>
      <c r="K487" s="48" t="str">
        <f t="shared" si="104"/>
        <v>Electro Hydraulic Servo Flexure Testing Machine is a cement, aggregate, concrete &amp; soil testing product from HST Group for application-specific laboratory, engineering or industrial use.</v>
      </c>
      <c r="L487" s="48" t="str">
        <f t="shared" si="105"/>
        <v>Electro Hydraulic Servo Flexure Testing Machine from HST Group for cement, aggregate, concrete &amp; soil testing applications. Review configuration requirements and request technical information or a quotation from DIWAN.</v>
      </c>
      <c r="M487" s="48" t="s">
        <v>2020</v>
      </c>
      <c r="N487" s="61" t="s">
        <v>2672</v>
      </c>
      <c r="O487" s="54" t="str" cm="1">
        <f t="array" ref="O487">_xlfn.LET(_xlpm.n,LOWER(E487),_xlpm.c,LOWER(B487),_xlpm.t,_xlfn.IFS(OR(ISNUMBER(SEARCH("lens",_xlpm.n)),ISNUMBER(SEARCH("optic",_xlpm.n)),ISNUMBER(SEARCH("polarizer",_xlpm.n))),"precision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"),E487&amp;" is "&amp;_xlpm.art&amp;_xlpm.t&amp;" from "&amp;C487&amp;" designed for application-specific laboratory, engineering or industrial use. It belongs to DIWAN's "&amp;B487&amp;" portfolio; final configuration must be selected against performance, integration and compliance requirements.")</f>
        <v>Electro Hydraulic Servo Flexure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7" s="54" t="str">
        <f t="shared" si="106"/>
        <v>Selection should confirm the model-specific operating range, capacity, accuracy, interfaces, utilities, accessories, standards, environmental limits and service requirements. Final capabilities depend on the approved Electro Hydraulic Servo Flexure Testing Machine configuration.</v>
      </c>
      <c r="Q487" s="54"/>
      <c r="R487"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7" s="54"/>
      <c r="T487" s="54" t="str">
        <f t="shared" si="108"/>
        <v>Electro Hydraulic Servo Flexure Testing Machine from HST Group</v>
      </c>
      <c r="U487" s="54"/>
      <c r="V487" s="54" t="s">
        <v>2673</v>
      </c>
      <c r="W487" s="54" t="str">
        <f t="shared" si="109"/>
        <v>See other Cement, Aggregate, Concrete &amp; Soil Testing products</v>
      </c>
      <c r="X487" s="54" t="str">
        <f t="shared" si="110"/>
        <v>Cement, Aggregate, Concrete &amp; Soil Testing enquiry → website group enquiry form → category owner assignment</v>
      </c>
      <c r="Y487" s="54" t="str">
        <f t="shared" si="111"/>
        <v>Electro Hydraulic Servo Flexure Testing Machine, Cement, Aggregate, Concrete &amp; Soil Testing, HST Group, technical equipment, DIWAN</v>
      </c>
      <c r="Z487" s="54" t="s">
        <v>2296</v>
      </c>
      <c r="AA487" s="55">
        <v>46257</v>
      </c>
      <c r="AB487" s="54" t="s">
        <v>2465</v>
      </c>
      <c r="AC487" s="63" t="str">
        <f t="shared" si="112"/>
        <v>Content drafted - assets/specs pending</v>
      </c>
      <c r="AD487"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7" s="58"/>
      <c r="AF487" s="58"/>
      <c r="AG487" s="58" t="s">
        <v>2467</v>
      </c>
      <c r="AH487" s="58" t="s">
        <v>2468</v>
      </c>
      <c r="AI487" s="58" t="s">
        <v>2469</v>
      </c>
    </row>
    <row r="488" spans="1:35" ht="42" customHeight="1" x14ac:dyDescent="0.35">
      <c r="A488" s="69">
        <f t="shared" si="103"/>
        <v>77</v>
      </c>
      <c r="B488" s="70" t="s">
        <v>547</v>
      </c>
      <c r="C488" s="71" t="s">
        <v>28</v>
      </c>
      <c r="D488" s="72" t="s">
        <v>12</v>
      </c>
      <c r="E488" s="45" t="s">
        <v>559</v>
      </c>
      <c r="F488" s="49" t="s">
        <v>3039</v>
      </c>
      <c r="G488" s="45" t="s">
        <v>3045</v>
      </c>
      <c r="H488" s="47">
        <v>46257</v>
      </c>
      <c r="I488" s="48" t="s">
        <v>1990</v>
      </c>
      <c r="J488" s="48" t="s">
        <v>1285</v>
      </c>
      <c r="K488" s="48" t="str">
        <f t="shared" si="104"/>
        <v>Creep and Shrinkage Testing Machine is a cement, aggregate, concrete &amp; soil testing product from HST Group for application-specific laboratory, engineering or industrial use.</v>
      </c>
      <c r="L488" s="48" t="str">
        <f t="shared" si="105"/>
        <v>Creep and Shrinkage Testing Machine from HST Group for cement, aggregate, concrete &amp; soil testing applications. Review configuration requirements and request technical information or a quotation from DIWAN.</v>
      </c>
      <c r="M488" s="48" t="s">
        <v>2020</v>
      </c>
      <c r="N488" s="61" t="s">
        <v>2672</v>
      </c>
      <c r="O488" s="54" t="str" cm="1">
        <f t="array" ref="O488">_xlfn.LET(_xlpm.n,LOWER(E488),_xlpm.c,LOWER(B488),_xlpm.t,_xlfn.IFS(OR(ISNUMBER(SEARCH("lens",_xlpm.n)),ISNUMBER(SEARCH("optic",_xlpm.n)),ISNUMBER(SEARCH("polarizer",_xlpm.n))),"precision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"),E488&amp;" is "&amp;_xlpm.art&amp;_xlpm.t&amp;" from "&amp;C488&amp;" designed for application-specific laboratory, engineering or industrial use. It belongs to DIWAN's "&amp;B488&amp;" portfolio; final configuration must be selected against performance, integration and compliance requirements.")</f>
        <v>Creep and Shrinkage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8" s="54" t="str">
        <f t="shared" si="106"/>
        <v>Selection should confirm the model-specific operating range, capacity, accuracy, interfaces, utilities, accessories, standards, environmental limits and service requirements. Final capabilities depend on the approved Creep and Shrinkage Testing Machine configuration.</v>
      </c>
      <c r="Q488" s="54"/>
      <c r="R488"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8" s="54"/>
      <c r="T488" s="54" t="str">
        <f t="shared" si="108"/>
        <v>Creep and Shrinkage Testing Machine from HST Group</v>
      </c>
      <c r="U488" s="54"/>
      <c r="V488" s="54" t="s">
        <v>2673</v>
      </c>
      <c r="W488" s="54" t="str">
        <f t="shared" si="109"/>
        <v>See other Cement, Aggregate, Concrete &amp; Soil Testing products</v>
      </c>
      <c r="X488" s="54" t="str">
        <f t="shared" si="110"/>
        <v>Cement, Aggregate, Concrete &amp; Soil Testing enquiry → website group enquiry form → category owner assignment</v>
      </c>
      <c r="Y488" s="54" t="str">
        <f t="shared" si="111"/>
        <v>Creep and Shrinkage Testing Machine, Cement, Aggregate, Concrete &amp; Soil Testing, HST Group, technical equipment, DIWAN</v>
      </c>
      <c r="Z488" s="54" t="s">
        <v>2296</v>
      </c>
      <c r="AA488" s="55">
        <v>46257</v>
      </c>
      <c r="AB488" s="54" t="s">
        <v>2465</v>
      </c>
      <c r="AC488" s="63" t="str">
        <f t="shared" si="112"/>
        <v>Content drafted - assets/specs pending</v>
      </c>
      <c r="AD488"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8" s="58"/>
      <c r="AF488" s="58"/>
      <c r="AG488" s="58" t="s">
        <v>2467</v>
      </c>
      <c r="AH488" s="58" t="s">
        <v>2468</v>
      </c>
      <c r="AI488" s="58" t="s">
        <v>2469</v>
      </c>
    </row>
    <row r="489" spans="1:35" ht="42" customHeight="1" x14ac:dyDescent="0.35">
      <c r="A489" s="69">
        <f t="shared" si="103"/>
        <v>77</v>
      </c>
      <c r="B489" s="70" t="s">
        <v>547</v>
      </c>
      <c r="C489" s="71" t="s">
        <v>28</v>
      </c>
      <c r="D489" s="72" t="s">
        <v>12</v>
      </c>
      <c r="E489" s="45" t="s">
        <v>560</v>
      </c>
      <c r="F489" s="49" t="s">
        <v>3039</v>
      </c>
      <c r="G489" s="45" t="s">
        <v>3045</v>
      </c>
      <c r="H489" s="47">
        <v>46257</v>
      </c>
      <c r="I489" s="48" t="s">
        <v>1991</v>
      </c>
      <c r="J489" s="48" t="s">
        <v>1286</v>
      </c>
      <c r="K489" s="48" t="str">
        <f t="shared" si="104"/>
        <v>Concrete Dynamic Elastic Modulus Tester is a cement, aggregate, concrete &amp; soil testing product from HST Group for application-specific laboratory, engineering or industrial use.</v>
      </c>
      <c r="L489" s="48" t="str">
        <f t="shared" si="105"/>
        <v>Concrete Dynamic Elastic Modulus Tester from HST Group for cement, aggregate, concrete &amp; soil testing applications. Review configuration requirements and request technical information or a quotation from DIWAN.</v>
      </c>
      <c r="M489" s="48" t="s">
        <v>2020</v>
      </c>
      <c r="N489" s="61" t="s">
        <v>2672</v>
      </c>
      <c r="O489" s="54" t="str" cm="1">
        <f t="array" ref="O489">_xlfn.LET(_xlpm.n,LOWER(E489),_xlpm.c,LOWER(B489),_xlpm.t,_xlfn.IFS(OR(ISNUMBER(SEARCH("lens",_xlpm.n)),ISNUMBER(SEARCH("optic",_xlpm.n)),ISNUMBER(SEARCH("polarizer",_xlpm.n))),"precision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"),E489&amp;" is "&amp;_xlpm.art&amp;_xlpm.t&amp;" from "&amp;C489&amp;" designed for application-specific laboratory, engineering or industrial use. It belongs to DIWAN's "&amp;B489&amp;" portfolio; final configuration must be selected against performance, integration and compliance requirements.")</f>
        <v>Concrete Dynamic Elastic Modulus Tester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89" s="54" t="str">
        <f t="shared" si="106"/>
        <v>Selection should confirm the model-specific operating range, capacity, accuracy, interfaces, utilities, accessories, standards, environmental limits and service requirements. Final capabilities depend on the approved Concrete Dynamic Elastic Modulus Tester configuration.</v>
      </c>
      <c r="Q489" s="54"/>
      <c r="R489"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89" s="54"/>
      <c r="T489" s="54" t="str">
        <f t="shared" si="108"/>
        <v>Concrete Dynamic Elastic Modulus Tester from HST Group</v>
      </c>
      <c r="U489" s="54"/>
      <c r="V489" s="54" t="s">
        <v>2673</v>
      </c>
      <c r="W489" s="54" t="str">
        <f t="shared" si="109"/>
        <v>See other Cement, Aggregate, Concrete &amp; Soil Testing products</v>
      </c>
      <c r="X489" s="54" t="str">
        <f t="shared" si="110"/>
        <v>Cement, Aggregate, Concrete &amp; Soil Testing enquiry → website group enquiry form → category owner assignment</v>
      </c>
      <c r="Y489" s="54" t="str">
        <f t="shared" si="111"/>
        <v>Concrete Dynamic Elastic Modulus Tester, Cement, Aggregate, Concrete &amp; Soil Testing, HST Group, technical equipment, DIWAN</v>
      </c>
      <c r="Z489" s="54" t="s">
        <v>2296</v>
      </c>
      <c r="AA489" s="55">
        <v>46257</v>
      </c>
      <c r="AB489" s="54" t="s">
        <v>2465</v>
      </c>
      <c r="AC489" s="63" t="str">
        <f t="shared" si="112"/>
        <v>Content drafted - assets/specs pending</v>
      </c>
      <c r="AD489"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89" s="58"/>
      <c r="AF489" s="58"/>
      <c r="AG489" s="58" t="s">
        <v>2467</v>
      </c>
      <c r="AH489" s="58" t="s">
        <v>2468</v>
      </c>
      <c r="AI489" s="58" t="s">
        <v>2469</v>
      </c>
    </row>
    <row r="490" spans="1:35" ht="42" customHeight="1" x14ac:dyDescent="0.35">
      <c r="A490" s="69">
        <f t="shared" si="103"/>
        <v>77</v>
      </c>
      <c r="B490" s="70" t="s">
        <v>547</v>
      </c>
      <c r="C490" s="71" t="s">
        <v>28</v>
      </c>
      <c r="D490" s="72" t="s">
        <v>12</v>
      </c>
      <c r="E490" s="45" t="s">
        <v>561</v>
      </c>
      <c r="F490" s="49" t="s">
        <v>3039</v>
      </c>
      <c r="G490" s="45" t="s">
        <v>3045</v>
      </c>
      <c r="H490" s="47">
        <v>46257</v>
      </c>
      <c r="I490" s="48" t="s">
        <v>1992</v>
      </c>
      <c r="J490" s="48" t="s">
        <v>1287</v>
      </c>
      <c r="K490" s="48" t="str">
        <f t="shared" si="104"/>
        <v>Concrete Testing Machine is a cement, aggregate, concrete &amp; soil testing product from HST Group for application-specific laboratory, engineering or industrial use.</v>
      </c>
      <c r="L490" s="48" t="str">
        <f t="shared" si="105"/>
        <v>Concrete Testing Machine from HST Group for cement, aggregate, concrete &amp; soil testing applications. Review configuration requirements and request technical information or a quotation from DIWAN.</v>
      </c>
      <c r="M490" s="48" t="s">
        <v>2020</v>
      </c>
      <c r="N490" s="61" t="s">
        <v>2672</v>
      </c>
      <c r="O490" s="54" t="str" cm="1">
        <f t="array" ref="O490">_xlfn.LET(_xlpm.n,LOWER(E490),_xlpm.c,LOWER(B490),_xlpm.t,_xlfn.IFS(OR(ISNUMBER(SEARCH("lens",_xlpm.n)),ISNUMBER(SEARCH("optic",_xlpm.n)),ISNUMBER(SEARCH("polarizer",_xlpm.n))),"precision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"),E490&amp;" is "&amp;_xlpm.art&amp;_xlpm.t&amp;" from "&amp;C490&amp;" designed for application-specific laboratory, engineering or industrial use. It belongs to DIWAN's "&amp;B490&amp;" portfolio; final configuration must be selected against performance, integration and compliance requirements.")</f>
        <v>Concrete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0" s="54" t="str">
        <f t="shared" si="106"/>
        <v>Selection should confirm the model-specific operating range, capacity, accuracy, interfaces, utilities, accessories, standards, environmental limits and service requirements. Final capabilities depend on the approved Concrete Testing Machine configuration.</v>
      </c>
      <c r="Q490" s="54"/>
      <c r="R490"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0" s="54"/>
      <c r="T490" s="54" t="str">
        <f t="shared" si="108"/>
        <v>Concrete Testing Machine from HST Group</v>
      </c>
      <c r="U490" s="54"/>
      <c r="V490" s="54" t="s">
        <v>2673</v>
      </c>
      <c r="W490" s="54" t="str">
        <f t="shared" si="109"/>
        <v>See other Cement, Aggregate, Concrete &amp; Soil Testing products</v>
      </c>
      <c r="X490" s="54" t="str">
        <f t="shared" si="110"/>
        <v>Cement, Aggregate, Concrete &amp; Soil Testing enquiry → website group enquiry form → category owner assignment</v>
      </c>
      <c r="Y490" s="54" t="str">
        <f t="shared" si="111"/>
        <v>Concrete Testing Machine, Cement, Aggregate, Concrete &amp; Soil Testing, HST Group, technical equipment, DIWAN</v>
      </c>
      <c r="Z490" s="54" t="s">
        <v>2296</v>
      </c>
      <c r="AA490" s="55">
        <v>46257</v>
      </c>
      <c r="AB490" s="54" t="s">
        <v>2465</v>
      </c>
      <c r="AC490" s="63" t="str">
        <f t="shared" si="112"/>
        <v>Content drafted - assets/specs pending</v>
      </c>
      <c r="AD490"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0" s="58"/>
      <c r="AF490" s="58"/>
      <c r="AG490" s="58" t="s">
        <v>2467</v>
      </c>
      <c r="AH490" s="58" t="s">
        <v>2468</v>
      </c>
      <c r="AI490" s="58" t="s">
        <v>2469</v>
      </c>
    </row>
    <row r="491" spans="1:35" ht="42" customHeight="1" x14ac:dyDescent="0.35">
      <c r="A491" s="69">
        <f t="shared" si="103"/>
        <v>77</v>
      </c>
      <c r="B491" s="70" t="s">
        <v>547</v>
      </c>
      <c r="C491" s="71" t="s">
        <v>28</v>
      </c>
      <c r="D491" s="72" t="s">
        <v>12</v>
      </c>
      <c r="E491" s="45" t="s">
        <v>562</v>
      </c>
      <c r="F491" s="49" t="s">
        <v>3039</v>
      </c>
      <c r="G491" s="45" t="s">
        <v>3045</v>
      </c>
      <c r="H491" s="47">
        <v>46257</v>
      </c>
      <c r="I491" s="48" t="s">
        <v>1993</v>
      </c>
      <c r="J491" s="48" t="s">
        <v>1288</v>
      </c>
      <c r="K491" s="48" t="str">
        <f t="shared" si="104"/>
        <v>Geotextile Testing Equipment is a cement, aggregate, concrete &amp; soil testing product from HST Group for application-specific laboratory, engineering or industrial use.</v>
      </c>
      <c r="L491" s="48" t="str">
        <f t="shared" si="105"/>
        <v>Geotextile Testing Equipment from HST Group for cement, aggregate, concrete &amp; soil testing applications. Review configuration requirements and request technical information or a quotation from DIWAN.</v>
      </c>
      <c r="M491" s="48" t="s">
        <v>2020</v>
      </c>
      <c r="N491" s="61" t="s">
        <v>2672</v>
      </c>
      <c r="O491" s="54" t="str" cm="1">
        <f t="array" ref="O491">_xlfn.LET(_xlpm.n,LOWER(E491),_xlpm.c,LOWER(B491),_xlpm.t,_xlfn.IFS(OR(ISNUMBER(SEARCH("lens",_xlpm.n)),ISNUMBER(SEARCH("optic",_xlpm.n)),ISNUMBER(SEARCH("polarizer",_xlpm.n))),"precision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"),E491&amp;" is "&amp;_xlpm.art&amp;_xlpm.t&amp;" from "&amp;C491&amp;" designed for application-specific laboratory, engineering or industrial use. It belongs to DIWAN's "&amp;B491&amp;" portfolio; final configuration must be selected against performance, integration and compliance requirements.")</f>
        <v>Geotextile Testing Equipment is a specialized cement, aggregate, concrete &amp; soil testing product from HST Group designed for application-specific laboratory, engineering or industrial use. It belongs to DIWAN's Cement, Aggregate, Concrete &amp; Soil Testing portfolio; final configuration must be selected against performance, integration and compliance requirements.</v>
      </c>
      <c r="P491" s="54" t="str">
        <f t="shared" si="106"/>
        <v>Selection should confirm the model-specific operating range, capacity, accuracy, interfaces, utilities, accessories, standards, environmental limits and service requirements. Final capabilities depend on the approved Geotextile Testing Equipment configuration.</v>
      </c>
      <c r="Q491" s="54"/>
      <c r="R491"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1" s="54"/>
      <c r="T491" s="54" t="str">
        <f t="shared" si="108"/>
        <v>Geotextile Testing Equipment from HST Group</v>
      </c>
      <c r="U491" s="54"/>
      <c r="V491" s="54" t="s">
        <v>2673</v>
      </c>
      <c r="W491" s="54" t="str">
        <f t="shared" si="109"/>
        <v>See other Cement, Aggregate, Concrete &amp; Soil Testing products</v>
      </c>
      <c r="X491" s="54" t="str">
        <f t="shared" si="110"/>
        <v>Cement, Aggregate, Concrete &amp; Soil Testing enquiry → website group enquiry form → category owner assignment</v>
      </c>
      <c r="Y491" s="54" t="str">
        <f t="shared" si="111"/>
        <v>Geotextile Testing Equipment, Cement, Aggregate, Concrete &amp; Soil Testing, HST Group, technical equipment, DIWAN</v>
      </c>
      <c r="Z491" s="54" t="s">
        <v>2296</v>
      </c>
      <c r="AA491" s="55">
        <v>46257</v>
      </c>
      <c r="AB491" s="54" t="s">
        <v>2465</v>
      </c>
      <c r="AC491" s="63" t="str">
        <f t="shared" si="112"/>
        <v>Content drafted - assets/specs pending</v>
      </c>
      <c r="AD491"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1" s="58"/>
      <c r="AF491" s="58"/>
      <c r="AG491" s="58" t="s">
        <v>2467</v>
      </c>
      <c r="AH491" s="58" t="s">
        <v>2468</v>
      </c>
      <c r="AI491" s="58" t="s">
        <v>2469</v>
      </c>
    </row>
    <row r="492" spans="1:35" ht="42" customHeight="1" x14ac:dyDescent="0.35">
      <c r="A492" s="69">
        <f t="shared" si="103"/>
        <v>77</v>
      </c>
      <c r="B492" s="70" t="s">
        <v>547</v>
      </c>
      <c r="C492" s="71" t="s">
        <v>28</v>
      </c>
      <c r="D492" s="72" t="s">
        <v>12</v>
      </c>
      <c r="E492" s="45" t="s">
        <v>563</v>
      </c>
      <c r="F492" s="49" t="s">
        <v>3039</v>
      </c>
      <c r="G492" s="45" t="s">
        <v>3045</v>
      </c>
      <c r="H492" s="47">
        <v>46257</v>
      </c>
      <c r="I492" s="48" t="s">
        <v>1994</v>
      </c>
      <c r="J492" s="48" t="s">
        <v>1289</v>
      </c>
      <c r="K492" s="48" t="str">
        <f t="shared" si="104"/>
        <v>Ultrasonic Rebound Tester is a cement, aggregate, concrete &amp; soil testing product from HST Group for application-specific laboratory, engineering or industrial use.</v>
      </c>
      <c r="L492" s="48" t="str">
        <f t="shared" si="105"/>
        <v>Ultrasonic Rebound Tester from HST Group for cement, aggregate, concrete &amp; soil testing applications. Review configuration requirements and request technical information or a quotation from DIWAN.</v>
      </c>
      <c r="M492" s="48" t="s">
        <v>2020</v>
      </c>
      <c r="N492" s="61" t="s">
        <v>2672</v>
      </c>
      <c r="O492" s="54" t="str" cm="1">
        <f t="array" ref="O492">_xlfn.LET(_xlpm.n,LOWER(E492),_xlpm.c,LOWER(B492),_xlpm.t,_xlfn.IFS(OR(ISNUMBER(SEARCH("lens",_xlpm.n)),ISNUMBER(SEARCH("optic",_xlpm.n)),ISNUMBER(SEARCH("polarizer",_xlpm.n))),"precision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"),E492&amp;" is "&amp;_xlpm.art&amp;_xlpm.t&amp;" from "&amp;C492&amp;" designed for application-specific laboratory, engineering or industrial use. It belongs to DIWAN's "&amp;B492&amp;" portfolio; final configuration must be selected against performance, integration and compliance requirements.")</f>
        <v>Ultrasonic Rebound Tester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2" s="54" t="str">
        <f t="shared" si="106"/>
        <v>Selection should confirm the model-specific operating range, capacity, accuracy, interfaces, utilities, accessories, standards, environmental limits and service requirements. Final capabilities depend on the approved Ultrasonic Rebound Tester configuration.</v>
      </c>
      <c r="Q492" s="54"/>
      <c r="R492"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2" s="54"/>
      <c r="T492" s="54" t="str">
        <f t="shared" si="108"/>
        <v>Ultrasonic Rebound Tester from HST Group</v>
      </c>
      <c r="U492" s="54"/>
      <c r="V492" s="54" t="s">
        <v>2673</v>
      </c>
      <c r="W492" s="54" t="str">
        <f t="shared" si="109"/>
        <v>See other Cement, Aggregate, Concrete &amp; Soil Testing products</v>
      </c>
      <c r="X492" s="54" t="str">
        <f t="shared" si="110"/>
        <v>Cement, Aggregate, Concrete &amp; Soil Testing enquiry → website group enquiry form → category owner assignment</v>
      </c>
      <c r="Y492" s="54" t="str">
        <f t="shared" si="111"/>
        <v>Ultrasonic Rebound Tester, Cement, Aggregate, Concrete &amp; Soil Testing, HST Group, technical equipment, DIWAN</v>
      </c>
      <c r="Z492" s="54" t="s">
        <v>2296</v>
      </c>
      <c r="AA492" s="55">
        <v>46257</v>
      </c>
      <c r="AB492" s="54" t="s">
        <v>2465</v>
      </c>
      <c r="AC492" s="63" t="str">
        <f t="shared" si="112"/>
        <v>Content drafted - assets/specs pending</v>
      </c>
      <c r="AD492"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2" s="58"/>
      <c r="AF492" s="58"/>
      <c r="AG492" s="58" t="s">
        <v>2467</v>
      </c>
      <c r="AH492" s="58" t="s">
        <v>2468</v>
      </c>
      <c r="AI492" s="58" t="s">
        <v>2469</v>
      </c>
    </row>
    <row r="493" spans="1:35" ht="42" customHeight="1" x14ac:dyDescent="0.35">
      <c r="A493" s="69">
        <f t="shared" si="103"/>
        <v>77</v>
      </c>
      <c r="B493" s="70" t="s">
        <v>547</v>
      </c>
      <c r="C493" s="71" t="s">
        <v>28</v>
      </c>
      <c r="D493" s="72" t="s">
        <v>12</v>
      </c>
      <c r="E493" s="45" t="s">
        <v>564</v>
      </c>
      <c r="F493" s="49" t="s">
        <v>3039</v>
      </c>
      <c r="G493" s="45" t="s">
        <v>3045</v>
      </c>
      <c r="H493" s="47">
        <v>46257</v>
      </c>
      <c r="I493" s="48" t="s">
        <v>1995</v>
      </c>
      <c r="J493" s="48" t="s">
        <v>1290</v>
      </c>
      <c r="K493" s="48" t="str">
        <f t="shared" si="104"/>
        <v>High Speed Rail Automatic Rock Ballast Testing Machine is a cement, aggregate, concrete &amp; soil testing product from HST Group for application-specific laboratory, engineering or industrial use.</v>
      </c>
      <c r="L493" s="48" t="str">
        <f t="shared" si="105"/>
        <v>High Speed Rail Automatic Rock Ballast Testing Machine from HST Group for cement, aggregate, concrete &amp; soil testing applications. Review configuration requirements and request technical information or a quotation from DIWAN.</v>
      </c>
      <c r="M493" s="48" t="s">
        <v>2020</v>
      </c>
      <c r="N493" s="61" t="s">
        <v>2672</v>
      </c>
      <c r="O493" s="54" t="str" cm="1">
        <f t="array" ref="O493">_xlfn.LET(_xlpm.n,LOWER(E493),_xlpm.c,LOWER(B493),_xlpm.t,_xlfn.IFS(OR(ISNUMBER(SEARCH("lens",_xlpm.n)),ISNUMBER(SEARCH("optic",_xlpm.n)),ISNUMBER(SEARCH("polarizer",_xlpm.n))),"precision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"),E493&amp;" is "&amp;_xlpm.art&amp;_xlpm.t&amp;" from "&amp;C493&amp;" designed for application-specific laboratory, engineering or industrial use. It belongs to DIWAN's "&amp;B493&amp;" portfolio; final configuration must be selected against performance, integration and compliance requirements.")</f>
        <v>High Speed Rail Automatic Rock Ballast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3" s="54" t="str">
        <f t="shared" si="106"/>
        <v>Selection should confirm the model-specific operating range, capacity, accuracy, interfaces, utilities, accessories, standards, environmental limits and service requirements. Final capabilities depend on the approved High Speed Rail Automatic Rock Ballast Testing Machine configuration.</v>
      </c>
      <c r="Q493" s="54"/>
      <c r="R493"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3" s="54"/>
      <c r="T493" s="54" t="str">
        <f t="shared" si="108"/>
        <v>High Speed Rail Automatic Rock Ballast Testing Machine from HST Group</v>
      </c>
      <c r="U493" s="54"/>
      <c r="V493" s="54" t="s">
        <v>2673</v>
      </c>
      <c r="W493" s="54" t="str">
        <f t="shared" si="109"/>
        <v>See other Cement, Aggregate, Concrete &amp; Soil Testing products</v>
      </c>
      <c r="X493" s="54" t="str">
        <f t="shared" si="110"/>
        <v>Cement, Aggregate, Concrete &amp; Soil Testing enquiry → website group enquiry form → category owner assignment</v>
      </c>
      <c r="Y493" s="54" t="str">
        <f t="shared" si="111"/>
        <v>High Speed Rail Automatic Rock Ballast Testing Machine, Cement, Aggregate, Concrete &amp; Soil Testing, HST Group, technical equipment, DIWAN</v>
      </c>
      <c r="Z493" s="54" t="s">
        <v>2296</v>
      </c>
      <c r="AA493" s="55">
        <v>46257</v>
      </c>
      <c r="AB493" s="54" t="s">
        <v>2465</v>
      </c>
      <c r="AC493" s="63" t="str">
        <f t="shared" si="112"/>
        <v>Content drafted - assets/specs pending</v>
      </c>
      <c r="AD493"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3" s="58"/>
      <c r="AF493" s="58"/>
      <c r="AG493" s="58" t="s">
        <v>2467</v>
      </c>
      <c r="AH493" s="58" t="s">
        <v>2468</v>
      </c>
      <c r="AI493" s="58" t="s">
        <v>2469</v>
      </c>
    </row>
    <row r="494" spans="1:35" ht="42" customHeight="1" x14ac:dyDescent="0.35">
      <c r="A494" s="69">
        <f t="shared" si="103"/>
        <v>77</v>
      </c>
      <c r="B494" s="70" t="s">
        <v>547</v>
      </c>
      <c r="C494" s="71" t="s">
        <v>28</v>
      </c>
      <c r="D494" s="72" t="s">
        <v>12</v>
      </c>
      <c r="E494" s="45" t="s">
        <v>565</v>
      </c>
      <c r="F494" s="49" t="s">
        <v>3039</v>
      </c>
      <c r="G494" s="45" t="s">
        <v>3045</v>
      </c>
      <c r="H494" s="47">
        <v>46257</v>
      </c>
      <c r="I494" s="48" t="s">
        <v>1996</v>
      </c>
      <c r="J494" s="48" t="s">
        <v>1291</v>
      </c>
      <c r="K494" s="48" t="str">
        <f t="shared" si="104"/>
        <v>Soil Triaxial Testing Machine is a cement, aggregate, concrete &amp; soil testing product from HST Group for application-specific laboratory, engineering or industrial use.</v>
      </c>
      <c r="L494" s="48" t="str">
        <f t="shared" si="105"/>
        <v>Soil Triaxial Testing Machine from HST Group for cement, aggregate, concrete &amp; soil testing applications. Review configuration requirements and request technical information or a quotation from DIWAN.</v>
      </c>
      <c r="M494" s="48" t="s">
        <v>2020</v>
      </c>
      <c r="N494" s="61" t="s">
        <v>2672</v>
      </c>
      <c r="O494" s="54" t="str" cm="1">
        <f t="array" ref="O494">_xlfn.LET(_xlpm.n,LOWER(E494),_xlpm.c,LOWER(B494),_xlpm.t,_xlfn.IFS(OR(ISNUMBER(SEARCH("lens",_xlpm.n)),ISNUMBER(SEARCH("optic",_xlpm.n)),ISNUMBER(SEARCH("polarizer",_xlpm.n))),"precision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"),E494&amp;" is "&amp;_xlpm.art&amp;_xlpm.t&amp;" from "&amp;C494&amp;" designed for application-specific laboratory, engineering or industrial use. It belongs to DIWAN's "&amp;B494&amp;" portfolio; final configuration must be selected against performance, integration and compliance requirements.")</f>
        <v>Soil Triaxial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4" s="54" t="str">
        <f t="shared" si="106"/>
        <v>Selection should confirm the model-specific operating range, capacity, accuracy, interfaces, utilities, accessories, standards, environmental limits and service requirements. Final capabilities depend on the approved Soil Triaxial Testing Machine configuration.</v>
      </c>
      <c r="Q494" s="54"/>
      <c r="R494"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4" s="54"/>
      <c r="T494" s="54" t="str">
        <f t="shared" si="108"/>
        <v>Soil Triaxial Testing Machine from HST Group</v>
      </c>
      <c r="U494" s="54"/>
      <c r="V494" s="54" t="s">
        <v>2673</v>
      </c>
      <c r="W494" s="54" t="str">
        <f t="shared" si="109"/>
        <v>See other Cement, Aggregate, Concrete &amp; Soil Testing products</v>
      </c>
      <c r="X494" s="54" t="str">
        <f t="shared" si="110"/>
        <v>Cement, Aggregate, Concrete &amp; Soil Testing enquiry → website group enquiry form → category owner assignment</v>
      </c>
      <c r="Y494" s="54" t="str">
        <f t="shared" si="111"/>
        <v>Soil Triaxial Testing Machine, Cement, Aggregate, Concrete &amp; Soil Testing, HST Group, technical equipment, DIWAN</v>
      </c>
      <c r="Z494" s="54" t="s">
        <v>2296</v>
      </c>
      <c r="AA494" s="55">
        <v>46257</v>
      </c>
      <c r="AB494" s="54" t="s">
        <v>2465</v>
      </c>
      <c r="AC494" s="63" t="str">
        <f t="shared" si="112"/>
        <v>Content drafted - assets/specs pending</v>
      </c>
      <c r="AD494"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4" s="58"/>
      <c r="AF494" s="58"/>
      <c r="AG494" s="58" t="s">
        <v>2467</v>
      </c>
      <c r="AH494" s="58" t="s">
        <v>2468</v>
      </c>
      <c r="AI494" s="58" t="s">
        <v>2469</v>
      </c>
    </row>
    <row r="495" spans="1:35" ht="42" customHeight="1" x14ac:dyDescent="0.35">
      <c r="A495" s="69">
        <f t="shared" si="103"/>
        <v>77</v>
      </c>
      <c r="B495" s="70" t="s">
        <v>547</v>
      </c>
      <c r="C495" s="71" t="s">
        <v>28</v>
      </c>
      <c r="D495" s="72" t="s">
        <v>12</v>
      </c>
      <c r="E495" s="45" t="s">
        <v>566</v>
      </c>
      <c r="F495" s="49" t="s">
        <v>3039</v>
      </c>
      <c r="G495" s="45" t="s">
        <v>3045</v>
      </c>
      <c r="H495" s="47">
        <v>46257</v>
      </c>
      <c r="I495" s="48" t="s">
        <v>1997</v>
      </c>
      <c r="J495" s="48" t="s">
        <v>1292</v>
      </c>
      <c r="K495" s="48" t="str">
        <f t="shared" si="104"/>
        <v>Shear Strength Testing Machine is a cement, aggregate, concrete &amp; soil testing product from HST Group for application-specific laboratory, engineering or industrial use.</v>
      </c>
      <c r="L495" s="48" t="str">
        <f t="shared" si="105"/>
        <v>Shear Strength Testing Machine from HST Group for cement, aggregate, concrete &amp; soil testing applications. Review configuration requirements and request technical information or a quotation from DIWAN.</v>
      </c>
      <c r="M495" s="48" t="s">
        <v>2020</v>
      </c>
      <c r="N495" s="61" t="s">
        <v>2672</v>
      </c>
      <c r="O495" s="54" t="str" cm="1">
        <f t="array" ref="O495">_xlfn.LET(_xlpm.n,LOWER(E495),_xlpm.c,LOWER(B495),_xlpm.t,_xlfn.IFS(OR(ISNUMBER(SEARCH("lens",_xlpm.n)),ISNUMBER(SEARCH("optic",_xlpm.n)),ISNUMBER(SEARCH("polarizer",_xlpm.n))),"precision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"),E495&amp;" is "&amp;_xlpm.art&amp;_xlpm.t&amp;" from "&amp;C495&amp;" designed for application-specific laboratory, engineering or industrial use. It belongs to DIWAN's "&amp;B495&amp;" portfolio; final configuration must be selected against performance, integration and compliance requirements.")</f>
        <v>Shear Strength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5" s="54" t="str">
        <f t="shared" si="106"/>
        <v>Selection should confirm the model-specific operating range, capacity, accuracy, interfaces, utilities, accessories, standards, environmental limits and service requirements. Final capabilities depend on the approved Shear Strength Testing Machine configuration.</v>
      </c>
      <c r="Q495" s="54"/>
      <c r="R495"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5" s="54"/>
      <c r="T495" s="54" t="str">
        <f t="shared" si="108"/>
        <v>Shear Strength Testing Machine from HST Group</v>
      </c>
      <c r="U495" s="54"/>
      <c r="V495" s="54" t="s">
        <v>2673</v>
      </c>
      <c r="W495" s="54" t="str">
        <f t="shared" si="109"/>
        <v>See other Cement, Aggregate, Concrete &amp; Soil Testing products</v>
      </c>
      <c r="X495" s="54" t="str">
        <f t="shared" si="110"/>
        <v>Cement, Aggregate, Concrete &amp; Soil Testing enquiry → website group enquiry form → category owner assignment</v>
      </c>
      <c r="Y495" s="54" t="str">
        <f t="shared" si="111"/>
        <v>Shear Strength Testing Machine, Cement, Aggregate, Concrete &amp; Soil Testing, HST Group, technical equipment, DIWAN</v>
      </c>
      <c r="Z495" s="54" t="s">
        <v>2296</v>
      </c>
      <c r="AA495" s="55">
        <v>46257</v>
      </c>
      <c r="AB495" s="54" t="s">
        <v>2465</v>
      </c>
      <c r="AC495" s="63" t="str">
        <f t="shared" si="112"/>
        <v>Content drafted - assets/specs pending</v>
      </c>
      <c r="AD495"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5" s="58"/>
      <c r="AF495" s="58"/>
      <c r="AG495" s="58" t="s">
        <v>2467</v>
      </c>
      <c r="AH495" s="58" t="s">
        <v>2468</v>
      </c>
      <c r="AI495" s="58" t="s">
        <v>2469</v>
      </c>
    </row>
    <row r="496" spans="1:35" ht="42" customHeight="1" thickBot="1" x14ac:dyDescent="0.4">
      <c r="A496" s="69">
        <f t="shared" si="103"/>
        <v>77</v>
      </c>
      <c r="B496" s="70" t="s">
        <v>547</v>
      </c>
      <c r="C496" s="71" t="s">
        <v>28</v>
      </c>
      <c r="D496" s="72" t="s">
        <v>12</v>
      </c>
      <c r="E496" s="45" t="s">
        <v>567</v>
      </c>
      <c r="F496" s="49" t="s">
        <v>3039</v>
      </c>
      <c r="G496" s="45" t="s">
        <v>3045</v>
      </c>
      <c r="H496" s="47">
        <v>46257</v>
      </c>
      <c r="I496" s="48" t="s">
        <v>1998</v>
      </c>
      <c r="J496" s="48" t="s">
        <v>1293</v>
      </c>
      <c r="K496" s="48" t="str">
        <f t="shared" si="104"/>
        <v>Rock Testing Machine is a cement, aggregate, concrete &amp; soil testing product from HST Group for application-specific laboratory, engineering or industrial use.</v>
      </c>
      <c r="L496" s="48" t="str">
        <f t="shared" si="105"/>
        <v>Rock Testing Machine from HST Group for cement, aggregate, concrete &amp; soil testing applications. Review configuration requirements and request technical information or a quotation from DIWAN.</v>
      </c>
      <c r="M496" s="48" t="s">
        <v>2020</v>
      </c>
      <c r="N496" s="61" t="s">
        <v>2672</v>
      </c>
      <c r="O496" s="54" t="str" cm="1">
        <f t="array" ref="O496">_xlfn.LET(_xlpm.n,LOWER(E496),_xlpm.c,LOWER(B496),_xlpm.t,_xlfn.IFS(OR(ISNUMBER(SEARCH("lens",_xlpm.n)),ISNUMBER(SEARCH("optic",_xlpm.n)),ISNUMBER(SEARCH("polarizer",_xlpm.n))),"precision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"),E496&amp;" is "&amp;_xlpm.art&amp;_xlpm.t&amp;" from "&amp;C496&amp;" designed for application-specific laboratory, engineering or industrial use. It belongs to DIWAN's "&amp;B496&amp;" portfolio; final configuration must be selected against performance, integration and compliance requirements.")</f>
        <v>Rock Testing Machine is a materials or component testing system from HST Group designed for application-specific laboratory, engineering or industrial use. It belongs to DIWAN's Cement, Aggregate, Concrete &amp; Soil Testing portfolio; final configuration must be selected against performance, integration and compliance requirements.</v>
      </c>
      <c r="P496" s="54" t="str">
        <f t="shared" si="106"/>
        <v>Selection should confirm the model-specific operating range, capacity, accuracy, interfaces, utilities, accessories, standards, environmental limits and service requirements. Final capabilities depend on the approved Rock Testing Machine configuration.</v>
      </c>
      <c r="Q496" s="54"/>
      <c r="R496" s="54" t="str">
        <f t="shared" si="107"/>
        <v>Cement, Aggregate, Concrete &amp; Soil Testing applications; laboratory research, engineering development, quality control and industrial deployment where applicable. Suitability must be confirmed against the user's sample, process, environment and required standards.</v>
      </c>
      <c r="S496" s="54"/>
      <c r="T496" s="54" t="str">
        <f t="shared" si="108"/>
        <v>Rock Testing Machine from HST Group</v>
      </c>
      <c r="U496" s="54"/>
      <c r="V496" s="54" t="s">
        <v>2673</v>
      </c>
      <c r="W496" s="54" t="str">
        <f t="shared" si="109"/>
        <v>See other Cement, Aggregate, Concrete &amp; Soil Testing products</v>
      </c>
      <c r="X496" s="54" t="str">
        <f t="shared" si="110"/>
        <v>Cement, Aggregate, Concrete &amp; Soil Testing enquiry → website group enquiry form → category owner assignment</v>
      </c>
      <c r="Y496" s="54" t="str">
        <f t="shared" si="111"/>
        <v>Rock Testing Machine, Cement, Aggregate, Concrete &amp; Soil Testing, HST Group, technical equipment, DIWAN</v>
      </c>
      <c r="Z496" s="54" t="s">
        <v>2296</v>
      </c>
      <c r="AA496" s="55">
        <v>46257</v>
      </c>
      <c r="AB496" s="54" t="s">
        <v>2465</v>
      </c>
      <c r="AC496" s="63" t="str">
        <f t="shared" si="112"/>
        <v>Content drafted - assets/specs pending</v>
      </c>
      <c r="AD496"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6" s="58"/>
      <c r="AF496" s="58"/>
      <c r="AG496" s="58" t="s">
        <v>2467</v>
      </c>
      <c r="AH496" s="58" t="s">
        <v>2468</v>
      </c>
      <c r="AI496" s="58" t="s">
        <v>2469</v>
      </c>
    </row>
    <row r="497" spans="1:35" ht="42" customHeight="1" x14ac:dyDescent="0.35">
      <c r="A497" s="69">
        <f t="shared" si="103"/>
        <v>78</v>
      </c>
      <c r="B497" s="74" t="s">
        <v>568</v>
      </c>
      <c r="C497" s="75" t="s">
        <v>28</v>
      </c>
      <c r="D497" s="76" t="s">
        <v>12</v>
      </c>
      <c r="E497" s="77" t="s">
        <v>569</v>
      </c>
      <c r="F497" s="86" t="s">
        <v>3040</v>
      </c>
      <c r="G497" s="77" t="s">
        <v>3045</v>
      </c>
      <c r="H497" s="79">
        <v>46257</v>
      </c>
      <c r="I497" s="80" t="s">
        <v>1999</v>
      </c>
      <c r="J497" s="80" t="s">
        <v>1294</v>
      </c>
      <c r="K497" s="80" t="str">
        <f t="shared" si="104"/>
        <v>Cupping Testing Machine is an other testing equipment product from HST Group for application-specific laboratory, engineering or industrial use.</v>
      </c>
      <c r="L497" s="80" t="str">
        <f t="shared" si="105"/>
        <v>Cupping Testing Machine from HST Group for other testing equipment applications. Review configuration requirements and request technical information or a quotation from DIWAN.</v>
      </c>
      <c r="M497" s="80" t="s">
        <v>2020</v>
      </c>
      <c r="N497" s="81" t="s">
        <v>2672</v>
      </c>
      <c r="O497" s="82" t="str" cm="1">
        <f t="array" ref="O497">_xlfn.LET(_xlpm.n,LOWER(E497),_xlpm.c,LOWER(B497),_xlpm.t,_xlfn.IFS(OR(ISNUMBER(SEARCH("lens",_xlpm.n)),ISNUMBER(SEARCH("optic",_xlpm.n)),ISNUMBER(SEARCH("polarizer",_xlpm.n))),"precision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"),E497&amp;" is "&amp;_xlpm.art&amp;_xlpm.t&amp;" from "&amp;C497&amp;" designed for application-specific laboratory, engineering or industrial use. It belongs to DIWAN's "&amp;B497&amp;" portfolio; final configuration must be selected against performance, integration and compliance requirements.")</f>
        <v>Cupping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497" s="82" t="str">
        <f t="shared" si="106"/>
        <v>Selection should confirm the model-specific operating range, capacity, accuracy, interfaces, utilities, accessories, standards, environmental limits and service requirements. Final capabilities depend on the approved Cupping Testing Machine configuration.</v>
      </c>
      <c r="Q497" s="82"/>
      <c r="R497" s="82" t="str">
        <f t="shared" si="107"/>
        <v>Other Testing Equipment applications; laboratory research, engineering development, quality control and industrial deployment where applicable. Suitability must be confirmed against the user's sample, process, environment and required standards.</v>
      </c>
      <c r="S497" s="82"/>
      <c r="T497" s="82" t="str">
        <f t="shared" si="108"/>
        <v>Cupping Testing Machine from HST Group</v>
      </c>
      <c r="U497" s="82"/>
      <c r="V497" s="82" t="s">
        <v>2673</v>
      </c>
      <c r="W497" s="82" t="str">
        <f t="shared" si="109"/>
        <v>See other Other Testing Equipment products</v>
      </c>
      <c r="X497" s="82" t="str">
        <f t="shared" si="110"/>
        <v>Other Testing Equipment enquiry → website group enquiry form → category owner assignment</v>
      </c>
      <c r="Y497" s="82" t="str">
        <f t="shared" si="111"/>
        <v>Cupping Testing Machine, Other Testing Equipment, HST Group, technical equipment, DIWAN</v>
      </c>
      <c r="Z497" s="82" t="s">
        <v>2297</v>
      </c>
      <c r="AA497" s="83">
        <v>46257</v>
      </c>
      <c r="AB497" s="82" t="s">
        <v>2465</v>
      </c>
      <c r="AC497" s="84" t="str">
        <f t="shared" si="112"/>
        <v>Content drafted - assets/specs pending</v>
      </c>
      <c r="AD497" s="82"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7" s="85"/>
      <c r="AF497" s="85"/>
      <c r="AG497" s="85" t="s">
        <v>2467</v>
      </c>
      <c r="AH497" s="85" t="s">
        <v>2468</v>
      </c>
      <c r="AI497" s="85" t="s">
        <v>2469</v>
      </c>
    </row>
    <row r="498" spans="1:35" ht="42" customHeight="1" x14ac:dyDescent="0.35">
      <c r="A498" s="69">
        <f t="shared" si="103"/>
        <v>78</v>
      </c>
      <c r="B498" s="70" t="s">
        <v>568</v>
      </c>
      <c r="C498" s="71" t="s">
        <v>28</v>
      </c>
      <c r="D498" s="72" t="s">
        <v>12</v>
      </c>
      <c r="E498" s="45" t="s">
        <v>570</v>
      </c>
      <c r="F498" s="49" t="s">
        <v>3040</v>
      </c>
      <c r="G498" s="45" t="s">
        <v>3045</v>
      </c>
      <c r="H498" s="47">
        <v>46257</v>
      </c>
      <c r="I498" s="48" t="s">
        <v>2000</v>
      </c>
      <c r="J498" s="48" t="s">
        <v>1295</v>
      </c>
      <c r="K498" s="48" t="str">
        <f t="shared" si="104"/>
        <v>Helmet Testing Machine is an other testing equipment product from HST Group for application-specific laboratory, engineering or industrial use.</v>
      </c>
      <c r="L498" s="48" t="str">
        <f t="shared" si="105"/>
        <v>Helmet Testing Machine from HST Group for other testing equipment applications. Review configuration requirements and request technical information or a quotation from DIWAN.</v>
      </c>
      <c r="M498" s="48" t="s">
        <v>2020</v>
      </c>
      <c r="N498" s="61" t="s">
        <v>2672</v>
      </c>
      <c r="O498" s="54" t="str" cm="1">
        <f t="array" ref="O498">_xlfn.LET(_xlpm.n,LOWER(E498),_xlpm.c,LOWER(B498),_xlpm.t,_xlfn.IFS(OR(ISNUMBER(SEARCH("lens",_xlpm.n)),ISNUMBER(SEARCH("optic",_xlpm.n)),ISNUMBER(SEARCH("polarizer",_xlpm.n))),"precision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"),E498&amp;" is "&amp;_xlpm.art&amp;_xlpm.t&amp;" from "&amp;C498&amp;" designed for application-specific laboratory, engineering or industrial use. It belongs to DIWAN's "&amp;B498&amp;" portfolio; final configuration must be selected against performance, integration and compliance requirements.")</f>
        <v>Helmet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498" s="54" t="str">
        <f t="shared" si="106"/>
        <v>Selection should confirm the model-specific operating range, capacity, accuracy, interfaces, utilities, accessories, standards, environmental limits and service requirements. Final capabilities depend on the approved Helmet Testing Machine configuration.</v>
      </c>
      <c r="Q498" s="54"/>
      <c r="R498" s="54" t="str">
        <f t="shared" si="107"/>
        <v>Other Testing Equipment applications; laboratory research, engineering development, quality control and industrial deployment where applicable. Suitability must be confirmed against the user's sample, process, environment and required standards.</v>
      </c>
      <c r="S498" s="54"/>
      <c r="T498" s="54" t="str">
        <f t="shared" si="108"/>
        <v>Helmet Testing Machine from HST Group</v>
      </c>
      <c r="U498" s="54"/>
      <c r="V498" s="54" t="s">
        <v>2673</v>
      </c>
      <c r="W498" s="54" t="str">
        <f t="shared" si="109"/>
        <v>See other Other Testing Equipment products</v>
      </c>
      <c r="X498" s="54" t="str">
        <f t="shared" si="110"/>
        <v>Other Testing Equipment enquiry → website group enquiry form → category owner assignment</v>
      </c>
      <c r="Y498" s="54" t="str">
        <f t="shared" si="111"/>
        <v>Helmet Testing Machine, Other Testing Equipment, HST Group, technical equipment, DIWAN</v>
      </c>
      <c r="Z498" s="54" t="s">
        <v>2297</v>
      </c>
      <c r="AA498" s="55">
        <v>46257</v>
      </c>
      <c r="AB498" s="54" t="s">
        <v>2465</v>
      </c>
      <c r="AC498" s="63" t="str">
        <f t="shared" si="112"/>
        <v>Content drafted - assets/specs pending</v>
      </c>
      <c r="AD498"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8" s="58"/>
      <c r="AF498" s="58"/>
      <c r="AG498" s="58" t="s">
        <v>2467</v>
      </c>
      <c r="AH498" s="58" t="s">
        <v>2468</v>
      </c>
      <c r="AI498" s="58" t="s">
        <v>2469</v>
      </c>
    </row>
    <row r="499" spans="1:35" ht="42" customHeight="1" x14ac:dyDescent="0.35">
      <c r="A499" s="69">
        <f t="shared" si="103"/>
        <v>78</v>
      </c>
      <c r="B499" s="70" t="s">
        <v>568</v>
      </c>
      <c r="C499" s="71" t="s">
        <v>28</v>
      </c>
      <c r="D499" s="72" t="s">
        <v>12</v>
      </c>
      <c r="E499" s="45" t="s">
        <v>571</v>
      </c>
      <c r="F499" s="49" t="s">
        <v>3040</v>
      </c>
      <c r="G499" s="45" t="s">
        <v>3045</v>
      </c>
      <c r="H499" s="47">
        <v>46257</v>
      </c>
      <c r="I499" s="48" t="s">
        <v>2001</v>
      </c>
      <c r="J499" s="48" t="s">
        <v>1296</v>
      </c>
      <c r="K499" s="48" t="str">
        <f t="shared" si="104"/>
        <v>Static Load Anchor Tester is an other testing equipment product from HST Group for application-specific laboratory, engineering or industrial use.</v>
      </c>
      <c r="L499" s="48" t="str">
        <f t="shared" si="105"/>
        <v>Static Load Anchor Tester from HST Group for other testing equipment applications. Review configuration requirements and request technical information or a quotation from DIWAN.</v>
      </c>
      <c r="M499" s="48" t="s">
        <v>2020</v>
      </c>
      <c r="N499" s="61" t="s">
        <v>2672</v>
      </c>
      <c r="O499" s="54" t="str" cm="1">
        <f t="array" ref="O499">_xlfn.LET(_xlpm.n,LOWER(E499),_xlpm.c,LOWER(B499),_xlpm.t,_xlfn.IFS(OR(ISNUMBER(SEARCH("lens",_xlpm.n)),ISNUMBER(SEARCH("optic",_xlpm.n)),ISNUMBER(SEARCH("polarizer",_xlpm.n))),"precision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"),E499&amp;" is "&amp;_xlpm.art&amp;_xlpm.t&amp;" from "&amp;C499&amp;" designed for application-specific laboratory, engineering or industrial use. It belongs to DIWAN's "&amp;B499&amp;" portfolio; final configuration must be selected against performance, integration and compliance requirements.")</f>
        <v>Static Load Anchor Tester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499" s="54" t="str">
        <f t="shared" si="106"/>
        <v>Selection should confirm the model-specific operating range, capacity, accuracy, interfaces, utilities, accessories, standards, environmental limits and service requirements. Final capabilities depend on the approved Static Load Anchor Tester configuration.</v>
      </c>
      <c r="Q499" s="54"/>
      <c r="R499" s="54" t="str">
        <f t="shared" si="107"/>
        <v>Other Testing Equipment applications; laboratory research, engineering development, quality control and industrial deployment where applicable. Suitability must be confirmed against the user's sample, process, environment and required standards.</v>
      </c>
      <c r="S499" s="54"/>
      <c r="T499" s="54" t="str">
        <f t="shared" si="108"/>
        <v>Static Load Anchor Tester from HST Group</v>
      </c>
      <c r="U499" s="54"/>
      <c r="V499" s="54" t="s">
        <v>2673</v>
      </c>
      <c r="W499" s="54" t="str">
        <f t="shared" si="109"/>
        <v>See other Other Testing Equipment products</v>
      </c>
      <c r="X499" s="54" t="str">
        <f t="shared" si="110"/>
        <v>Other Testing Equipment enquiry → website group enquiry form → category owner assignment</v>
      </c>
      <c r="Y499" s="54" t="str">
        <f t="shared" si="111"/>
        <v>Static Load Anchor Tester, Other Testing Equipment, HST Group, technical equipment, DIWAN</v>
      </c>
      <c r="Z499" s="54" t="s">
        <v>2297</v>
      </c>
      <c r="AA499" s="55">
        <v>46257</v>
      </c>
      <c r="AB499" s="54" t="s">
        <v>2465</v>
      </c>
      <c r="AC499" s="63" t="str">
        <f t="shared" si="112"/>
        <v>Content drafted - assets/specs pending</v>
      </c>
      <c r="AD499"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499" s="58"/>
      <c r="AF499" s="58"/>
      <c r="AG499" s="58" t="s">
        <v>2467</v>
      </c>
      <c r="AH499" s="58" t="s">
        <v>2468</v>
      </c>
      <c r="AI499" s="58" t="s">
        <v>2469</v>
      </c>
    </row>
    <row r="500" spans="1:35" ht="42" customHeight="1" x14ac:dyDescent="0.35">
      <c r="A500" s="69">
        <f t="shared" si="103"/>
        <v>78</v>
      </c>
      <c r="B500" s="70" t="s">
        <v>568</v>
      </c>
      <c r="C500" s="71" t="s">
        <v>28</v>
      </c>
      <c r="D500" s="72" t="s">
        <v>12</v>
      </c>
      <c r="E500" s="45" t="s">
        <v>572</v>
      </c>
      <c r="F500" s="49" t="s">
        <v>3040</v>
      </c>
      <c r="G500" s="45" t="s">
        <v>3045</v>
      </c>
      <c r="H500" s="47">
        <v>46257</v>
      </c>
      <c r="I500" s="48" t="s">
        <v>2002</v>
      </c>
      <c r="J500" s="48" t="s">
        <v>1297</v>
      </c>
      <c r="K500" s="48" t="str">
        <f t="shared" si="104"/>
        <v>Insulator Mechanical Property Testing Machine is an other testing equipment product from HST Group for application-specific laboratory, engineering or industrial use.</v>
      </c>
      <c r="L500" s="48" t="str">
        <f t="shared" si="105"/>
        <v>Insulator Mechanical Property Testing Machine from HST Group for other testing equipment applications. Review configuration requirements and request technical information or a quotation from DIWAN.</v>
      </c>
      <c r="M500" s="48" t="s">
        <v>2020</v>
      </c>
      <c r="N500" s="61" t="s">
        <v>2672</v>
      </c>
      <c r="O500" s="54" t="str" cm="1">
        <f t="array" ref="O500">_xlfn.LET(_xlpm.n,LOWER(E500),_xlpm.c,LOWER(B500),_xlpm.t,_xlfn.IFS(OR(ISNUMBER(SEARCH("lens",_xlpm.n)),ISNUMBER(SEARCH("optic",_xlpm.n)),ISNUMBER(SEARCH("polarizer",_xlpm.n))),"precision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"),E500&amp;" is "&amp;_xlpm.art&amp;_xlpm.t&amp;" from "&amp;C500&amp;" designed for application-specific laboratory, engineering or industrial use. It belongs to DIWAN's "&amp;B500&amp;" portfolio; final configuration must be selected against performance, integration and compliance requirements.")</f>
        <v>Insulator Mechanical Property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0" s="54" t="str">
        <f t="shared" si="106"/>
        <v>Selection should confirm the model-specific operating range, capacity, accuracy, interfaces, utilities, accessories, standards, environmental limits and service requirements. Final capabilities depend on the approved Insulator Mechanical Property Testing Machine configuration.</v>
      </c>
      <c r="Q500" s="54"/>
      <c r="R500" s="54" t="str">
        <f t="shared" si="107"/>
        <v>Other Testing Equipment applications; laboratory research, engineering development, quality control and industrial deployment where applicable. Suitability must be confirmed against the user's sample, process, environment and required standards.</v>
      </c>
      <c r="S500" s="54"/>
      <c r="T500" s="54" t="str">
        <f t="shared" si="108"/>
        <v>Insulator Mechanical Property Testing Machine from HST Group</v>
      </c>
      <c r="U500" s="54"/>
      <c r="V500" s="54" t="s">
        <v>2673</v>
      </c>
      <c r="W500" s="54" t="str">
        <f t="shared" si="109"/>
        <v>See other Other Testing Equipment products</v>
      </c>
      <c r="X500" s="54" t="str">
        <f t="shared" si="110"/>
        <v>Other Testing Equipment enquiry → website group enquiry form → category owner assignment</v>
      </c>
      <c r="Y500" s="54" t="str">
        <f t="shared" si="111"/>
        <v>Insulator Mechanical Property Testing Machine, Other Testing Equipment, HST Group, technical equipment, DIWAN</v>
      </c>
      <c r="Z500" s="54" t="s">
        <v>2297</v>
      </c>
      <c r="AA500" s="55">
        <v>46257</v>
      </c>
      <c r="AB500" s="54" t="s">
        <v>2465</v>
      </c>
      <c r="AC500" s="63" t="str">
        <f t="shared" si="112"/>
        <v>Content drafted - assets/specs pending</v>
      </c>
      <c r="AD500"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0" s="58"/>
      <c r="AF500" s="58"/>
      <c r="AG500" s="58" t="s">
        <v>2467</v>
      </c>
      <c r="AH500" s="58" t="s">
        <v>2468</v>
      </c>
      <c r="AI500" s="58" t="s">
        <v>2469</v>
      </c>
    </row>
    <row r="501" spans="1:35" ht="42" customHeight="1" x14ac:dyDescent="0.35">
      <c r="A501" s="69">
        <f t="shared" si="103"/>
        <v>78</v>
      </c>
      <c r="B501" s="70" t="s">
        <v>568</v>
      </c>
      <c r="C501" s="71" t="s">
        <v>28</v>
      </c>
      <c r="D501" s="72" t="s">
        <v>12</v>
      </c>
      <c r="E501" s="45" t="s">
        <v>573</v>
      </c>
      <c r="F501" s="49" t="s">
        <v>3040</v>
      </c>
      <c r="G501" s="45" t="s">
        <v>3045</v>
      </c>
      <c r="H501" s="47">
        <v>46257</v>
      </c>
      <c r="I501" s="48" t="s">
        <v>2003</v>
      </c>
      <c r="J501" s="48" t="s">
        <v>1298</v>
      </c>
      <c r="K501" s="48" t="str">
        <f t="shared" si="104"/>
        <v>Adhesion Testing Machine is an other testing equipment product from HST Group for application-specific laboratory, engineering or industrial use.</v>
      </c>
      <c r="L501" s="48" t="str">
        <f t="shared" si="105"/>
        <v>Adhesion Testing Machine from HST Group for other testing equipment applications. Review configuration requirements and request technical information or a quotation from DIWAN.</v>
      </c>
      <c r="M501" s="48" t="s">
        <v>2020</v>
      </c>
      <c r="N501" s="61" t="s">
        <v>2672</v>
      </c>
      <c r="O501" s="54" t="str" cm="1">
        <f t="array" ref="O501">_xlfn.LET(_xlpm.n,LOWER(E501),_xlpm.c,LOWER(B501),_xlpm.t,_xlfn.IFS(OR(ISNUMBER(SEARCH("lens",_xlpm.n)),ISNUMBER(SEARCH("optic",_xlpm.n)),ISNUMBER(SEARCH("polarizer",_xlpm.n))),"precision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"),E501&amp;" is "&amp;_xlpm.art&amp;_xlpm.t&amp;" from "&amp;C501&amp;" designed for application-specific laboratory, engineering or industrial use. It belongs to DIWAN's "&amp;B501&amp;" portfolio; final configuration must be selected against performance, integration and compliance requirements.")</f>
        <v>Adhesion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1" s="54" t="str">
        <f t="shared" si="106"/>
        <v>Selection should confirm the model-specific operating range, capacity, accuracy, interfaces, utilities, accessories, standards, environmental limits and service requirements. Final capabilities depend on the approved Adhesion Testing Machine configuration.</v>
      </c>
      <c r="Q501" s="54"/>
      <c r="R501" s="54" t="str">
        <f t="shared" si="107"/>
        <v>Other Testing Equipment applications; laboratory research, engineering development, quality control and industrial deployment where applicable. Suitability must be confirmed against the user's sample, process, environment and required standards.</v>
      </c>
      <c r="S501" s="54"/>
      <c r="T501" s="54" t="str">
        <f t="shared" si="108"/>
        <v>Adhesion Testing Machine from HST Group</v>
      </c>
      <c r="U501" s="54"/>
      <c r="V501" s="54" t="s">
        <v>2673</v>
      </c>
      <c r="W501" s="54" t="str">
        <f t="shared" si="109"/>
        <v>See other Other Testing Equipment products</v>
      </c>
      <c r="X501" s="54" t="str">
        <f t="shared" si="110"/>
        <v>Other Testing Equipment enquiry → website group enquiry form → category owner assignment</v>
      </c>
      <c r="Y501" s="54" t="str">
        <f t="shared" si="111"/>
        <v>Adhesion Testing Machine, Other Testing Equipment, HST Group, technical equipment, DIWAN</v>
      </c>
      <c r="Z501" s="54" t="s">
        <v>2297</v>
      </c>
      <c r="AA501" s="55">
        <v>46257</v>
      </c>
      <c r="AB501" s="54" t="s">
        <v>2465</v>
      </c>
      <c r="AC501" s="63" t="str">
        <f t="shared" si="112"/>
        <v>Content drafted - assets/specs pending</v>
      </c>
      <c r="AD501"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1" s="58"/>
      <c r="AF501" s="58"/>
      <c r="AG501" s="58" t="s">
        <v>2467</v>
      </c>
      <c r="AH501" s="58" t="s">
        <v>2468</v>
      </c>
      <c r="AI501" s="58" t="s">
        <v>2469</v>
      </c>
    </row>
    <row r="502" spans="1:35" ht="42" customHeight="1" x14ac:dyDescent="0.35">
      <c r="A502" s="69">
        <f t="shared" si="103"/>
        <v>78</v>
      </c>
      <c r="B502" s="70" t="s">
        <v>568</v>
      </c>
      <c r="C502" s="71" t="s">
        <v>28</v>
      </c>
      <c r="D502" s="72" t="s">
        <v>12</v>
      </c>
      <c r="E502" s="45" t="s">
        <v>574</v>
      </c>
      <c r="F502" s="49" t="s">
        <v>3040</v>
      </c>
      <c r="G502" s="45" t="s">
        <v>3045</v>
      </c>
      <c r="H502" s="47">
        <v>46257</v>
      </c>
      <c r="I502" s="48" t="s">
        <v>2004</v>
      </c>
      <c r="J502" s="48" t="s">
        <v>1299</v>
      </c>
      <c r="K502" s="48" t="str">
        <f t="shared" si="104"/>
        <v>Spring Test Equipment is an other testing equipment product from HST Group for application-specific laboratory, engineering or industrial use.</v>
      </c>
      <c r="L502" s="48" t="str">
        <f t="shared" si="105"/>
        <v>Spring Test Equipment from HST Group for other testing equipment applications. Review configuration requirements and request technical information or a quotation from DIWAN.</v>
      </c>
      <c r="M502" s="48" t="s">
        <v>2020</v>
      </c>
      <c r="N502" s="61" t="s">
        <v>2672</v>
      </c>
      <c r="O502" s="54" t="str" cm="1">
        <f t="array" ref="O502">_xlfn.LET(_xlpm.n,LOWER(E502),_xlpm.c,LOWER(B502),_xlpm.t,_xlfn.IFS(OR(ISNUMBER(SEARCH("lens",_xlpm.n)),ISNUMBER(SEARCH("optic",_xlpm.n)),ISNUMBER(SEARCH("polarizer",_xlpm.n))),"precision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"),E502&amp;" is "&amp;_xlpm.art&amp;_xlpm.t&amp;" from "&amp;C502&amp;" designed for application-specific laboratory, engineering or industrial use. It belongs to DIWAN's "&amp;B502&amp;" portfolio; final configuration must be selected against performance, integration and compliance requirements.")</f>
        <v>Spring Test Equipment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02" s="54" t="str">
        <f t="shared" si="106"/>
        <v>Selection should confirm the model-specific operating range, capacity, accuracy, interfaces, utilities, accessories, standards, environmental limits and service requirements. Final capabilities depend on the approved Spring Test Equipment configuration.</v>
      </c>
      <c r="Q502" s="54"/>
      <c r="R502" s="54" t="str">
        <f t="shared" si="107"/>
        <v>Other Testing Equipment applications; laboratory research, engineering development, quality control and industrial deployment where applicable. Suitability must be confirmed against the user's sample, process, environment and required standards.</v>
      </c>
      <c r="S502" s="54"/>
      <c r="T502" s="54" t="str">
        <f t="shared" si="108"/>
        <v>Spring Test Equipment from HST Group</v>
      </c>
      <c r="U502" s="54"/>
      <c r="V502" s="54" t="s">
        <v>2673</v>
      </c>
      <c r="W502" s="54" t="str">
        <f t="shared" si="109"/>
        <v>See other Other Testing Equipment products</v>
      </c>
      <c r="X502" s="54" t="str">
        <f t="shared" si="110"/>
        <v>Other Testing Equipment enquiry → website group enquiry form → category owner assignment</v>
      </c>
      <c r="Y502" s="54" t="str">
        <f t="shared" si="111"/>
        <v>Spring Test Equipment, Other Testing Equipment, HST Group, technical equipment, DIWAN</v>
      </c>
      <c r="Z502" s="54" t="s">
        <v>2297</v>
      </c>
      <c r="AA502" s="55">
        <v>46257</v>
      </c>
      <c r="AB502" s="54" t="s">
        <v>2465</v>
      </c>
      <c r="AC502" s="63" t="str">
        <f t="shared" si="112"/>
        <v>Content drafted - assets/specs pending</v>
      </c>
      <c r="AD502"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2" s="58"/>
      <c r="AF502" s="58"/>
      <c r="AG502" s="58" t="s">
        <v>2467</v>
      </c>
      <c r="AH502" s="58" t="s">
        <v>2468</v>
      </c>
      <c r="AI502" s="58" t="s">
        <v>2469</v>
      </c>
    </row>
    <row r="503" spans="1:35" ht="42" customHeight="1" x14ac:dyDescent="0.35">
      <c r="A503" s="69">
        <f t="shared" si="103"/>
        <v>78</v>
      </c>
      <c r="B503" s="70" t="s">
        <v>568</v>
      </c>
      <c r="C503" s="71" t="s">
        <v>28</v>
      </c>
      <c r="D503" s="72" t="s">
        <v>12</v>
      </c>
      <c r="E503" s="45" t="s">
        <v>575</v>
      </c>
      <c r="F503" s="49" t="s">
        <v>3040</v>
      </c>
      <c r="G503" s="45" t="s">
        <v>3045</v>
      </c>
      <c r="H503" s="47">
        <v>46257</v>
      </c>
      <c r="I503" s="48" t="s">
        <v>2005</v>
      </c>
      <c r="J503" s="48" t="s">
        <v>1300</v>
      </c>
      <c r="K503" s="48" t="str">
        <f t="shared" si="104"/>
        <v>Pressure Testing Machine is an other testing equipment product from HST Group for application-specific laboratory, engineering or industrial use.</v>
      </c>
      <c r="L503" s="48" t="str">
        <f t="shared" si="105"/>
        <v>Pressure Testing Machine from HST Group for other testing equipment applications. Review configuration requirements and request technical information or a quotation from DIWAN.</v>
      </c>
      <c r="M503" s="48" t="s">
        <v>2020</v>
      </c>
      <c r="N503" s="61" t="s">
        <v>2672</v>
      </c>
      <c r="O503" s="54" t="str" cm="1">
        <f t="array" ref="O503">_xlfn.LET(_xlpm.n,LOWER(E503),_xlpm.c,LOWER(B503),_xlpm.t,_xlfn.IFS(OR(ISNUMBER(SEARCH("lens",_xlpm.n)),ISNUMBER(SEARCH("optic",_xlpm.n)),ISNUMBER(SEARCH("polarizer",_xlpm.n))),"precision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"),E503&amp;" is "&amp;_xlpm.art&amp;_xlpm.t&amp;" from "&amp;C503&amp;" designed for application-specific laboratory, engineering or industrial use. It belongs to DIWAN's "&amp;B503&amp;" portfolio; final configuration must be selected against performance, integration and compliance requirements.")</f>
        <v>Pressure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3" s="54" t="str">
        <f t="shared" si="106"/>
        <v>Selection should confirm the model-specific operating range, capacity, accuracy, interfaces, utilities, accessories, standards, environmental limits and service requirements. Final capabilities depend on the approved Pressure Testing Machine configuration.</v>
      </c>
      <c r="Q503" s="54"/>
      <c r="R503" s="54" t="str">
        <f t="shared" si="107"/>
        <v>Other Testing Equipment applications; laboratory research, engineering development, quality control and industrial deployment where applicable. Suitability must be confirmed against the user's sample, process, environment and required standards.</v>
      </c>
      <c r="S503" s="54"/>
      <c r="T503" s="54" t="str">
        <f t="shared" si="108"/>
        <v>Pressure Testing Machine from HST Group</v>
      </c>
      <c r="U503" s="54"/>
      <c r="V503" s="54" t="s">
        <v>2673</v>
      </c>
      <c r="W503" s="54" t="str">
        <f t="shared" si="109"/>
        <v>See other Other Testing Equipment products</v>
      </c>
      <c r="X503" s="54" t="str">
        <f t="shared" si="110"/>
        <v>Other Testing Equipment enquiry → website group enquiry form → category owner assignment</v>
      </c>
      <c r="Y503" s="54" t="str">
        <f t="shared" si="111"/>
        <v>Pressure Testing Machine, Other Testing Equipment, HST Group, technical equipment, DIWAN</v>
      </c>
      <c r="Z503" s="54" t="s">
        <v>2297</v>
      </c>
      <c r="AA503" s="55">
        <v>46257</v>
      </c>
      <c r="AB503" s="54" t="s">
        <v>2465</v>
      </c>
      <c r="AC503" s="63" t="str">
        <f t="shared" si="112"/>
        <v>Content drafted - assets/specs pending</v>
      </c>
      <c r="AD503"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3" s="58"/>
      <c r="AF503" s="58"/>
      <c r="AG503" s="58" t="s">
        <v>2467</v>
      </c>
      <c r="AH503" s="58" t="s">
        <v>2468</v>
      </c>
      <c r="AI503" s="58" t="s">
        <v>2469</v>
      </c>
    </row>
    <row r="504" spans="1:35" ht="42" customHeight="1" x14ac:dyDescent="0.35">
      <c r="A504" s="69">
        <f t="shared" si="103"/>
        <v>78</v>
      </c>
      <c r="B504" s="70" t="s">
        <v>568</v>
      </c>
      <c r="C504" s="71" t="s">
        <v>28</v>
      </c>
      <c r="D504" s="72" t="s">
        <v>12</v>
      </c>
      <c r="E504" s="45" t="s">
        <v>576</v>
      </c>
      <c r="F504" s="49" t="s">
        <v>3040</v>
      </c>
      <c r="G504" s="45" t="s">
        <v>3045</v>
      </c>
      <c r="H504" s="47">
        <v>46257</v>
      </c>
      <c r="I504" s="48" t="s">
        <v>2006</v>
      </c>
      <c r="J504" s="48" t="s">
        <v>1301</v>
      </c>
      <c r="K504" s="48" t="str">
        <f t="shared" si="104"/>
        <v>Ring Stiffness Testing Machine is an other testing equipment product from HST Group for application-specific laboratory, engineering or industrial use.</v>
      </c>
      <c r="L504" s="48" t="str">
        <f t="shared" si="105"/>
        <v>Ring Stiffness Testing Machine from HST Group for other testing equipment applications. Review configuration requirements and request technical information or a quotation from DIWAN.</v>
      </c>
      <c r="M504" s="48" t="s">
        <v>2020</v>
      </c>
      <c r="N504" s="61" t="s">
        <v>2672</v>
      </c>
      <c r="O504" s="54" t="str" cm="1">
        <f t="array" ref="O504">_xlfn.LET(_xlpm.n,LOWER(E504),_xlpm.c,LOWER(B504),_xlpm.t,_xlfn.IFS(OR(ISNUMBER(SEARCH("lens",_xlpm.n)),ISNUMBER(SEARCH("optic",_xlpm.n)),ISNUMBER(SEARCH("polarizer",_xlpm.n))),"precision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"),E504&amp;" is "&amp;_xlpm.art&amp;_xlpm.t&amp;" from "&amp;C504&amp;" designed for application-specific laboratory, engineering or industrial use. It belongs to DIWAN's "&amp;B504&amp;" portfolio; final configuration must be selected against performance, integration and compliance requirements.")</f>
        <v>Ring Stiffness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4" s="54" t="str">
        <f t="shared" si="106"/>
        <v>Selection should confirm the model-specific operating range, capacity, accuracy, interfaces, utilities, accessories, standards, environmental limits and service requirements. Final capabilities depend on the approved Ring Stiffness Testing Machine configuration.</v>
      </c>
      <c r="Q504" s="54"/>
      <c r="R504" s="54" t="str">
        <f t="shared" si="107"/>
        <v>Other Testing Equipment applications; laboratory research, engineering development, quality control and industrial deployment where applicable. Suitability must be confirmed against the user's sample, process, environment and required standards.</v>
      </c>
      <c r="S504" s="54"/>
      <c r="T504" s="54" t="str">
        <f t="shared" si="108"/>
        <v>Ring Stiffness Testing Machine from HST Group</v>
      </c>
      <c r="U504" s="54"/>
      <c r="V504" s="54" t="s">
        <v>2673</v>
      </c>
      <c r="W504" s="54" t="str">
        <f t="shared" si="109"/>
        <v>See other Other Testing Equipment products</v>
      </c>
      <c r="X504" s="54" t="str">
        <f t="shared" si="110"/>
        <v>Other Testing Equipment enquiry → website group enquiry form → category owner assignment</v>
      </c>
      <c r="Y504" s="54" t="str">
        <f t="shared" si="111"/>
        <v>Ring Stiffness Testing Machine, Other Testing Equipment, HST Group, technical equipment, DIWAN</v>
      </c>
      <c r="Z504" s="54" t="s">
        <v>2297</v>
      </c>
      <c r="AA504" s="55">
        <v>46257</v>
      </c>
      <c r="AB504" s="54" t="s">
        <v>2465</v>
      </c>
      <c r="AC504" s="63" t="str">
        <f t="shared" si="112"/>
        <v>Content drafted - assets/specs pending</v>
      </c>
      <c r="AD504"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4" s="58"/>
      <c r="AF504" s="58"/>
      <c r="AG504" s="58" t="s">
        <v>2467</v>
      </c>
      <c r="AH504" s="58" t="s">
        <v>2468</v>
      </c>
      <c r="AI504" s="58" t="s">
        <v>2469</v>
      </c>
    </row>
    <row r="505" spans="1:35" ht="42" customHeight="1" x14ac:dyDescent="0.35">
      <c r="A505" s="69">
        <f t="shared" si="103"/>
        <v>78</v>
      </c>
      <c r="B505" s="70" t="s">
        <v>568</v>
      </c>
      <c r="C505" s="71" t="s">
        <v>28</v>
      </c>
      <c r="D505" s="72" t="s">
        <v>12</v>
      </c>
      <c r="E505" s="45" t="s">
        <v>577</v>
      </c>
      <c r="F505" s="49" t="s">
        <v>3040</v>
      </c>
      <c r="G505" s="45" t="s">
        <v>3045</v>
      </c>
      <c r="H505" s="47">
        <v>46257</v>
      </c>
      <c r="I505" s="48" t="s">
        <v>2007</v>
      </c>
      <c r="J505" s="48" t="s">
        <v>1302</v>
      </c>
      <c r="K505" s="48" t="str">
        <f t="shared" si="104"/>
        <v>Manhole Cover Compression Tester is an other testing equipment product from HST Group for application-specific laboratory, engineering or industrial use.</v>
      </c>
      <c r="L505" s="48" t="str">
        <f t="shared" si="105"/>
        <v>Manhole Cover Compression Tester from HST Group for other testing equipment applications. Review configuration requirements and request technical information or a quotation from DIWAN.</v>
      </c>
      <c r="M505" s="48" t="s">
        <v>2020</v>
      </c>
      <c r="N505" s="61" t="s">
        <v>2672</v>
      </c>
      <c r="O505" s="54" t="str" cm="1">
        <f t="array" ref="O505">_xlfn.LET(_xlpm.n,LOWER(E505),_xlpm.c,LOWER(B505),_xlpm.t,_xlfn.IFS(OR(ISNUMBER(SEARCH("lens",_xlpm.n)),ISNUMBER(SEARCH("optic",_xlpm.n)),ISNUMBER(SEARCH("polarizer",_xlpm.n))),"precision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"),E505&amp;" is "&amp;_xlpm.art&amp;_xlpm.t&amp;" from "&amp;C505&amp;" designed for application-specific laboratory, engineering or industrial use. It belongs to DIWAN's "&amp;B505&amp;" portfolio; final configuration must be selected against performance, integration and compliance requirements.")</f>
        <v>Manhole Cover Compression Tester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5" s="54" t="str">
        <f t="shared" si="106"/>
        <v>Selection should confirm the model-specific operating range, capacity, accuracy, interfaces, utilities, accessories, standards, environmental limits and service requirements. Final capabilities depend on the approved Manhole Cover Compression Tester configuration.</v>
      </c>
      <c r="Q505" s="54"/>
      <c r="R505" s="54" t="str">
        <f t="shared" si="107"/>
        <v>Other Testing Equipment applications; laboratory research, engineering development, quality control and industrial deployment where applicable. Suitability must be confirmed against the user's sample, process, environment and required standards.</v>
      </c>
      <c r="S505" s="54"/>
      <c r="T505" s="54" t="str">
        <f t="shared" si="108"/>
        <v>Manhole Cover Compression Tester from HST Group</v>
      </c>
      <c r="U505" s="54"/>
      <c r="V505" s="54" t="s">
        <v>2673</v>
      </c>
      <c r="W505" s="54" t="str">
        <f t="shared" si="109"/>
        <v>See other Other Testing Equipment products</v>
      </c>
      <c r="X505" s="54" t="str">
        <f t="shared" si="110"/>
        <v>Other Testing Equipment enquiry → website group enquiry form → category owner assignment</v>
      </c>
      <c r="Y505" s="54" t="str">
        <f t="shared" si="111"/>
        <v>Manhole Cover Compression Tester, Other Testing Equipment, HST Group, technical equipment, DIWAN</v>
      </c>
      <c r="Z505" s="54" t="s">
        <v>2297</v>
      </c>
      <c r="AA505" s="55">
        <v>46257</v>
      </c>
      <c r="AB505" s="54" t="s">
        <v>2465</v>
      </c>
      <c r="AC505" s="63" t="str">
        <f t="shared" si="112"/>
        <v>Content drafted - assets/specs pending</v>
      </c>
      <c r="AD505"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5" s="58"/>
      <c r="AF505" s="58"/>
      <c r="AG505" s="58" t="s">
        <v>2467</v>
      </c>
      <c r="AH505" s="58" t="s">
        <v>2468</v>
      </c>
      <c r="AI505" s="58" t="s">
        <v>2469</v>
      </c>
    </row>
    <row r="506" spans="1:35" ht="42" customHeight="1" x14ac:dyDescent="0.35">
      <c r="A506" s="69">
        <f t="shared" si="103"/>
        <v>78</v>
      </c>
      <c r="B506" s="70" t="s">
        <v>568</v>
      </c>
      <c r="C506" s="71" t="s">
        <v>28</v>
      </c>
      <c r="D506" s="72" t="s">
        <v>12</v>
      </c>
      <c r="E506" s="45" t="s">
        <v>578</v>
      </c>
      <c r="F506" s="49" t="s">
        <v>3040</v>
      </c>
      <c r="G506" s="45" t="s">
        <v>3045</v>
      </c>
      <c r="H506" s="47">
        <v>46257</v>
      </c>
      <c r="I506" s="48" t="s">
        <v>2008</v>
      </c>
      <c r="J506" s="48" t="s">
        <v>1303</v>
      </c>
      <c r="K506" s="48" t="str">
        <f t="shared" si="104"/>
        <v>Pull Out Testing Machine is an other testing equipment product from HST Group for application-specific laboratory, engineering or industrial use.</v>
      </c>
      <c r="L506" s="48" t="str">
        <f t="shared" si="105"/>
        <v>Pull Out Testing Machine from HST Group for other testing equipment applications. Review configuration requirements and request technical information or a quotation from DIWAN.</v>
      </c>
      <c r="M506" s="48" t="s">
        <v>2020</v>
      </c>
      <c r="N506" s="61" t="s">
        <v>2672</v>
      </c>
      <c r="O506" s="54" t="str" cm="1">
        <f t="array" ref="O506">_xlfn.LET(_xlpm.n,LOWER(E506),_xlpm.c,LOWER(B506),_xlpm.t,_xlfn.IFS(OR(ISNUMBER(SEARCH("lens",_xlpm.n)),ISNUMBER(SEARCH("optic",_xlpm.n)),ISNUMBER(SEARCH("polarizer",_xlpm.n))),"precision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"),E506&amp;" is "&amp;_xlpm.art&amp;_xlpm.t&amp;" from "&amp;C506&amp;" designed for application-specific laboratory, engineering or industrial use. It belongs to DIWAN's "&amp;B506&amp;" portfolio; final configuration must be selected against performance, integration and compliance requirements.")</f>
        <v>Pull Out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6" s="54" t="str">
        <f t="shared" si="106"/>
        <v>Selection should confirm the model-specific operating range, capacity, accuracy, interfaces, utilities, accessories, standards, environmental limits and service requirements. Final capabilities depend on the approved Pull Out Testing Machine configuration.</v>
      </c>
      <c r="Q506" s="54"/>
      <c r="R506" s="54" t="str">
        <f t="shared" si="107"/>
        <v>Other Testing Equipment applications; laboratory research, engineering development, quality control and industrial deployment where applicable. Suitability must be confirmed against the user's sample, process, environment and required standards.</v>
      </c>
      <c r="S506" s="54"/>
      <c r="T506" s="54" t="str">
        <f t="shared" si="108"/>
        <v>Pull Out Testing Machine from HST Group</v>
      </c>
      <c r="U506" s="54"/>
      <c r="V506" s="54" t="s">
        <v>2673</v>
      </c>
      <c r="W506" s="54" t="str">
        <f t="shared" si="109"/>
        <v>See other Other Testing Equipment products</v>
      </c>
      <c r="X506" s="54" t="str">
        <f t="shared" si="110"/>
        <v>Other Testing Equipment enquiry → website group enquiry form → category owner assignment</v>
      </c>
      <c r="Y506" s="54" t="str">
        <f t="shared" si="111"/>
        <v>Pull Out Testing Machine, Other Testing Equipment, HST Group, technical equipment, DIWAN</v>
      </c>
      <c r="Z506" s="54" t="s">
        <v>2297</v>
      </c>
      <c r="AA506" s="55">
        <v>46257</v>
      </c>
      <c r="AB506" s="54" t="s">
        <v>2465</v>
      </c>
      <c r="AC506" s="63" t="str">
        <f t="shared" si="112"/>
        <v>Content drafted - assets/specs pending</v>
      </c>
      <c r="AD506"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6" s="58"/>
      <c r="AF506" s="58"/>
      <c r="AG506" s="58" t="s">
        <v>2467</v>
      </c>
      <c r="AH506" s="58" t="s">
        <v>2468</v>
      </c>
      <c r="AI506" s="58" t="s">
        <v>2469</v>
      </c>
    </row>
    <row r="507" spans="1:35" ht="42" customHeight="1" x14ac:dyDescent="0.35">
      <c r="A507" s="69">
        <f t="shared" si="103"/>
        <v>78</v>
      </c>
      <c r="B507" s="70" t="s">
        <v>568</v>
      </c>
      <c r="C507" s="71" t="s">
        <v>28</v>
      </c>
      <c r="D507" s="72" t="s">
        <v>12</v>
      </c>
      <c r="E507" s="45" t="s">
        <v>579</v>
      </c>
      <c r="F507" s="49" t="s">
        <v>3040</v>
      </c>
      <c r="G507" s="45" t="s">
        <v>3045</v>
      </c>
      <c r="H507" s="47">
        <v>46257</v>
      </c>
      <c r="I507" s="48" t="s">
        <v>2009</v>
      </c>
      <c r="J507" s="48" t="s">
        <v>1304</v>
      </c>
      <c r="K507" s="48" t="str">
        <f t="shared" si="104"/>
        <v>Steel Pipe Scaffold Testing Machine is an other testing equipment product from HST Group for application-specific laboratory, engineering or industrial use.</v>
      </c>
      <c r="L507" s="48" t="str">
        <f t="shared" si="105"/>
        <v>Steel Pipe Scaffold Testing Machine from HST Group for other testing equipment applications. Review configuration requirements and request technical information or a quotation from DIWAN.</v>
      </c>
      <c r="M507" s="48" t="s">
        <v>2020</v>
      </c>
      <c r="N507" s="61" t="s">
        <v>2672</v>
      </c>
      <c r="O507" s="54" t="str" cm="1">
        <f t="array" ref="O507">_xlfn.LET(_xlpm.n,LOWER(E507),_xlpm.c,LOWER(B507),_xlpm.t,_xlfn.IFS(OR(ISNUMBER(SEARCH("lens",_xlpm.n)),ISNUMBER(SEARCH("optic",_xlpm.n)),ISNUMBER(SEARCH("polarizer",_xlpm.n))),"precision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"),E507&amp;" is "&amp;_xlpm.art&amp;_xlpm.t&amp;" from "&amp;C507&amp;" designed for application-specific laboratory, engineering or industrial use. It belongs to DIWAN's "&amp;B507&amp;" portfolio; final configuration must be selected against performance, integration and compliance requirements.")</f>
        <v>Steel Pipe Scaffold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7" s="54" t="str">
        <f t="shared" si="106"/>
        <v>Selection should confirm the model-specific operating range, capacity, accuracy, interfaces, utilities, accessories, standards, environmental limits and service requirements. Final capabilities depend on the approved Steel Pipe Scaffold Testing Machine configuration.</v>
      </c>
      <c r="Q507" s="54"/>
      <c r="R507" s="54" t="str">
        <f t="shared" si="107"/>
        <v>Other Testing Equipment applications; laboratory research, engineering development, quality control and industrial deployment where applicable. Suitability must be confirmed against the user's sample, process, environment and required standards.</v>
      </c>
      <c r="S507" s="54"/>
      <c r="T507" s="54" t="str">
        <f t="shared" si="108"/>
        <v>Steel Pipe Scaffold Testing Machine from HST Group</v>
      </c>
      <c r="U507" s="54"/>
      <c r="V507" s="54" t="s">
        <v>2673</v>
      </c>
      <c r="W507" s="54" t="str">
        <f t="shared" si="109"/>
        <v>See other Other Testing Equipment products</v>
      </c>
      <c r="X507" s="54" t="str">
        <f t="shared" si="110"/>
        <v>Other Testing Equipment enquiry → website group enquiry form → category owner assignment</v>
      </c>
      <c r="Y507" s="54" t="str">
        <f t="shared" si="111"/>
        <v>Steel Pipe Scaffold Testing Machine, Other Testing Equipment, HST Group, technical equipment, DIWAN</v>
      </c>
      <c r="Z507" s="54" t="s">
        <v>2297</v>
      </c>
      <c r="AA507" s="55">
        <v>46257</v>
      </c>
      <c r="AB507" s="54" t="s">
        <v>2465</v>
      </c>
      <c r="AC507" s="63" t="str">
        <f t="shared" si="112"/>
        <v>Content drafted - assets/specs pending</v>
      </c>
      <c r="AD507"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7" s="58"/>
      <c r="AF507" s="58"/>
      <c r="AG507" s="58" t="s">
        <v>2467</v>
      </c>
      <c r="AH507" s="58" t="s">
        <v>2468</v>
      </c>
      <c r="AI507" s="58" t="s">
        <v>2469</v>
      </c>
    </row>
    <row r="508" spans="1:35" ht="42" customHeight="1" x14ac:dyDescent="0.35">
      <c r="A508" s="69">
        <f t="shared" si="103"/>
        <v>78</v>
      </c>
      <c r="B508" s="70" t="s">
        <v>568</v>
      </c>
      <c r="C508" s="71" t="s">
        <v>28</v>
      </c>
      <c r="D508" s="72" t="s">
        <v>12</v>
      </c>
      <c r="E508" s="45" t="s">
        <v>580</v>
      </c>
      <c r="F508" s="49" t="s">
        <v>3040</v>
      </c>
      <c r="G508" s="45" t="s">
        <v>3045</v>
      </c>
      <c r="H508" s="47">
        <v>46257</v>
      </c>
      <c r="I508" s="48" t="s">
        <v>2010</v>
      </c>
      <c r="J508" s="48" t="s">
        <v>1305</v>
      </c>
      <c r="K508" s="48" t="str">
        <f t="shared" si="104"/>
        <v>Fuel Injection Pump Test Bench is an other testing equipment product from HST Group for application-specific laboratory, engineering or industrial use.</v>
      </c>
      <c r="L508" s="48" t="str">
        <f t="shared" si="105"/>
        <v>Fuel Injection Pump Test Bench from HST Group for other testing equipment applications. Review configuration requirements and request technical information or a quotation from DIWAN.</v>
      </c>
      <c r="M508" s="48" t="s">
        <v>2020</v>
      </c>
      <c r="N508" s="61" t="s">
        <v>2672</v>
      </c>
      <c r="O508" s="54" t="str" cm="1">
        <f t="array" ref="O508">_xlfn.LET(_xlpm.n,LOWER(E508),_xlpm.c,LOWER(B508),_xlpm.t,_xlfn.IFS(OR(ISNUMBER(SEARCH("lens",_xlpm.n)),ISNUMBER(SEARCH("optic",_xlpm.n)),ISNUMBER(SEARCH("polarizer",_xlpm.n))),"precision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"),E508&amp;" is "&amp;_xlpm.art&amp;_xlpm.t&amp;" from "&amp;C508&amp;" designed for application-specific laboratory, engineering or industrial use. It belongs to DIWAN's "&amp;B508&amp;" portfolio; final configuration must be selected against performance, integration and compliance requirements.")</f>
        <v>Fuel Injection Pump Test Bench is a precision fluid-delivery system from HST Group designed for application-specific laboratory, engineering or industrial use. It belongs to DIWAN's Other Testing Equipment portfolio; final configuration must be selected against performance, integration and compliance requirements.</v>
      </c>
      <c r="P508" s="54" t="str">
        <f t="shared" si="106"/>
        <v>Selection should confirm the model-specific operating range, capacity, accuracy, interfaces, utilities, accessories, standards, environmental limits and service requirements. Final capabilities depend on the approved Fuel Injection Pump Test Bench configuration.</v>
      </c>
      <c r="Q508" s="54"/>
      <c r="R508" s="54" t="str">
        <f t="shared" si="107"/>
        <v>Other Testing Equipment applications; laboratory research, engineering development, quality control and industrial deployment where applicable. Suitability must be confirmed against the user's sample, process, environment and required standards.</v>
      </c>
      <c r="S508" s="54"/>
      <c r="T508" s="54" t="str">
        <f t="shared" si="108"/>
        <v>Fuel Injection Pump Test Bench from HST Group</v>
      </c>
      <c r="U508" s="54"/>
      <c r="V508" s="54" t="s">
        <v>2673</v>
      </c>
      <c r="W508" s="54" t="str">
        <f t="shared" si="109"/>
        <v>See other Other Testing Equipment products</v>
      </c>
      <c r="X508" s="54" t="str">
        <f t="shared" si="110"/>
        <v>Other Testing Equipment enquiry → website group enquiry form → category owner assignment</v>
      </c>
      <c r="Y508" s="54" t="str">
        <f t="shared" si="111"/>
        <v>Fuel Injection Pump Test Bench, Other Testing Equipment, HST Group, technical equipment, DIWAN</v>
      </c>
      <c r="Z508" s="54" t="s">
        <v>2297</v>
      </c>
      <c r="AA508" s="55">
        <v>46257</v>
      </c>
      <c r="AB508" s="54" t="s">
        <v>2465</v>
      </c>
      <c r="AC508" s="63" t="str">
        <f t="shared" si="112"/>
        <v>Content drafted - assets/specs pending</v>
      </c>
      <c r="AD508"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8" s="58"/>
      <c r="AF508" s="58"/>
      <c r="AG508" s="58" t="s">
        <v>2467</v>
      </c>
      <c r="AH508" s="58" t="s">
        <v>2468</v>
      </c>
      <c r="AI508" s="58" t="s">
        <v>2469</v>
      </c>
    </row>
    <row r="509" spans="1:35" ht="42" customHeight="1" x14ac:dyDescent="0.35">
      <c r="A509" s="69">
        <f t="shared" si="103"/>
        <v>78</v>
      </c>
      <c r="B509" s="70" t="s">
        <v>568</v>
      </c>
      <c r="C509" s="71" t="s">
        <v>28</v>
      </c>
      <c r="D509" s="72" t="s">
        <v>12</v>
      </c>
      <c r="E509" s="45" t="s">
        <v>581</v>
      </c>
      <c r="F509" s="49" t="s">
        <v>3040</v>
      </c>
      <c r="G509" s="45" t="s">
        <v>3045</v>
      </c>
      <c r="H509" s="47">
        <v>46257</v>
      </c>
      <c r="I509" s="48" t="s">
        <v>2011</v>
      </c>
      <c r="J509" s="48" t="s">
        <v>1306</v>
      </c>
      <c r="K509" s="48" t="str">
        <f t="shared" si="104"/>
        <v>Bearing Testing Machine is an other testing equipment product from HST Group for application-specific laboratory, engineering or industrial use.</v>
      </c>
      <c r="L509" s="48" t="str">
        <f t="shared" si="105"/>
        <v>Bearing Testing Machine from HST Group for other testing equipment applications. Review configuration requirements and request technical information or a quotation from DIWAN.</v>
      </c>
      <c r="M509" s="48" t="s">
        <v>2020</v>
      </c>
      <c r="N509" s="61" t="s">
        <v>2672</v>
      </c>
      <c r="O509" s="54" t="str" cm="1">
        <f t="array" ref="O509">_xlfn.LET(_xlpm.n,LOWER(E509),_xlpm.c,LOWER(B509),_xlpm.t,_xlfn.IFS(OR(ISNUMBER(SEARCH("lens",_xlpm.n)),ISNUMBER(SEARCH("optic",_xlpm.n)),ISNUMBER(SEARCH("polarizer",_xlpm.n))),"precision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"),E509&amp;" is "&amp;_xlpm.art&amp;_xlpm.t&amp;" from "&amp;C509&amp;" designed for application-specific laboratory, engineering or industrial use. It belongs to DIWAN's "&amp;B509&amp;" portfolio; final configuration must be selected against performance, integration and compliance requirements.")</f>
        <v>Bearing Testing Machine is a materials or component testing system from HST Group designed for application-specific laboratory, engineering or industrial use. It belongs to DIWAN's Other Testing Equipment portfolio; final configuration must be selected against performance, integration and compliance requirements.</v>
      </c>
      <c r="P509" s="54" t="str">
        <f t="shared" si="106"/>
        <v>Selection should confirm the model-specific operating range, capacity, accuracy, interfaces, utilities, accessories, standards, environmental limits and service requirements. Final capabilities depend on the approved Bearing Testing Machine configuration.</v>
      </c>
      <c r="Q509" s="54"/>
      <c r="R509" s="54" t="str">
        <f t="shared" si="107"/>
        <v>Other Testing Equipment applications; laboratory research, engineering development, quality control and industrial deployment where applicable. Suitability must be confirmed against the user's sample, process, environment and required standards.</v>
      </c>
      <c r="S509" s="54"/>
      <c r="T509" s="54" t="str">
        <f t="shared" si="108"/>
        <v>Bearing Testing Machine from HST Group</v>
      </c>
      <c r="U509" s="54"/>
      <c r="V509" s="54" t="s">
        <v>2673</v>
      </c>
      <c r="W509" s="54" t="str">
        <f t="shared" si="109"/>
        <v>See other Other Testing Equipment products</v>
      </c>
      <c r="X509" s="54" t="str">
        <f t="shared" si="110"/>
        <v>Other Testing Equipment enquiry → website group enquiry form → category owner assignment</v>
      </c>
      <c r="Y509" s="54" t="str">
        <f t="shared" si="111"/>
        <v>Bearing Testing Machine, Other Testing Equipment, HST Group, technical equipment, DIWAN</v>
      </c>
      <c r="Z509" s="54" t="s">
        <v>2297</v>
      </c>
      <c r="AA509" s="55">
        <v>46257</v>
      </c>
      <c r="AB509" s="54" t="s">
        <v>2465</v>
      </c>
      <c r="AC509" s="63" t="str">
        <f t="shared" si="112"/>
        <v>Content drafted - assets/specs pending</v>
      </c>
      <c r="AD509"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09" s="58"/>
      <c r="AF509" s="58"/>
      <c r="AG509" s="58" t="s">
        <v>2467</v>
      </c>
      <c r="AH509" s="58" t="s">
        <v>2468</v>
      </c>
      <c r="AI509" s="58" t="s">
        <v>2469</v>
      </c>
    </row>
    <row r="510" spans="1:35" ht="42" customHeight="1" x14ac:dyDescent="0.35">
      <c r="A510" s="69">
        <f t="shared" si="103"/>
        <v>78</v>
      </c>
      <c r="B510" s="70" t="s">
        <v>568</v>
      </c>
      <c r="C510" s="71" t="s">
        <v>28</v>
      </c>
      <c r="D510" s="72" t="s">
        <v>12</v>
      </c>
      <c r="E510" s="45" t="s">
        <v>582</v>
      </c>
      <c r="F510" s="49" t="s">
        <v>3040</v>
      </c>
      <c r="G510" s="45" t="s">
        <v>3045</v>
      </c>
      <c r="H510" s="47">
        <v>46257</v>
      </c>
      <c r="I510" s="48" t="s">
        <v>2012</v>
      </c>
      <c r="J510" s="48" t="s">
        <v>1307</v>
      </c>
      <c r="K510" s="48" t="str">
        <f t="shared" si="104"/>
        <v>High Voltage Cable Air Cooling High Frequency Test is an other testing equipment product from HST Group for application-specific laboratory, engineering or industrial use.</v>
      </c>
      <c r="L510" s="48" t="str">
        <f t="shared" si="105"/>
        <v>High Voltage Cable Air Cooling High Frequency Test from HST Group for other testing equipment applications. Review configuration requirements and request technical information or a quotation from DIWAN.</v>
      </c>
      <c r="M510" s="48" t="s">
        <v>2020</v>
      </c>
      <c r="N510" s="61" t="s">
        <v>2672</v>
      </c>
      <c r="O510" s="54" t="str" cm="1">
        <f t="array" ref="O510">_xlfn.LET(_xlpm.n,LOWER(E510),_xlpm.c,LOWER(B510),_xlpm.t,_xlfn.IFS(OR(ISNUMBER(SEARCH("lens",_xlpm.n)),ISNUMBER(SEARCH("optic",_xlpm.n)),ISNUMBER(SEARCH("polarizer",_xlpm.n))),"precision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"),E510&amp;" is "&amp;_xlpm.art&amp;_xlpm.t&amp;" from "&amp;C510&amp;" designed for application-specific laboratory, engineering or industrial use. It belongs to DIWAN's "&amp;B510&amp;" portfolio; final configuration must be selected against performance, integration and compliance requirements.")</f>
        <v>High Voltage Cable Air Cooling High Frequency Test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0" s="54" t="str">
        <f t="shared" si="106"/>
        <v>Selection should confirm the model-specific operating range, capacity, accuracy, interfaces, utilities, accessories, standards, environmental limits and service requirements. Final capabilities depend on the approved High Voltage Cable Air Cooling High Frequency Test configuration.</v>
      </c>
      <c r="Q510" s="54"/>
      <c r="R510" s="54" t="str">
        <f t="shared" si="107"/>
        <v>Other Testing Equipment applications; laboratory research, engineering development, quality control and industrial deployment where applicable. Suitability must be confirmed against the user's sample, process, environment and required standards.</v>
      </c>
      <c r="S510" s="54"/>
      <c r="T510" s="54" t="str">
        <f t="shared" si="108"/>
        <v>High Voltage Cable Air Cooling High Frequency Test from HST Group</v>
      </c>
      <c r="U510" s="54"/>
      <c r="V510" s="54" t="s">
        <v>2673</v>
      </c>
      <c r="W510" s="54" t="str">
        <f t="shared" si="109"/>
        <v>See other Other Testing Equipment products</v>
      </c>
      <c r="X510" s="54" t="str">
        <f t="shared" si="110"/>
        <v>Other Testing Equipment enquiry → website group enquiry form → category owner assignment</v>
      </c>
      <c r="Y510" s="54" t="str">
        <f t="shared" si="111"/>
        <v>High Voltage Cable Air Cooling High Frequency Test, Other Testing Equipment, HST Group, technical equipment, DIWAN</v>
      </c>
      <c r="Z510" s="54" t="s">
        <v>2297</v>
      </c>
      <c r="AA510" s="55">
        <v>46257</v>
      </c>
      <c r="AB510" s="54" t="s">
        <v>2465</v>
      </c>
      <c r="AC510" s="63" t="str">
        <f t="shared" si="112"/>
        <v>Content drafted - assets/specs pending</v>
      </c>
      <c r="AD510"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0" s="58"/>
      <c r="AF510" s="58"/>
      <c r="AG510" s="58" t="s">
        <v>2467</v>
      </c>
      <c r="AH510" s="58" t="s">
        <v>2468</v>
      </c>
      <c r="AI510" s="58" t="s">
        <v>2469</v>
      </c>
    </row>
    <row r="511" spans="1:35" ht="42" customHeight="1" x14ac:dyDescent="0.35">
      <c r="A511" s="69">
        <f t="shared" si="103"/>
        <v>78</v>
      </c>
      <c r="B511" s="70" t="s">
        <v>568</v>
      </c>
      <c r="C511" s="71" t="s">
        <v>28</v>
      </c>
      <c r="D511" s="72" t="s">
        <v>12</v>
      </c>
      <c r="E511" s="45" t="s">
        <v>583</v>
      </c>
      <c r="F511" s="49" t="s">
        <v>3040</v>
      </c>
      <c r="G511" s="45" t="s">
        <v>3045</v>
      </c>
      <c r="H511" s="47">
        <v>46257</v>
      </c>
      <c r="I511" s="48" t="s">
        <v>2013</v>
      </c>
      <c r="J511" s="48" t="s">
        <v>1308</v>
      </c>
      <c r="K511" s="48" t="str">
        <f t="shared" si="104"/>
        <v>High Voltage Cable Water Cooling Resonance Test is an other testing equipment product from HST Group for application-specific laboratory, engineering or industrial use.</v>
      </c>
      <c r="L511" s="48" t="str">
        <f t="shared" si="105"/>
        <v>High Voltage Cable Water Cooling Resonance Test from HST Group for other testing equipment applications. Review configuration requirements and request technical information or a quotation from DIWAN.</v>
      </c>
      <c r="M511" s="48" t="s">
        <v>2020</v>
      </c>
      <c r="N511" s="61" t="s">
        <v>2672</v>
      </c>
      <c r="O511" s="54" t="str" cm="1">
        <f t="array" ref="O511">_xlfn.LET(_xlpm.n,LOWER(E511),_xlpm.c,LOWER(B511),_xlpm.t,_xlfn.IFS(OR(ISNUMBER(SEARCH("lens",_xlpm.n)),ISNUMBER(SEARCH("optic",_xlpm.n)),ISNUMBER(SEARCH("polarizer",_xlpm.n))),"precision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"),E511&amp;" is "&amp;_xlpm.art&amp;_xlpm.t&amp;" from "&amp;C511&amp;" designed for application-specific laboratory, engineering or industrial use. It belongs to DIWAN's "&amp;B511&amp;" portfolio; final configuration must be selected against performance, integration and compliance requirements.")</f>
        <v>High Voltage Cable Water Cooling Resonance Test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1" s="54" t="str">
        <f t="shared" si="106"/>
        <v>Selection should confirm the model-specific operating range, capacity, accuracy, interfaces, utilities, accessories, standards, environmental limits and service requirements. Final capabilities depend on the approved High Voltage Cable Water Cooling Resonance Test configuration.</v>
      </c>
      <c r="Q511" s="54"/>
      <c r="R511" s="54" t="str">
        <f t="shared" si="107"/>
        <v>Other Testing Equipment applications; laboratory research, engineering development, quality control and industrial deployment where applicable. Suitability must be confirmed against the user's sample, process, environment and required standards.</v>
      </c>
      <c r="S511" s="54"/>
      <c r="T511" s="54" t="str">
        <f t="shared" si="108"/>
        <v>High Voltage Cable Water Cooling Resonance Test from HST Group</v>
      </c>
      <c r="U511" s="54"/>
      <c r="V511" s="54" t="s">
        <v>2673</v>
      </c>
      <c r="W511" s="54" t="str">
        <f t="shared" si="109"/>
        <v>See other Other Testing Equipment products</v>
      </c>
      <c r="X511" s="54" t="str">
        <f t="shared" si="110"/>
        <v>Other Testing Equipment enquiry → website group enquiry form → category owner assignment</v>
      </c>
      <c r="Y511" s="54" t="str">
        <f t="shared" si="111"/>
        <v>High Voltage Cable Water Cooling Resonance Test, Other Testing Equipment, HST Group, technical equipment, DIWAN</v>
      </c>
      <c r="Z511" s="54" t="s">
        <v>2297</v>
      </c>
      <c r="AA511" s="55">
        <v>46257</v>
      </c>
      <c r="AB511" s="54" t="s">
        <v>2465</v>
      </c>
      <c r="AC511" s="63" t="str">
        <f t="shared" si="112"/>
        <v>Content drafted - assets/specs pending</v>
      </c>
      <c r="AD511"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1" s="58"/>
      <c r="AF511" s="58"/>
      <c r="AG511" s="58" t="s">
        <v>2467</v>
      </c>
      <c r="AH511" s="58" t="s">
        <v>2468</v>
      </c>
      <c r="AI511" s="58" t="s">
        <v>2469</v>
      </c>
    </row>
    <row r="512" spans="1:35" ht="42" customHeight="1" x14ac:dyDescent="0.35">
      <c r="A512" s="69">
        <f t="shared" si="103"/>
        <v>78</v>
      </c>
      <c r="B512" s="70" t="s">
        <v>568</v>
      </c>
      <c r="C512" s="71" t="s">
        <v>28</v>
      </c>
      <c r="D512" s="72" t="s">
        <v>12</v>
      </c>
      <c r="E512" s="45" t="s">
        <v>584</v>
      </c>
      <c r="F512" s="49" t="s">
        <v>3040</v>
      </c>
      <c r="G512" s="45" t="s">
        <v>3045</v>
      </c>
      <c r="H512" s="47">
        <v>46257</v>
      </c>
      <c r="I512" s="48" t="s">
        <v>2014</v>
      </c>
      <c r="J512" s="48" t="s">
        <v>1309</v>
      </c>
      <c r="K512" s="48" t="str">
        <f t="shared" si="104"/>
        <v>Pipe Fittings Cyclic Pressure Test is an other testing equipment product from HST Group for application-specific laboratory, engineering or industrial use.</v>
      </c>
      <c r="L512" s="48" t="str">
        <f t="shared" si="105"/>
        <v>Pipe Fittings Cyclic Pressure Test from HST Group for other testing equipment applications. Review configuration requirements and request technical information or a quotation from DIWAN.</v>
      </c>
      <c r="M512" s="48" t="s">
        <v>2020</v>
      </c>
      <c r="N512" s="61" t="s">
        <v>2672</v>
      </c>
      <c r="O512" s="54" t="str" cm="1">
        <f t="array" ref="O512">_xlfn.LET(_xlpm.n,LOWER(E512),_xlpm.c,LOWER(B512),_xlpm.t,_xlfn.IFS(OR(ISNUMBER(SEARCH("lens",_xlpm.n)),ISNUMBER(SEARCH("optic",_xlpm.n)),ISNUMBER(SEARCH("polarizer",_xlpm.n))),"precision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"),E512&amp;" is "&amp;_xlpm.art&amp;_xlpm.t&amp;" from "&amp;C512&amp;" designed for application-specific laboratory, engineering or industrial use. It belongs to DIWAN's "&amp;B512&amp;" portfolio; final configuration must be selected against performance, integration and compliance requirements.")</f>
        <v>Pipe Fittings Cyclic Pressure Test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2" s="54" t="str">
        <f t="shared" si="106"/>
        <v>Selection should confirm the model-specific operating range, capacity, accuracy, interfaces, utilities, accessories, standards, environmental limits and service requirements. Final capabilities depend on the approved Pipe Fittings Cyclic Pressure Test configuration.</v>
      </c>
      <c r="Q512" s="54"/>
      <c r="R512" s="54" t="str">
        <f t="shared" si="107"/>
        <v>Other Testing Equipment applications; laboratory research, engineering development, quality control and industrial deployment where applicable. Suitability must be confirmed against the user's sample, process, environment and required standards.</v>
      </c>
      <c r="S512" s="54"/>
      <c r="T512" s="54" t="str">
        <f t="shared" si="108"/>
        <v>Pipe Fittings Cyclic Pressure Test from HST Group</v>
      </c>
      <c r="U512" s="54"/>
      <c r="V512" s="54" t="s">
        <v>2673</v>
      </c>
      <c r="W512" s="54" t="str">
        <f t="shared" si="109"/>
        <v>See other Other Testing Equipment products</v>
      </c>
      <c r="X512" s="54" t="str">
        <f t="shared" si="110"/>
        <v>Other Testing Equipment enquiry → website group enquiry form → category owner assignment</v>
      </c>
      <c r="Y512" s="54" t="str">
        <f t="shared" si="111"/>
        <v>Pipe Fittings Cyclic Pressure Test, Other Testing Equipment, HST Group, technical equipment, DIWAN</v>
      </c>
      <c r="Z512" s="54" t="s">
        <v>2297</v>
      </c>
      <c r="AA512" s="55">
        <v>46257</v>
      </c>
      <c r="AB512" s="54" t="s">
        <v>2465</v>
      </c>
      <c r="AC512" s="63" t="str">
        <f t="shared" si="112"/>
        <v>Content drafted - assets/specs pending</v>
      </c>
      <c r="AD512"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2" s="58"/>
      <c r="AF512" s="58"/>
      <c r="AG512" s="58" t="s">
        <v>2467</v>
      </c>
      <c r="AH512" s="58" t="s">
        <v>2468</v>
      </c>
      <c r="AI512" s="58" t="s">
        <v>2469</v>
      </c>
    </row>
    <row r="513" spans="1:35" ht="42" customHeight="1" x14ac:dyDescent="0.35">
      <c r="A513" s="69">
        <f t="shared" si="103"/>
        <v>78</v>
      </c>
      <c r="B513" s="70" t="s">
        <v>568</v>
      </c>
      <c r="C513" s="71" t="s">
        <v>28</v>
      </c>
      <c r="D513" s="72" t="s">
        <v>12</v>
      </c>
      <c r="E513" s="45" t="s">
        <v>585</v>
      </c>
      <c r="F513" s="49" t="s">
        <v>3040</v>
      </c>
      <c r="G513" s="45" t="s">
        <v>3045</v>
      </c>
      <c r="H513" s="47">
        <v>46257</v>
      </c>
      <c r="I513" s="48" t="s">
        <v>2015</v>
      </c>
      <c r="J513" s="48" t="s">
        <v>1310</v>
      </c>
      <c r="K513" s="48" t="str">
        <f t="shared" si="104"/>
        <v>Disk Tube Insulator Mechanical and Electrical Performance Test is an other testing equipment product from HST Group for application-specific laboratory, engineering or industrial use.</v>
      </c>
      <c r="L513" s="48" t="str">
        <f t="shared" si="105"/>
        <v>Disk Tube Insulator Mechanical and Electrical Performance Test from HST Group for other testing equipment applications. Review configuration requirements and request technical information or a quotation from DIWAN.</v>
      </c>
      <c r="M513" s="48" t="s">
        <v>2020</v>
      </c>
      <c r="N513" s="61" t="s">
        <v>2672</v>
      </c>
      <c r="O513" s="54" t="str" cm="1">
        <f t="array" ref="O513">_xlfn.LET(_xlpm.n,LOWER(E513),_xlpm.c,LOWER(B513),_xlpm.t,_xlfn.IFS(OR(ISNUMBER(SEARCH("lens",_xlpm.n)),ISNUMBER(SEARCH("optic",_xlpm.n)),ISNUMBER(SEARCH("polarizer",_xlpm.n))),"precision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"),E513&amp;" is "&amp;_xlpm.art&amp;_xlpm.t&amp;" from "&amp;C513&amp;" designed for application-specific laboratory, engineering or industrial use. It belongs to DIWAN's "&amp;B513&amp;" portfolio; final configuration must be selected against performance, integration and compliance requirements.")</f>
        <v>Disk Tube Insulator Mechanical and Electrical Performance Test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3" s="54" t="str">
        <f t="shared" si="106"/>
        <v>Selection should confirm the model-specific operating range, capacity, accuracy, interfaces, utilities, accessories, standards, environmental limits and service requirements. Final capabilities depend on the approved Disk Tube Insulator Mechanical and Electrical Performance Test configuration.</v>
      </c>
      <c r="Q513" s="54"/>
      <c r="R513" s="54" t="str">
        <f t="shared" si="107"/>
        <v>Other Testing Equipment applications; laboratory research, engineering development, quality control and industrial deployment where applicable. Suitability must be confirmed against the user's sample, process, environment and required standards.</v>
      </c>
      <c r="S513" s="54"/>
      <c r="T513" s="54" t="str">
        <f t="shared" si="108"/>
        <v>Disk Tube Insulator Mechanical and Electrical Performance Test from HST Group</v>
      </c>
      <c r="U513" s="54"/>
      <c r="V513" s="54" t="s">
        <v>2673</v>
      </c>
      <c r="W513" s="54" t="str">
        <f t="shared" si="109"/>
        <v>See other Other Testing Equipment products</v>
      </c>
      <c r="X513" s="54" t="str">
        <f t="shared" si="110"/>
        <v>Other Testing Equipment enquiry → website group enquiry form → category owner assignment</v>
      </c>
      <c r="Y513" s="54" t="str">
        <f t="shared" si="111"/>
        <v>Disk Tube Insulator Mechanical and Electrical Performance Test, Other Testing Equipment, HST Group, technical equipment, DIWAN</v>
      </c>
      <c r="Z513" s="54" t="s">
        <v>2297</v>
      </c>
      <c r="AA513" s="55">
        <v>46257</v>
      </c>
      <c r="AB513" s="54" t="s">
        <v>2465</v>
      </c>
      <c r="AC513" s="63" t="str">
        <f t="shared" si="112"/>
        <v>Content drafted - assets/specs pending</v>
      </c>
      <c r="AD513"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3" s="58"/>
      <c r="AF513" s="58"/>
      <c r="AG513" s="58" t="s">
        <v>2467</v>
      </c>
      <c r="AH513" s="58" t="s">
        <v>2468</v>
      </c>
      <c r="AI513" s="58" t="s">
        <v>2469</v>
      </c>
    </row>
    <row r="514" spans="1:35" ht="42" customHeight="1" x14ac:dyDescent="0.35">
      <c r="A514" s="69">
        <f t="shared" si="103"/>
        <v>78</v>
      </c>
      <c r="B514" s="70" t="s">
        <v>568</v>
      </c>
      <c r="C514" s="71" t="s">
        <v>28</v>
      </c>
      <c r="D514" s="72" t="s">
        <v>12</v>
      </c>
      <c r="E514" s="45" t="s">
        <v>586</v>
      </c>
      <c r="F514" s="49" t="s">
        <v>3040</v>
      </c>
      <c r="G514" s="45" t="s">
        <v>3045</v>
      </c>
      <c r="H514" s="47">
        <v>46257</v>
      </c>
      <c r="I514" s="48" t="s">
        <v>2016</v>
      </c>
      <c r="J514" s="48" t="s">
        <v>1311</v>
      </c>
      <c r="K514" s="48" t="str">
        <f t="shared" si="104"/>
        <v>Automatic Oscillation Impact Test System is an other testing equipment product from HST Group for application-specific laboratory, engineering or industrial use.</v>
      </c>
      <c r="L514" s="48" t="str">
        <f t="shared" si="105"/>
        <v>Automatic Oscillation Impact Test System from HST Group for other testing equipment applications. Review configuration requirements and request technical information or a quotation from DIWAN.</v>
      </c>
      <c r="M514" s="48" t="s">
        <v>2020</v>
      </c>
      <c r="N514" s="61" t="s">
        <v>2672</v>
      </c>
      <c r="O514" s="54" t="str" cm="1">
        <f t="array" ref="O514">_xlfn.LET(_xlpm.n,LOWER(E514),_xlpm.c,LOWER(B514),_xlpm.t,_xlfn.IFS(OR(ISNUMBER(SEARCH("lens",_xlpm.n)),ISNUMBER(SEARCH("optic",_xlpm.n)),ISNUMBER(SEARCH("polarizer",_xlpm.n))),"precision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"),E514&amp;" is "&amp;_xlpm.art&amp;_xlpm.t&amp;" from "&amp;C514&amp;" designed for application-specific laboratory, engineering or industrial use. It belongs to DIWAN's "&amp;B514&amp;" portfolio; final configuration must be selected against performance, integration and compliance requirements.")</f>
        <v>Automatic Oscillation Impact Test System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4" s="54" t="str">
        <f t="shared" si="106"/>
        <v>Selection should confirm the model-specific operating range, capacity, accuracy, interfaces, utilities, accessories, standards, environmental limits and service requirements. Final capabilities depend on the approved Automatic Oscillation Impact Test System configuration.</v>
      </c>
      <c r="Q514" s="54"/>
      <c r="R514" s="54" t="str">
        <f t="shared" si="107"/>
        <v>Other Testing Equipment applications; laboratory research, engineering development, quality control and industrial deployment where applicable. Suitability must be confirmed against the user's sample, process, environment and required standards.</v>
      </c>
      <c r="S514" s="54"/>
      <c r="T514" s="54" t="str">
        <f t="shared" si="108"/>
        <v>Automatic Oscillation Impact Test System from HST Group</v>
      </c>
      <c r="U514" s="54"/>
      <c r="V514" s="54" t="s">
        <v>2673</v>
      </c>
      <c r="W514" s="54" t="str">
        <f t="shared" si="109"/>
        <v>See other Other Testing Equipment products</v>
      </c>
      <c r="X514" s="54" t="str">
        <f t="shared" si="110"/>
        <v>Other Testing Equipment enquiry → website group enquiry form → category owner assignment</v>
      </c>
      <c r="Y514" s="54" t="str">
        <f t="shared" si="111"/>
        <v>Automatic Oscillation Impact Test System, Other Testing Equipment, HST Group, technical equipment, DIWAN</v>
      </c>
      <c r="Z514" s="54" t="s">
        <v>2297</v>
      </c>
      <c r="AA514" s="55">
        <v>46257</v>
      </c>
      <c r="AB514" s="54" t="s">
        <v>2465</v>
      </c>
      <c r="AC514" s="63" t="str">
        <f t="shared" si="112"/>
        <v>Content drafted - assets/specs pending</v>
      </c>
      <c r="AD514"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4" s="58"/>
      <c r="AF514" s="58"/>
      <c r="AG514" s="58" t="s">
        <v>2467</v>
      </c>
      <c r="AH514" s="58" t="s">
        <v>2468</v>
      </c>
      <c r="AI514" s="58" t="s">
        <v>2469</v>
      </c>
    </row>
    <row r="515" spans="1:35" ht="42" customHeight="1" x14ac:dyDescent="0.35">
      <c r="A515" s="69">
        <f t="shared" si="103"/>
        <v>78</v>
      </c>
      <c r="B515" s="70" t="s">
        <v>568</v>
      </c>
      <c r="C515" s="71" t="s">
        <v>28</v>
      </c>
      <c r="D515" s="72" t="s">
        <v>12</v>
      </c>
      <c r="E515" s="45" t="s">
        <v>587</v>
      </c>
      <c r="F515" s="49" t="s">
        <v>3040</v>
      </c>
      <c r="G515" s="45" t="s">
        <v>3045</v>
      </c>
      <c r="H515" s="47">
        <v>46257</v>
      </c>
      <c r="I515" s="48" t="s">
        <v>2017</v>
      </c>
      <c r="J515" s="48" t="s">
        <v>1312</v>
      </c>
      <c r="K515" s="48" t="str">
        <f t="shared" si="104"/>
        <v>Central Control Type Forged Steel Automatic Ultrasonic Testing System is an other testing equipment product from HST Group for application-specific laboratory, engineering or industrial use.</v>
      </c>
      <c r="L515" s="48" t="str">
        <f t="shared" si="105"/>
        <v>Central Control Type Forged Steel Automatic Ultrasonic Testing System from HST Group for other testing equipment applications. Review configuration requirements and request technical information or a quotation from DIWAN.</v>
      </c>
      <c r="M515" s="48" t="s">
        <v>2020</v>
      </c>
      <c r="N515" s="61" t="s">
        <v>2672</v>
      </c>
      <c r="O515" s="54" t="str" cm="1">
        <f t="array" ref="O515">_xlfn.LET(_xlpm.n,LOWER(E515),_xlpm.c,LOWER(B515),_xlpm.t,_xlfn.IFS(OR(ISNUMBER(SEARCH("lens",_xlpm.n)),ISNUMBER(SEARCH("optic",_xlpm.n)),ISNUMBER(SEARCH("polarizer",_xlpm.n))),"precision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"),E515&amp;" is "&amp;_xlpm.art&amp;_xlpm.t&amp;" from "&amp;C515&amp;" designed for application-specific laboratory, engineering or industrial use. It belongs to DIWAN's "&amp;B515&amp;" portfolio; final configuration must be selected against performance, integration and compliance requirements.")</f>
        <v>Central Control Type Forged Steel Automatic Ultrasonic Testing System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5" s="54" t="str">
        <f t="shared" si="106"/>
        <v>Selection should confirm the model-specific operating range, capacity, accuracy, interfaces, utilities, accessories, standards, environmental limits and service requirements. Final capabilities depend on the approved Central Control Type Forged Steel Automatic Ultrasonic Testing System configuration.</v>
      </c>
      <c r="Q515" s="54"/>
      <c r="R515" s="54" t="str">
        <f t="shared" si="107"/>
        <v>Other Testing Equipment applications; laboratory research, engineering development, quality control and industrial deployment where applicable. Suitability must be confirmed against the user's sample, process, environment and required standards.</v>
      </c>
      <c r="S515" s="54"/>
      <c r="T515" s="54" t="str">
        <f t="shared" si="108"/>
        <v>Central Control Type Forged Steel Automatic Ultrasonic Testing System from HST Group</v>
      </c>
      <c r="U515" s="54"/>
      <c r="V515" s="54" t="s">
        <v>2673</v>
      </c>
      <c r="W515" s="54" t="str">
        <f t="shared" si="109"/>
        <v>See other Other Testing Equipment products</v>
      </c>
      <c r="X515" s="54" t="str">
        <f t="shared" si="110"/>
        <v>Other Testing Equipment enquiry → website group enquiry form → category owner assignment</v>
      </c>
      <c r="Y515" s="54" t="str">
        <f t="shared" si="111"/>
        <v>Central Control Type Forged Steel Automatic Ultrasonic Testing System, Other Testing Equipment, HST Group, technical equipment, DIWAN</v>
      </c>
      <c r="Z515" s="54" t="s">
        <v>2297</v>
      </c>
      <c r="AA515" s="55">
        <v>46257</v>
      </c>
      <c r="AB515" s="54" t="s">
        <v>2465</v>
      </c>
      <c r="AC515" s="63" t="str">
        <f t="shared" si="112"/>
        <v>Content drafted - assets/specs pending</v>
      </c>
      <c r="AD515"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5" s="58"/>
      <c r="AF515" s="58"/>
      <c r="AG515" s="58" t="s">
        <v>2467</v>
      </c>
      <c r="AH515" s="58" t="s">
        <v>2468</v>
      </c>
      <c r="AI515" s="58" t="s">
        <v>2469</v>
      </c>
    </row>
    <row r="516" spans="1:35" ht="91" x14ac:dyDescent="0.35">
      <c r="A516" s="69">
        <f t="shared" ref="A516:A525" si="114">IF(B516=B515,A515,A515+1)</f>
        <v>78</v>
      </c>
      <c r="B516" s="70" t="s">
        <v>568</v>
      </c>
      <c r="C516" s="71" t="s">
        <v>28</v>
      </c>
      <c r="D516" s="72" t="s">
        <v>12</v>
      </c>
      <c r="E516" s="45" t="s">
        <v>588</v>
      </c>
      <c r="F516" s="49" t="s">
        <v>3040</v>
      </c>
      <c r="G516" s="45" t="s">
        <v>3045</v>
      </c>
      <c r="H516" s="47">
        <v>46257</v>
      </c>
      <c r="I516" s="48" t="s">
        <v>2018</v>
      </c>
      <c r="J516" s="48" t="s">
        <v>1313</v>
      </c>
      <c r="K516" s="48" t="str">
        <f t="shared" si="104"/>
        <v>Flow Resistance Test System is an other testing equipment product from HST Group for application-specific laboratory, engineering or industrial use.</v>
      </c>
      <c r="L516" s="48" t="str">
        <f t="shared" si="105"/>
        <v>Flow Resistance Test System from HST Group for other testing equipment applications. Review configuration requirements and request technical information or a quotation from DIWAN.</v>
      </c>
      <c r="M516" s="48" t="s">
        <v>2020</v>
      </c>
      <c r="N516" s="61" t="s">
        <v>2672</v>
      </c>
      <c r="O516" s="54" t="str" cm="1">
        <f t="array" ref="O516">_xlfn.LET(_xlpm.n,LOWER(E516),_xlpm.c,LOWER(B516),_xlpm.t,_xlfn.IFS(OR(ISNUMBER(SEARCH("lens",_xlpm.n)),ISNUMBER(SEARCH("optic",_xlpm.n)),ISNUMBER(SEARCH("polarizer",_xlpm.n))),"precision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"),E516&amp;" is "&amp;_xlpm.art&amp;_xlpm.t&amp;" from "&amp;C516&amp;" designed for application-specific laboratory, engineering or industrial use. It belongs to DIWAN's "&amp;B516&amp;" portfolio; final configuration must be selected against performance, integration and compliance requirements.")</f>
        <v>Flow Resistance Test System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6" s="54" t="str">
        <f t="shared" si="106"/>
        <v>Selection should confirm the model-specific operating range, capacity, accuracy, interfaces, utilities, accessories, standards, environmental limits and service requirements. Final capabilities depend on the approved Flow Resistance Test System configuration.</v>
      </c>
      <c r="Q516" s="54"/>
      <c r="R516" s="54" t="str">
        <f t="shared" si="107"/>
        <v>Other Testing Equipment applications; laboratory research, engineering development, quality control and industrial deployment where applicable. Suitability must be confirmed against the user's sample, process, environment and required standards.</v>
      </c>
      <c r="S516" s="54"/>
      <c r="T516" s="54" t="str">
        <f t="shared" si="108"/>
        <v>Flow Resistance Test System from HST Group</v>
      </c>
      <c r="U516" s="54"/>
      <c r="V516" s="54" t="s">
        <v>2673</v>
      </c>
      <c r="W516" s="54" t="str">
        <f t="shared" si="109"/>
        <v>See other Other Testing Equipment products</v>
      </c>
      <c r="X516" s="54" t="str">
        <f t="shared" si="110"/>
        <v>Other Testing Equipment enquiry → website group enquiry form → category owner assignment</v>
      </c>
      <c r="Y516" s="54" t="str">
        <f t="shared" si="111"/>
        <v>Flow Resistance Test System, Other Testing Equipment, HST Group, technical equipment, DIWAN</v>
      </c>
      <c r="Z516" s="54" t="s">
        <v>2297</v>
      </c>
      <c r="AA516" s="55">
        <v>46257</v>
      </c>
      <c r="AB516" s="54" t="s">
        <v>2465</v>
      </c>
      <c r="AC516" s="63" t="str">
        <f t="shared" si="112"/>
        <v>Content drafted - assets/specs pending</v>
      </c>
      <c r="AD516"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6" s="58"/>
      <c r="AF516" s="58"/>
      <c r="AG516" s="58" t="s">
        <v>2467</v>
      </c>
      <c r="AH516" s="58" t="s">
        <v>2468</v>
      </c>
      <c r="AI516" s="58" t="s">
        <v>2469</v>
      </c>
    </row>
    <row r="517" spans="1:35" ht="91" x14ac:dyDescent="0.35">
      <c r="A517" s="69">
        <f t="shared" si="114"/>
        <v>78</v>
      </c>
      <c r="B517" s="70" t="s">
        <v>568</v>
      </c>
      <c r="C517" s="71" t="s">
        <v>28</v>
      </c>
      <c r="D517" s="72" t="s">
        <v>12</v>
      </c>
      <c r="E517" s="45" t="s">
        <v>589</v>
      </c>
      <c r="F517" s="49" t="s">
        <v>3040</v>
      </c>
      <c r="G517" s="45" t="s">
        <v>3045</v>
      </c>
      <c r="H517" s="47">
        <v>46257</v>
      </c>
      <c r="I517" s="48" t="s">
        <v>2019</v>
      </c>
      <c r="J517" s="48" t="s">
        <v>1314</v>
      </c>
      <c r="K517" s="48" t="str">
        <f t="shared" si="104"/>
        <v>Photoelectric Correction System for Profile Shape and Position Tolerance is an other testing equipment product from HST Group for application-specific laboratory, engineering or industrial use.</v>
      </c>
      <c r="L517" s="48" t="str">
        <f t="shared" si="105"/>
        <v>Photoelectric Correction System for Profile Shape and Position Tolerance from HST Group for other testing equipment applications. Review configuration requirements and request technical information or a quotation from DIWAN.</v>
      </c>
      <c r="M517" s="48" t="s">
        <v>2020</v>
      </c>
      <c r="N517" s="61" t="s">
        <v>2672</v>
      </c>
      <c r="O517" s="54" t="str" cm="1">
        <f t="array" ref="O517">_xlfn.LET(_xlpm.n,LOWER(E517),_xlpm.c,LOWER(B517),_xlpm.t,_xlfn.IFS(OR(ISNUMBER(SEARCH("lens",_xlpm.n)),ISNUMBER(SEARCH("optic",_xlpm.n)),ISNUMBER(SEARCH("polarizer",_xlpm.n))),"precision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"),E517&amp;" is "&amp;_xlpm.art&amp;_xlpm.t&amp;" from "&amp;C517&amp;" designed for application-specific laboratory, engineering or industrial use. It belongs to DIWAN's "&amp;B517&amp;" portfolio; final configuration must be selected against performance, integration and compliance requirements.")</f>
        <v>Photoelectric Correction System for Profile Shape and Position Tolerance is a specialized other testing equipment product from HST Group designed for application-specific laboratory, engineering or industrial use. It belongs to DIWAN's Other Testing Equipment portfolio; final configuration must be selected against performance, integration and compliance requirements.</v>
      </c>
      <c r="P517" s="54" t="str">
        <f t="shared" si="106"/>
        <v>Selection should confirm the model-specific operating range, capacity, accuracy, interfaces, utilities, accessories, standards, environmental limits and service requirements. Final capabilities depend on the approved Photoelectric Correction System for Profile Shape and Position Tolerance configuration.</v>
      </c>
      <c r="Q517" s="54"/>
      <c r="R517" s="54" t="str">
        <f t="shared" si="107"/>
        <v>Other Testing Equipment applications; laboratory research, engineering development, quality control and industrial deployment where applicable. Suitability must be confirmed against the user's sample, process, environment and required standards.</v>
      </c>
      <c r="S517" s="54"/>
      <c r="T517" s="54" t="str">
        <f t="shared" si="108"/>
        <v>Photoelectric Correction System for Profile Shape and Position Tolerance from HST Group</v>
      </c>
      <c r="U517" s="54"/>
      <c r="V517" s="54" t="s">
        <v>2673</v>
      </c>
      <c r="W517" s="54" t="str">
        <f t="shared" si="109"/>
        <v>See other Other Testing Equipment products</v>
      </c>
      <c r="X517" s="54" t="str">
        <f t="shared" si="110"/>
        <v>Other Testing Equipment enquiry → website group enquiry form → category owner assignment</v>
      </c>
      <c r="Y517" s="54" t="str">
        <f t="shared" si="111"/>
        <v>Photoelectric Correction System for Profile Shape and Position Tolerance, Other Testing Equipment, HST Group, technical equipment, DIWAN</v>
      </c>
      <c r="Z517" s="54" t="s">
        <v>2297</v>
      </c>
      <c r="AA517" s="55">
        <v>46257</v>
      </c>
      <c r="AB517" s="54" t="s">
        <v>2465</v>
      </c>
      <c r="AC517" s="63" t="str">
        <f t="shared" si="112"/>
        <v>Content drafted - assets/specs pending</v>
      </c>
      <c r="AD517" s="54" t="str">
        <f t="shared" si="113"/>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7" s="58"/>
      <c r="AF517" s="58"/>
      <c r="AG517" s="58" t="s">
        <v>2467</v>
      </c>
      <c r="AH517" s="58" t="s">
        <v>2468</v>
      </c>
      <c r="AI517" s="58" t="s">
        <v>2469</v>
      </c>
    </row>
    <row r="518" spans="1:35" ht="91" x14ac:dyDescent="0.35">
      <c r="A518" s="69">
        <f t="shared" si="114"/>
        <v>79</v>
      </c>
      <c r="B518" s="70" t="s">
        <v>2861</v>
      </c>
      <c r="C518" s="71" t="s">
        <v>2862</v>
      </c>
      <c r="D518" s="72" t="s">
        <v>2863</v>
      </c>
      <c r="E518" s="45" t="s">
        <v>2864</v>
      </c>
      <c r="F518" s="99" t="s">
        <v>3041</v>
      </c>
      <c r="G518" s="45" t="s">
        <v>3045</v>
      </c>
      <c r="H518" s="47">
        <v>46257</v>
      </c>
      <c r="I518" s="48" t="s">
        <v>2866</v>
      </c>
      <c r="J518" s="48" t="s">
        <v>2867</v>
      </c>
      <c r="K518" s="48" t="str">
        <f t="shared" ref="K518:K525" si="115">E518&amp;" is "&amp;IF(ISNUMBER(SEARCH(LEFT(LOWER(B518),1),"aeiou")),"an ","a ")&amp;LOWER(B518)&amp;" product from "&amp;C518&amp;" for application-specific laboratory, engineering or industrial use."</f>
        <v>Pneumatic Injection Moulding System is an injection moulding product from Robot Factory for application-specific laboratory, engineering or industrial use.</v>
      </c>
      <c r="L518" s="48" t="str">
        <f t="shared" ref="L518:L525" si="116">E518&amp;" from "&amp;C518&amp;" for "&amp;LOWER(B518)&amp;" applications. Review configuration requirements and request technical information or a quotation from DIWAN."</f>
        <v>Pneumatic Injection Moulding System from Robot Factory for injection moulding applications. Review configuration requirements and request technical information or a quotation from DIWAN.</v>
      </c>
      <c r="M518" s="48" t="s">
        <v>2020</v>
      </c>
      <c r="N518" s="61" t="s">
        <v>2672</v>
      </c>
      <c r="O518" s="54" t="str" cm="1">
        <f t="array" ref="O518">_xlfn.LET(_xlpm.n,LOWER(E518),_xlpm.c,LOWER(B518),_xlpm.t,_xlfn.IFS(OR(ISNUMBER(SEARCH("lens",_xlpm.n)),ISNUMBER(SEARCH("optic",_xlpm.n)),ISNUMBER(SEARCH("polarizer",_xlpm.n))),"precision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"),E518&amp;" is "&amp;_xlpm.art&amp;_xlpm.t&amp;" from "&amp;C518&amp;" designed for application-specific laboratory, engineering or industrial use. It belongs to DIWAN's "&amp;B518&amp;" portfolio; final configuration must be selected against performance, integration and compliance requirements.")</f>
        <v>Pneumatic Injection Moulding System is a specialized injection moulding product from Robot Factory designed for application-specific laboratory, engineering or industrial use. It belongs to DIWAN's Injection Moulding portfolio; final configuration must be selected against performance, integration and compliance requirements.</v>
      </c>
      <c r="P518" s="54" t="str">
        <f t="shared" ref="P518:P525" si="117">"Selection should confirm the model-specific operating range, capacity, accuracy, interfaces, utilities, accessories, standards, environmental limits and service requirements. Final capabilities depend on the approved "&amp;E518&amp;" configuration."</f>
        <v>Selection should confirm the model-specific operating range, capacity, accuracy, interfaces, utilities, accessories, standards, environmental limits and service requirements. Final capabilities depend on the approved Pneumatic Injection Moulding System configuration.</v>
      </c>
      <c r="Q518" s="54"/>
      <c r="R518" s="54" t="str">
        <f t="shared" ref="R518:R525" si="118">B518&amp;" applications; laboratory research, engineering development, quality control and industrial deployment where applicable. Suitability must be confirmed against the user's sample, process, environment and required standards."</f>
        <v>Injection Moulding applications; laboratory research, engineering development, quality control and industrial deployment where applicable. Suitability must be confirmed against the user's sample, process, environment and required standards.</v>
      </c>
      <c r="S518" s="54"/>
      <c r="T518" s="54" t="str">
        <f t="shared" ref="T518:T525" si="119">E518&amp;" from "&amp;C518</f>
        <v>Pneumatic Injection Moulding System from Robot Factory</v>
      </c>
      <c r="U518" s="54"/>
      <c r="V518" s="54" t="s">
        <v>2673</v>
      </c>
      <c r="W518" s="54" t="str">
        <f t="shared" ref="W518:W525" si="120">"See other "&amp;B518&amp;" products"</f>
        <v>See other Injection Moulding products</v>
      </c>
      <c r="X518" s="54" t="str">
        <f t="shared" ref="X518:X525" si="121">B518&amp;" enquiry → website group enquiry form → category owner assignment"</f>
        <v>Injection Moulding enquiry → website group enquiry form → category owner assignment</v>
      </c>
      <c r="Y518" s="54" t="str">
        <f t="shared" ref="Y518:Y525" si="122">E518&amp;", "&amp;B518&amp;", "&amp;C518&amp;", technical equipment, DIWAN"</f>
        <v>Pneumatic Injection Moulding System, Injection Moulding, Robot Factory, technical equipment, DIWAN</v>
      </c>
      <c r="Z518" s="54" t="s">
        <v>2865</v>
      </c>
      <c r="AA518" s="55">
        <v>46257</v>
      </c>
      <c r="AB518" s="54" t="s">
        <v>2465</v>
      </c>
      <c r="AC518" s="63" t="str">
        <f t="shared" ref="AC518:AC525" si="123">IF(AND(O518&lt;&gt;"",P518&lt;&gt;"",R518&lt;&gt;"",T518&lt;&gt;"",X518&lt;&gt;"",Y518&lt;&gt;"",Z518&lt;&gt;"",AA518&lt;&gt;"",AB518&lt;&gt;""),IF(AND(Q518&lt;&gt;"",S518&lt;&gt;"",U518&lt;&gt;""),"Ready for approval","Content drafted - assets/specs pending"),IF(COUNTA(O518:AB518)=0,"Not started","In progress"))</f>
        <v>Content drafted - assets/specs pending</v>
      </c>
      <c r="AD518" s="54" t="str">
        <f t="shared" ref="AD518:AD525" si="124">"Baseline definition created from the official catalog name, partner and category classification ("&amp;G518&amp;"). Model-specific specifications, images and downloadable documents must be extracted from the linked official source and technically approved before publication. Source register reviewed 2026-08-23."</f>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8" s="58"/>
      <c r="AF518" s="58"/>
      <c r="AG518" s="58" t="s">
        <v>2467</v>
      </c>
      <c r="AH518" s="58" t="s">
        <v>2468</v>
      </c>
      <c r="AI518" s="58" t="s">
        <v>2469</v>
      </c>
    </row>
    <row r="519" spans="1:35" ht="91" x14ac:dyDescent="0.35">
      <c r="A519" s="69">
        <f t="shared" si="114"/>
        <v>79</v>
      </c>
      <c r="B519" s="70" t="s">
        <v>2861</v>
      </c>
      <c r="C519" s="71" t="s">
        <v>2862</v>
      </c>
      <c r="D519" s="72" t="s">
        <v>2863</v>
      </c>
      <c r="E519" s="45" t="s">
        <v>2868</v>
      </c>
      <c r="F519" s="99" t="s">
        <v>3041</v>
      </c>
      <c r="G519" s="45" t="s">
        <v>3045</v>
      </c>
      <c r="H519" s="47">
        <v>46257</v>
      </c>
      <c r="I519" s="48" t="s">
        <v>2870</v>
      </c>
      <c r="J519" s="48" t="s">
        <v>2871</v>
      </c>
      <c r="K519" s="48" t="str">
        <f t="shared" si="115"/>
        <v>Oleodynamic Injection Moulding System is an injection moulding product from Robot Factory for application-specific laboratory, engineering or industrial use.</v>
      </c>
      <c r="L519" s="48" t="str">
        <f t="shared" si="116"/>
        <v>Oleodynamic Injection Moulding System from Robot Factory for injection moulding applications. Review configuration requirements and request technical information or a quotation from DIWAN.</v>
      </c>
      <c r="M519" s="48" t="s">
        <v>2020</v>
      </c>
      <c r="N519" s="61" t="s">
        <v>2672</v>
      </c>
      <c r="O519" s="54" t="str" cm="1">
        <f t="array" ref="O519">_xlfn.LET(_xlpm.n,LOWER(E519),_xlpm.c,LOWER(B519),_xlpm.t,_xlfn.IFS(OR(ISNUMBER(SEARCH("lens",_xlpm.n)),ISNUMBER(SEARCH("optic",_xlpm.n)),ISNUMBER(SEARCH("polarizer",_xlpm.n))),"precision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"),E519&amp;" is "&amp;_xlpm.art&amp;_xlpm.t&amp;" from "&amp;C519&amp;" designed for application-specific laboratory, engineering or industrial use. It belongs to DIWAN's "&amp;B519&amp;" portfolio; final configuration must be selected against performance, integration and compliance requirements.")</f>
        <v>Oleodynamic Injection Moulding System is a specialized injection moulding product from Robot Factory designed for application-specific laboratory, engineering or industrial use. It belongs to DIWAN's Injection Moulding portfolio; final configuration must be selected against performance, integration and compliance requirements.</v>
      </c>
      <c r="P519" s="54" t="str">
        <f t="shared" si="117"/>
        <v>Selection should confirm the model-specific operating range, capacity, accuracy, interfaces, utilities, accessories, standards, environmental limits and service requirements. Final capabilities depend on the approved Oleodynamic Injection Moulding System configuration.</v>
      </c>
      <c r="Q519" s="54"/>
      <c r="R519" s="54" t="str">
        <f t="shared" si="118"/>
        <v>Injection Moulding applications; laboratory research, engineering development, quality control and industrial deployment where applicable. Suitability must be confirmed against the user's sample, process, environment and required standards.</v>
      </c>
      <c r="S519" s="54"/>
      <c r="T519" s="54" t="str">
        <f t="shared" si="119"/>
        <v>Oleodynamic Injection Moulding System from Robot Factory</v>
      </c>
      <c r="U519" s="54"/>
      <c r="V519" s="54" t="s">
        <v>2673</v>
      </c>
      <c r="W519" s="54" t="str">
        <f t="shared" si="120"/>
        <v>See other Injection Moulding products</v>
      </c>
      <c r="X519" s="54" t="str">
        <f t="shared" si="121"/>
        <v>Injection Moulding enquiry → website group enquiry form → category owner assignment</v>
      </c>
      <c r="Y519" s="54" t="str">
        <f t="shared" si="122"/>
        <v>Oleodynamic Injection Moulding System, Injection Moulding, Robot Factory, technical equipment, DIWAN</v>
      </c>
      <c r="Z519" s="54" t="s">
        <v>2869</v>
      </c>
      <c r="AA519" s="55">
        <v>46257</v>
      </c>
      <c r="AB519" s="54" t="s">
        <v>2465</v>
      </c>
      <c r="AC519" s="63" t="str">
        <f t="shared" si="123"/>
        <v>Content drafted - assets/specs pending</v>
      </c>
      <c r="AD519"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19" s="58"/>
      <c r="AF519" s="58"/>
      <c r="AG519" s="58" t="s">
        <v>2467</v>
      </c>
      <c r="AH519" s="58" t="s">
        <v>2468</v>
      </c>
      <c r="AI519" s="58" t="s">
        <v>2469</v>
      </c>
    </row>
    <row r="520" spans="1:35" ht="91" x14ac:dyDescent="0.35">
      <c r="A520" s="69">
        <f t="shared" si="114"/>
        <v>80</v>
      </c>
      <c r="B520" s="70" t="s">
        <v>2872</v>
      </c>
      <c r="C520" s="71" t="s">
        <v>2862</v>
      </c>
      <c r="D520" s="72" t="s">
        <v>2863</v>
      </c>
      <c r="E520" s="45" t="s">
        <v>2873</v>
      </c>
      <c r="F520" s="99" t="s">
        <v>3042</v>
      </c>
      <c r="G520" s="45" t="s">
        <v>3045</v>
      </c>
      <c r="H520" s="47">
        <v>46257</v>
      </c>
      <c r="I520" s="48" t="s">
        <v>2875</v>
      </c>
      <c r="J520" s="48" t="s">
        <v>2876</v>
      </c>
      <c r="K520" s="48" t="str">
        <f t="shared" si="115"/>
        <v>Sliding-3D FFF 3D Printer is a 3d printing product from Robot Factory for application-specific laboratory, engineering or industrial use.</v>
      </c>
      <c r="L520" s="48" t="str">
        <f t="shared" si="116"/>
        <v>Sliding-3D FFF 3D Printer from Robot Factory for 3d printing applications. Review configuration requirements and request technical information or a quotation from DIWAN.</v>
      </c>
      <c r="M520" s="48" t="s">
        <v>2020</v>
      </c>
      <c r="N520" s="61" t="s">
        <v>2672</v>
      </c>
      <c r="O520" s="54" t="str" cm="1">
        <f t="array" ref="O520">_xlfn.LET(_xlpm.n,LOWER(E520),_xlpm.c,LOWER(B520),_xlpm.t,_xlfn.IFS(OR(ISNUMBER(SEARCH("lens",_xlpm.n)),ISNUMBER(SEARCH("optic",_xlpm.n)),ISNUMBER(SEARCH("polarizer",_xlpm.n))),"precision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"),E520&amp;" is "&amp;_xlpm.art&amp;_xlpm.t&amp;" from "&amp;C520&amp;" designed for application-specific laboratory, engineering or industrial use. It belongs to DIWAN's "&amp;B520&amp;" portfolio; final configuration must be selected against performance, integration and compliance requirements.")</f>
        <v>Sliding-3D FFF 3D Printer is a specialized 3d printing product from Robot Factory designed for application-specific laboratory, engineering or industrial use. It belongs to DIWAN's 3D Printing portfolio; final configuration must be selected against performance, integration and compliance requirements.</v>
      </c>
      <c r="P520" s="54" t="str">
        <f t="shared" si="117"/>
        <v>Selection should confirm the model-specific operating range, capacity, accuracy, interfaces, utilities, accessories, standards, environmental limits and service requirements. Final capabilities depend on the approved Sliding-3D FFF 3D Printer configuration.</v>
      </c>
      <c r="Q520" s="54"/>
      <c r="R520" s="54" t="str">
        <f t="shared" si="118"/>
        <v>3D Printing applications; laboratory research, engineering development, quality control and industrial deployment where applicable. Suitability must be confirmed against the user's sample, process, environment and required standards.</v>
      </c>
      <c r="S520" s="54"/>
      <c r="T520" s="54" t="str">
        <f t="shared" si="119"/>
        <v>Sliding-3D FFF 3D Printer from Robot Factory</v>
      </c>
      <c r="U520" s="54"/>
      <c r="V520" s="54" t="s">
        <v>2673</v>
      </c>
      <c r="W520" s="54" t="str">
        <f t="shared" si="120"/>
        <v>See other 3D Printing products</v>
      </c>
      <c r="X520" s="54" t="str">
        <f t="shared" si="121"/>
        <v>3D Printing enquiry → website group enquiry form → category owner assignment</v>
      </c>
      <c r="Y520" s="54" t="str">
        <f t="shared" si="122"/>
        <v>Sliding-3D FFF 3D Printer, 3D Printing, Robot Factory, technical equipment, DIWAN</v>
      </c>
      <c r="Z520" s="54" t="s">
        <v>2874</v>
      </c>
      <c r="AA520" s="55">
        <v>46257</v>
      </c>
      <c r="AB520" s="54" t="s">
        <v>2465</v>
      </c>
      <c r="AC520" s="63" t="str">
        <f t="shared" si="123"/>
        <v>Content drafted - assets/specs pending</v>
      </c>
      <c r="AD520"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0" s="58"/>
      <c r="AF520" s="58"/>
      <c r="AG520" s="58" t="s">
        <v>2467</v>
      </c>
      <c r="AH520" s="58" t="s">
        <v>2468</v>
      </c>
      <c r="AI520" s="58" t="s">
        <v>2469</v>
      </c>
    </row>
    <row r="521" spans="1:35" ht="91" x14ac:dyDescent="0.35">
      <c r="A521" s="69">
        <f t="shared" si="114"/>
        <v>80</v>
      </c>
      <c r="B521" s="70" t="s">
        <v>2872</v>
      </c>
      <c r="C521" s="71" t="s">
        <v>2862</v>
      </c>
      <c r="D521" s="72" t="s">
        <v>2863</v>
      </c>
      <c r="E521" s="45" t="s">
        <v>2877</v>
      </c>
      <c r="F521" s="99" t="s">
        <v>3042</v>
      </c>
      <c r="G521" s="45" t="s">
        <v>3045</v>
      </c>
      <c r="H521" s="47">
        <v>46257</v>
      </c>
      <c r="I521" s="48" t="s">
        <v>2879</v>
      </c>
      <c r="J521" s="48" t="s">
        <v>2880</v>
      </c>
      <c r="K521" s="48" t="str">
        <f t="shared" si="115"/>
        <v>Silver Belt 3D FDM-45 Printer All Metal Kit is a 3d printing product from Robot Factory for application-specific laboratory, engineering or industrial use.</v>
      </c>
      <c r="L521" s="48" t="str">
        <f t="shared" si="116"/>
        <v>Silver Belt 3D FDM-45 Printer All Metal Kit from Robot Factory for 3d printing applications. Review configuration requirements and request technical information or a quotation from DIWAN.</v>
      </c>
      <c r="M521" s="48" t="s">
        <v>2020</v>
      </c>
      <c r="N521" s="61" t="s">
        <v>2672</v>
      </c>
      <c r="O521" s="54" t="str" cm="1">
        <f t="array" ref="O521">_xlfn.LET(_xlpm.n,LOWER(E521),_xlpm.c,LOWER(B521),_xlpm.t,_xlfn.IFS(OR(ISNUMBER(SEARCH("lens",_xlpm.n)),ISNUMBER(SEARCH("optic",_xlpm.n)),ISNUMBER(SEARCH("polarizer",_xlpm.n))),"precision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"),E521&amp;" is "&amp;_xlpm.art&amp;_xlpm.t&amp;" from "&amp;C521&amp;" designed for application-specific laboratory, engineering or industrial use. It belongs to DIWAN's "&amp;B521&amp;" portfolio; final configuration must be selected against performance, integration and compliance requirements.")</f>
        <v>Silver Belt 3D FDM-45 Printer All Metal Kit is a specialized 3d printing product from Robot Factory designed for application-specific laboratory, engineering or industrial use. It belongs to DIWAN's 3D Printing portfolio; final configuration must be selected against performance, integration and compliance requirements.</v>
      </c>
      <c r="P521" s="54" t="str">
        <f t="shared" si="117"/>
        <v>Selection should confirm the model-specific operating range, capacity, accuracy, interfaces, utilities, accessories, standards, environmental limits and service requirements. Final capabilities depend on the approved Silver Belt 3D FDM-45 Printer All Metal Kit configuration.</v>
      </c>
      <c r="Q521" s="54"/>
      <c r="R521" s="54" t="str">
        <f t="shared" si="118"/>
        <v>3D Printing applications; laboratory research, engineering development, quality control and industrial deployment where applicable. Suitability must be confirmed against the user's sample, process, environment and required standards.</v>
      </c>
      <c r="S521" s="54"/>
      <c r="T521" s="54" t="str">
        <f t="shared" si="119"/>
        <v>Silver Belt 3D FDM-45 Printer All Metal Kit from Robot Factory</v>
      </c>
      <c r="U521" s="54"/>
      <c r="V521" s="54" t="s">
        <v>2673</v>
      </c>
      <c r="W521" s="54" t="str">
        <f t="shared" si="120"/>
        <v>See other 3D Printing products</v>
      </c>
      <c r="X521" s="54" t="str">
        <f t="shared" si="121"/>
        <v>3D Printing enquiry → website group enquiry form → category owner assignment</v>
      </c>
      <c r="Y521" s="54" t="str">
        <f t="shared" si="122"/>
        <v>Silver Belt 3D FDM-45 Printer All Metal Kit, 3D Printing, Robot Factory, technical equipment, DIWAN</v>
      </c>
      <c r="Z521" s="54" t="s">
        <v>2878</v>
      </c>
      <c r="AA521" s="55">
        <v>46257</v>
      </c>
      <c r="AB521" s="54" t="s">
        <v>2465</v>
      </c>
      <c r="AC521" s="63" t="str">
        <f t="shared" si="123"/>
        <v>Content drafted - assets/specs pending</v>
      </c>
      <c r="AD521"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1" s="58"/>
      <c r="AF521" s="58"/>
      <c r="AG521" s="58" t="s">
        <v>2467</v>
      </c>
      <c r="AH521" s="58" t="s">
        <v>2468</v>
      </c>
      <c r="AI521" s="58" t="s">
        <v>2469</v>
      </c>
    </row>
    <row r="522" spans="1:35" ht="91" x14ac:dyDescent="0.35">
      <c r="A522" s="69">
        <v>80</v>
      </c>
      <c r="B522" s="70" t="s">
        <v>2881</v>
      </c>
      <c r="C522" s="71" t="s">
        <v>2862</v>
      </c>
      <c r="D522" s="72" t="s">
        <v>2863</v>
      </c>
      <c r="E522" s="45" t="s">
        <v>2882</v>
      </c>
      <c r="F522" s="99" t="s">
        <v>3043</v>
      </c>
      <c r="G522" s="45" t="s">
        <v>3045</v>
      </c>
      <c r="H522" s="47">
        <v>46257</v>
      </c>
      <c r="I522" s="48" t="s">
        <v>2884</v>
      </c>
      <c r="J522" s="48" t="s">
        <v>2885</v>
      </c>
      <c r="K522" s="48" t="str">
        <f t="shared" si="115"/>
        <v>Steel Roller Kit is a 3d printer upgrades product from Robot Factory for application-specific laboratory, engineering or industrial use.</v>
      </c>
      <c r="L522" s="48" t="str">
        <f t="shared" si="116"/>
        <v>Steel Roller Kit from Robot Factory for 3d printer upgrades applications. Review configuration requirements and request technical information or a quotation from DIWAN.</v>
      </c>
      <c r="M522" s="48" t="s">
        <v>2020</v>
      </c>
      <c r="N522" s="61" t="s">
        <v>2672</v>
      </c>
      <c r="O522" s="54" t="str" cm="1">
        <f t="array" ref="O522">_xlfn.LET(_xlpm.n,LOWER(E522),_xlpm.c,LOWER(B522),_xlpm.t,_xlfn.IFS(OR(ISNUMBER(SEARCH("lens",_xlpm.n)),ISNUMBER(SEARCH("optic",_xlpm.n)),ISNUMBER(SEARCH("polarizer",_xlpm.n))),"precision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"),E522&amp;" is "&amp;_xlpm.art&amp;_xlpm.t&amp;" from "&amp;C522&amp;" designed for application-specific laboratory, engineering or industrial use. It belongs to DIWAN's "&amp;B522&amp;" portfolio; final configuration must be selected against performance, integration and compliance requirements.")</f>
        <v>Steel Roller Kit is a specialized 3d printer upgrades product from Robot Factory designed for application-specific laboratory, engineering or industrial use. It belongs to DIWAN's 3D Printer Upgrades portfolio; final configuration must be selected against performance, integration and compliance requirements.</v>
      </c>
      <c r="P522" s="54" t="str">
        <f t="shared" si="117"/>
        <v>Selection should confirm the model-specific operating range, capacity, accuracy, interfaces, utilities, accessories, standards, environmental limits and service requirements. Final capabilities depend on the approved Steel Roller Kit configuration.</v>
      </c>
      <c r="Q522" s="54"/>
      <c r="R522" s="54" t="str">
        <f t="shared" si="118"/>
        <v>3D Printer Upgrades applications; laboratory research, engineering development, quality control and industrial deployment where applicable. Suitability must be confirmed against the user's sample, process, environment and required standards.</v>
      </c>
      <c r="S522" s="54"/>
      <c r="T522" s="54" t="str">
        <f t="shared" si="119"/>
        <v>Steel Roller Kit from Robot Factory</v>
      </c>
      <c r="U522" s="54"/>
      <c r="V522" s="54" t="s">
        <v>2673</v>
      </c>
      <c r="W522" s="54" t="str">
        <f t="shared" si="120"/>
        <v>See other 3D Printer Upgrades products</v>
      </c>
      <c r="X522" s="54" t="str">
        <f t="shared" si="121"/>
        <v>3D Printer Upgrades enquiry → website group enquiry form → category owner assignment</v>
      </c>
      <c r="Y522" s="54" t="str">
        <f t="shared" si="122"/>
        <v>Steel Roller Kit, 3D Printer Upgrades, Robot Factory, technical equipment, DIWAN</v>
      </c>
      <c r="Z522" s="54" t="s">
        <v>2883</v>
      </c>
      <c r="AA522" s="55">
        <v>46257</v>
      </c>
      <c r="AB522" s="54" t="s">
        <v>2465</v>
      </c>
      <c r="AC522" s="63" t="str">
        <f t="shared" si="123"/>
        <v>Content drafted - assets/specs pending</v>
      </c>
      <c r="AD522"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2" s="58"/>
      <c r="AF522" s="58"/>
      <c r="AG522" s="58" t="s">
        <v>2467</v>
      </c>
      <c r="AH522" s="58" t="s">
        <v>2468</v>
      </c>
      <c r="AI522" s="58" t="s">
        <v>2469</v>
      </c>
    </row>
    <row r="523" spans="1:35" ht="91" x14ac:dyDescent="0.35">
      <c r="A523" s="69">
        <f t="shared" si="114"/>
        <v>80</v>
      </c>
      <c r="B523" s="70" t="s">
        <v>2881</v>
      </c>
      <c r="C523" s="71" t="s">
        <v>2862</v>
      </c>
      <c r="D523" s="72" t="s">
        <v>2863</v>
      </c>
      <c r="E523" s="45" t="s">
        <v>2886</v>
      </c>
      <c r="F523" s="99" t="s">
        <v>3043</v>
      </c>
      <c r="G523" s="45" t="s">
        <v>3045</v>
      </c>
      <c r="H523" s="47">
        <v>46257</v>
      </c>
      <c r="I523" s="48" t="s">
        <v>2888</v>
      </c>
      <c r="J523" s="48" t="s">
        <v>2889</v>
      </c>
      <c r="K523" s="48" t="str">
        <f t="shared" si="115"/>
        <v>Steel Roller 45 Kit is a 3d printer upgrades product from Robot Factory for application-specific laboratory, engineering or industrial use.</v>
      </c>
      <c r="L523" s="48" t="str">
        <f t="shared" si="116"/>
        <v>Steel Roller 45 Kit from Robot Factory for 3d printer upgrades applications. Review configuration requirements and request technical information or a quotation from DIWAN.</v>
      </c>
      <c r="M523" s="48" t="s">
        <v>2020</v>
      </c>
      <c r="N523" s="61" t="s">
        <v>2672</v>
      </c>
      <c r="O523" s="54" t="str" cm="1">
        <f t="array" ref="O523">_xlfn.LET(_xlpm.n,LOWER(E523),_xlpm.c,LOWER(B523),_xlpm.t,_xlfn.IFS(OR(ISNUMBER(SEARCH("lens",_xlpm.n)),ISNUMBER(SEARCH("optic",_xlpm.n)),ISNUMBER(SEARCH("polarizer",_xlpm.n))),"precision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"),E523&amp;" is "&amp;_xlpm.art&amp;_xlpm.t&amp;" from "&amp;C523&amp;" designed for application-specific laboratory, engineering or industrial use. It belongs to DIWAN's "&amp;B523&amp;" portfolio; final configuration must be selected against performance, integration and compliance requirements.")</f>
        <v>Steel Roller 45 Kit is a specialized 3d printer upgrades product from Robot Factory designed for application-specific laboratory, engineering or industrial use. It belongs to DIWAN's 3D Printer Upgrades portfolio; final configuration must be selected against performance, integration and compliance requirements.</v>
      </c>
      <c r="P523" s="54" t="str">
        <f t="shared" si="117"/>
        <v>Selection should confirm the model-specific operating range, capacity, accuracy, interfaces, utilities, accessories, standards, environmental limits and service requirements. Final capabilities depend on the approved Steel Roller 45 Kit configuration.</v>
      </c>
      <c r="Q523" s="54"/>
      <c r="R523" s="54" t="str">
        <f t="shared" si="118"/>
        <v>3D Printer Upgrades applications; laboratory research, engineering development, quality control and industrial deployment where applicable. Suitability must be confirmed against the user's sample, process, environment and required standards.</v>
      </c>
      <c r="S523" s="54"/>
      <c r="T523" s="54" t="str">
        <f t="shared" si="119"/>
        <v>Steel Roller 45 Kit from Robot Factory</v>
      </c>
      <c r="U523" s="54"/>
      <c r="V523" s="54" t="s">
        <v>2673</v>
      </c>
      <c r="W523" s="54" t="str">
        <f t="shared" si="120"/>
        <v>See other 3D Printer Upgrades products</v>
      </c>
      <c r="X523" s="54" t="str">
        <f t="shared" si="121"/>
        <v>3D Printer Upgrades enquiry → website group enquiry form → category owner assignment</v>
      </c>
      <c r="Y523" s="54" t="str">
        <f t="shared" si="122"/>
        <v>Steel Roller 45 Kit, 3D Printer Upgrades, Robot Factory, technical equipment, DIWAN</v>
      </c>
      <c r="Z523" s="54" t="s">
        <v>2887</v>
      </c>
      <c r="AA523" s="55">
        <v>46257</v>
      </c>
      <c r="AB523" s="54" t="s">
        <v>2465</v>
      </c>
      <c r="AC523" s="63" t="str">
        <f t="shared" si="123"/>
        <v>Content drafted - assets/specs pending</v>
      </c>
      <c r="AD523"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3" s="58"/>
      <c r="AF523" s="58"/>
      <c r="AG523" s="58" t="s">
        <v>2467</v>
      </c>
      <c r="AH523" s="58" t="s">
        <v>2468</v>
      </c>
      <c r="AI523" s="58" t="s">
        <v>2469</v>
      </c>
    </row>
    <row r="524" spans="1:35" ht="91" x14ac:dyDescent="0.35">
      <c r="A524" s="69">
        <f t="shared" si="114"/>
        <v>81</v>
      </c>
      <c r="B524" s="70" t="s">
        <v>2890</v>
      </c>
      <c r="C524" s="71" t="s">
        <v>2862</v>
      </c>
      <c r="D524" s="72" t="s">
        <v>2863</v>
      </c>
      <c r="E524" s="45" t="s">
        <v>2891</v>
      </c>
      <c r="F524" s="99" t="s">
        <v>3044</v>
      </c>
      <c r="G524" s="45" t="s">
        <v>3045</v>
      </c>
      <c r="H524" s="47">
        <v>46257</v>
      </c>
      <c r="I524" s="48" t="s">
        <v>2893</v>
      </c>
      <c r="J524" s="48" t="s">
        <v>2894</v>
      </c>
      <c r="K524" s="48" t="str">
        <f t="shared" si="115"/>
        <v>3D Forming Thermoform Desktop Thermoforming Machine is a thermoforming product from Robot Factory for application-specific laboratory, engineering or industrial use.</v>
      </c>
      <c r="L524" s="48" t="str">
        <f t="shared" si="116"/>
        <v>3D Forming Thermoform Desktop Thermoforming Machine from Robot Factory for thermoforming applications. Review configuration requirements and request technical information or a quotation from DIWAN.</v>
      </c>
      <c r="M524" s="48" t="s">
        <v>2020</v>
      </c>
      <c r="N524" s="61" t="s">
        <v>2672</v>
      </c>
      <c r="O524" s="54" t="str" cm="1">
        <f t="array" ref="O524">_xlfn.LET(_xlpm.n,LOWER(E524),_xlpm.c,LOWER(B524),_xlpm.t,_xlfn.IFS(OR(ISNUMBER(SEARCH("lens",_xlpm.n)),ISNUMBER(SEARCH("optic",_xlpm.n)),ISNUMBER(SEARCH("polarizer",_xlpm.n))),"precision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"),E524&amp;" is "&amp;_xlpm.art&amp;_xlpm.t&amp;" from "&amp;C524&amp;" designed for application-specific laboratory, engineering or industrial use. It belongs to DIWAN's "&amp;B524&amp;" portfolio; final configuration must be selected against performance, integration and compliance requirements.")</f>
        <v>3D Forming Thermoform Desktop Thermoforming Machine is a specialized thermoforming product from Robot Factory designed for application-specific laboratory, engineering or industrial use. It belongs to DIWAN's Thermoforming portfolio; final configuration must be selected against performance, integration and compliance requirements.</v>
      </c>
      <c r="P524" s="54" t="str">
        <f t="shared" si="117"/>
        <v>Selection should confirm the model-specific operating range, capacity, accuracy, interfaces, utilities, accessories, standards, environmental limits and service requirements. Final capabilities depend on the approved 3D Forming Thermoform Desktop Thermoforming Machine configuration.</v>
      </c>
      <c r="Q524" s="54"/>
      <c r="R524" s="54" t="str">
        <f t="shared" si="118"/>
        <v>Thermoforming applications; laboratory research, engineering development, quality control and industrial deployment where applicable. Suitability must be confirmed against the user's sample, process, environment and required standards.</v>
      </c>
      <c r="S524" s="54"/>
      <c r="T524" s="54" t="str">
        <f t="shared" si="119"/>
        <v>3D Forming Thermoform Desktop Thermoforming Machine from Robot Factory</v>
      </c>
      <c r="U524" s="54"/>
      <c r="V524" s="54" t="s">
        <v>2673</v>
      </c>
      <c r="W524" s="54" t="str">
        <f t="shared" si="120"/>
        <v>See other Thermoforming products</v>
      </c>
      <c r="X524" s="54" t="str">
        <f t="shared" si="121"/>
        <v>Thermoforming enquiry → website group enquiry form → category owner assignment</v>
      </c>
      <c r="Y524" s="54" t="str">
        <f t="shared" si="122"/>
        <v>3D Forming Thermoform Desktop Thermoforming Machine, Thermoforming, Robot Factory, technical equipment, DIWAN</v>
      </c>
      <c r="Z524" s="54" t="s">
        <v>2892</v>
      </c>
      <c r="AA524" s="55">
        <v>46257</v>
      </c>
      <c r="AB524" s="54" t="s">
        <v>2465</v>
      </c>
      <c r="AC524" s="63" t="str">
        <f t="shared" si="123"/>
        <v>Content drafted - assets/specs pending</v>
      </c>
      <c r="AD524"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4" s="58"/>
      <c r="AF524" s="58"/>
      <c r="AG524" s="58" t="s">
        <v>2467</v>
      </c>
      <c r="AH524" s="58" t="s">
        <v>2468</v>
      </c>
      <c r="AI524" s="58" t="s">
        <v>2469</v>
      </c>
    </row>
    <row r="525" spans="1:35" ht="91" x14ac:dyDescent="0.35">
      <c r="A525" s="69">
        <f t="shared" si="114"/>
        <v>82</v>
      </c>
      <c r="B525" s="70" t="s">
        <v>2872</v>
      </c>
      <c r="C525" s="71" t="s">
        <v>2862</v>
      </c>
      <c r="D525" s="72" t="s">
        <v>2863</v>
      </c>
      <c r="E525" s="45" t="s">
        <v>2895</v>
      </c>
      <c r="F525" s="99" t="s">
        <v>3042</v>
      </c>
      <c r="G525" s="45" t="s">
        <v>3045</v>
      </c>
      <c r="H525" s="47">
        <v>46257</v>
      </c>
      <c r="I525" s="48" t="s">
        <v>2897</v>
      </c>
      <c r="J525" s="48" t="s">
        <v>2898</v>
      </c>
      <c r="K525" s="48" t="str">
        <f t="shared" si="115"/>
        <v>3DL Printer HD 2.0+ is a 3d printing product from Robot Factory for application-specific laboratory, engineering or industrial use.</v>
      </c>
      <c r="L525" s="48" t="str">
        <f t="shared" si="116"/>
        <v>3DL Printer HD 2.0+ from Robot Factory for 3d printing applications. Review configuration requirements and request technical information or a quotation from DIWAN.</v>
      </c>
      <c r="M525" s="48" t="s">
        <v>2020</v>
      </c>
      <c r="N525" s="61" t="s">
        <v>2672</v>
      </c>
      <c r="O525" s="54" t="str" cm="1">
        <f t="array" ref="O525">_xlfn.LET(_xlpm.n,LOWER(E525),_xlpm.c,LOWER(B525),_xlpm.t,_xlfn.IFS(OR(ISNUMBER(SEARCH("lens",_xlpm.n)),ISNUMBER(SEARCH("optic",_xlpm.n)),ISNUMBER(SEARCH("polarizer",_xlpm.n))),"precision optical component",OR(ISNUMBER(SEARCH("camera",_xlpm.n)),ISNUMBER(SEARCH("imaging",_xlpm.n))),"scientific or industrial imaging system",ISNUMBER(SEARCH("pump",_xlpm.n)),"precision fluid-delivery system",OR(ISNUMBER(SEARCH("reactor",_xlpm.n)),ISNUMBER(SEARCH("autoclave",_xlpm.n)),ISNUMBER(SEARCH("pilot",_xlpm.n))),"laboratory or pilot-process system",OR(ISNUMBER(SEARCH("analyzer",_xlpm.n)),ISNUMBER(SEARCH("spectrometer",_xlpm.n)),ISNUMBER(SEARCH("hplc",_xlpm.n)),ISNUMBER(SEARCH("chrom",_xlpm.n))),"analytical laboratory instrument",OR(ISNUMBER(SEARCH("tester",_xlpm.n)),ISNUMBER(SEARCH("testing machine",_xlpm.n)),ISNUMBER(SEARCH("chamber",_xlpm.n))),"materials or component testing system",OR(ISNUMBER(SEARCH("sensor",_xlpm.n)),ISNUMBER(SEARCH("terminal",_xlpm.n)),ISNUMBER(SEARCH("station",_xlpm.n)),ISNUMBER(SEARCH("satellite",_xlpm.n))),"space or sensing subsystem",ISNUMBER(SEARCH("software",_xlpm.n)),"specialized engineering software platform",TRUE,"specialized "&amp;_xlpm.c&amp;" product"),_xlpm.art,IF(ISNUMBER(SEARCH(LEFT(_xlpm.t,1),"aeiou")),"an ","a "),E525&amp;" is "&amp;_xlpm.art&amp;_xlpm.t&amp;" from "&amp;C525&amp;" designed for application-specific laboratory, engineering or industrial use. It belongs to DIWAN's "&amp;B525&amp;" portfolio; final configuration must be selected against performance, integration and compliance requirements.")</f>
        <v>3DL Printer HD 2.0+ is a specialized 3d printing product from Robot Factory designed for application-specific laboratory, engineering or industrial use. It belongs to DIWAN's 3D Printing portfolio; final configuration must be selected against performance, integration and compliance requirements.</v>
      </c>
      <c r="P525" s="54" t="str">
        <f t="shared" si="117"/>
        <v>Selection should confirm the model-specific operating range, capacity, accuracy, interfaces, utilities, accessories, standards, environmental limits and service requirements. Final capabilities depend on the approved 3DL Printer HD 2.0+ configuration.</v>
      </c>
      <c r="Q525" s="54"/>
      <c r="R525" s="54" t="str">
        <f t="shared" si="118"/>
        <v>3D Printing applications; laboratory research, engineering development, quality control and industrial deployment where applicable. Suitability must be confirmed against the user's sample, process, environment and required standards.</v>
      </c>
      <c r="S525" s="54"/>
      <c r="T525" s="54" t="str">
        <f t="shared" si="119"/>
        <v>3DL Printer HD 2.0+ from Robot Factory</v>
      </c>
      <c r="U525" s="54"/>
      <c r="V525" s="54" t="s">
        <v>2673</v>
      </c>
      <c r="W525" s="54" t="str">
        <f t="shared" si="120"/>
        <v>See other 3D Printing products</v>
      </c>
      <c r="X525" s="54" t="str">
        <f t="shared" si="121"/>
        <v>3D Printing enquiry → website group enquiry form → category owner assignment</v>
      </c>
      <c r="Y525" s="54" t="str">
        <f t="shared" si="122"/>
        <v>3DL Printer HD 2.0+, 3D Printing, Robot Factory, technical equipment, DIWAN</v>
      </c>
      <c r="Z525" s="54" t="s">
        <v>2896</v>
      </c>
      <c r="AA525" s="55">
        <v>46257</v>
      </c>
      <c r="AB525" s="54" t="s">
        <v>2465</v>
      </c>
      <c r="AC525" s="63" t="str">
        <f t="shared" si="123"/>
        <v>Content drafted - assets/specs pending</v>
      </c>
      <c r="AD525" s="54" t="str">
        <f t="shared" si="124"/>
        <v>Baseline definition created from the official catalog name, partner and category classification (One page per product category). Model-specific specifications, images and downloadable documents must be extracted from the linked official source and technically approved before publication. Source register reviewed 2026-08-23.</v>
      </c>
      <c r="AE525" s="58"/>
      <c r="AF525" s="58"/>
      <c r="AG525" s="58" t="s">
        <v>2467</v>
      </c>
      <c r="AH525" s="58" t="s">
        <v>2468</v>
      </c>
      <c r="AI525" s="58" t="s">
        <v>2469</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B9E4-36D2-49E9-91B0-2D3BF546537E}">
  <sheetPr>
    <tabColor rgb="FF4472C4"/>
  </sheetPr>
  <dimension ref="A1:H50"/>
  <sheetViews>
    <sheetView showGridLines="0" workbookViewId="0">
      <pane ySplit="4" topLeftCell="A5" activePane="bottomLeft" state="frozen"/>
      <selection pane="bottomLeft" activeCell="A2" sqref="A2:H2"/>
    </sheetView>
  </sheetViews>
  <sheetFormatPr defaultRowHeight="14.5" x14ac:dyDescent="0.35"/>
  <cols>
    <col min="1" max="1" width="10" customWidth="1"/>
    <col min="2" max="2" width="20" customWidth="1"/>
    <col min="3" max="3" width="38.1796875" customWidth="1"/>
    <col min="4" max="5" width="45.453125" customWidth="1"/>
    <col min="6" max="6" width="23.6328125" customWidth="1"/>
    <col min="7" max="7" width="16.36328125" customWidth="1"/>
    <col min="8" max="8" width="22.7265625" customWidth="1"/>
  </cols>
  <sheetData>
    <row r="1" spans="1:8" ht="28" customHeight="1" x14ac:dyDescent="0.35">
      <c r="A1" s="1" t="s">
        <v>2022</v>
      </c>
      <c r="B1" s="1"/>
      <c r="C1" s="1"/>
      <c r="D1" s="1"/>
      <c r="E1" s="1"/>
      <c r="F1" s="1"/>
      <c r="G1" s="1"/>
      <c r="H1" s="1"/>
    </row>
    <row r="2" spans="1:8" ht="32" customHeight="1" x14ac:dyDescent="0.35">
      <c r="A2" s="2" t="s">
        <v>3121</v>
      </c>
      <c r="B2" s="2"/>
      <c r="C2" s="2"/>
      <c r="D2" s="2"/>
      <c r="E2" s="2"/>
      <c r="F2" s="2"/>
      <c r="G2" s="2"/>
      <c r="H2" s="2"/>
    </row>
    <row r="4" spans="1:8" x14ac:dyDescent="0.35">
      <c r="A4" t="s">
        <v>590</v>
      </c>
      <c r="B4" t="s">
        <v>591</v>
      </c>
      <c r="C4" t="s">
        <v>592</v>
      </c>
      <c r="D4" t="s">
        <v>593</v>
      </c>
      <c r="E4" t="s">
        <v>594</v>
      </c>
      <c r="F4" t="s">
        <v>595</v>
      </c>
      <c r="G4" t="s">
        <v>596</v>
      </c>
      <c r="H4" t="s">
        <v>597</v>
      </c>
    </row>
    <row r="5" spans="1:8" ht="34" customHeight="1" x14ac:dyDescent="0.35">
      <c r="A5" s="5" t="s">
        <v>598</v>
      </c>
      <c r="B5" s="3" t="s">
        <v>599</v>
      </c>
      <c r="C5" s="4" t="s">
        <v>600</v>
      </c>
      <c r="D5" s="4" t="s">
        <v>3046</v>
      </c>
      <c r="E5" s="4" t="s">
        <v>3047</v>
      </c>
      <c r="F5" s="3" t="s">
        <v>601</v>
      </c>
      <c r="G5" s="6" t="s">
        <v>602</v>
      </c>
      <c r="H5" s="4" t="s">
        <v>603</v>
      </c>
    </row>
    <row r="6" spans="1:8" ht="34" customHeight="1" x14ac:dyDescent="0.35">
      <c r="A6" s="5" t="s">
        <v>598</v>
      </c>
      <c r="B6" s="3" t="s">
        <v>599</v>
      </c>
      <c r="C6" s="4" t="s">
        <v>604</v>
      </c>
      <c r="D6" s="4" t="s">
        <v>3048</v>
      </c>
      <c r="E6" s="4" t="s">
        <v>3049</v>
      </c>
      <c r="F6" s="3" t="s">
        <v>601</v>
      </c>
      <c r="G6" s="6" t="s">
        <v>602</v>
      </c>
      <c r="H6" s="4" t="s">
        <v>605</v>
      </c>
    </row>
    <row r="7" spans="1:8" ht="34" customHeight="1" x14ac:dyDescent="0.35">
      <c r="A7" s="5" t="s">
        <v>598</v>
      </c>
      <c r="B7" s="3" t="s">
        <v>599</v>
      </c>
      <c r="C7" s="4" t="s">
        <v>606</v>
      </c>
      <c r="D7" s="4" t="s">
        <v>607</v>
      </c>
      <c r="E7" s="4" t="s">
        <v>608</v>
      </c>
      <c r="F7" s="3" t="s">
        <v>609</v>
      </c>
      <c r="G7" s="6" t="s">
        <v>602</v>
      </c>
      <c r="H7" s="4" t="s">
        <v>610</v>
      </c>
    </row>
    <row r="8" spans="1:8" ht="34" customHeight="1" x14ac:dyDescent="0.35">
      <c r="A8" s="5" t="s">
        <v>598</v>
      </c>
      <c r="B8" s="3" t="s">
        <v>599</v>
      </c>
      <c r="C8" s="4" t="s">
        <v>611</v>
      </c>
      <c r="D8" s="4" t="s">
        <v>3122</v>
      </c>
      <c r="E8" s="4" t="s">
        <v>612</v>
      </c>
      <c r="F8" s="3" t="s">
        <v>601</v>
      </c>
      <c r="G8" s="6" t="s">
        <v>602</v>
      </c>
      <c r="H8" s="4" t="s">
        <v>613</v>
      </c>
    </row>
    <row r="9" spans="1:8" ht="34" customHeight="1" x14ac:dyDescent="0.35">
      <c r="A9" s="5" t="s">
        <v>598</v>
      </c>
      <c r="B9" s="3" t="s">
        <v>599</v>
      </c>
      <c r="C9" s="4" t="s">
        <v>3050</v>
      </c>
      <c r="D9" s="4" t="s">
        <v>3051</v>
      </c>
      <c r="E9" s="4" t="s">
        <v>3052</v>
      </c>
      <c r="F9" s="3" t="s">
        <v>601</v>
      </c>
      <c r="G9" s="6" t="s">
        <v>3053</v>
      </c>
      <c r="H9" s="4" t="s">
        <v>3054</v>
      </c>
    </row>
    <row r="10" spans="1:8" ht="34" customHeight="1" x14ac:dyDescent="0.35">
      <c r="A10" s="5" t="s">
        <v>598</v>
      </c>
      <c r="B10" s="3" t="s">
        <v>614</v>
      </c>
      <c r="C10" s="4" t="s">
        <v>615</v>
      </c>
      <c r="D10" s="4" t="s">
        <v>3055</v>
      </c>
      <c r="E10" s="4" t="s">
        <v>3056</v>
      </c>
      <c r="F10" s="3" t="s">
        <v>617</v>
      </c>
      <c r="G10" s="7" t="str">
        <f>"Available - definitions populated for all "&amp;COUNTA(Products!O2:O525)&amp;"; 21 detailed, "&amp;(COUNTA(Products!O2:O525)-21)&amp;" baseline"</f>
        <v>Available - definitions populated for all 524; 21 detailed, 503 baseline</v>
      </c>
      <c r="H10" s="4" t="s">
        <v>2432</v>
      </c>
    </row>
    <row r="11" spans="1:8" ht="34" customHeight="1" x14ac:dyDescent="0.35">
      <c r="A11" s="5" t="s">
        <v>598</v>
      </c>
      <c r="B11" s="3" t="s">
        <v>614</v>
      </c>
      <c r="C11" s="4" t="s">
        <v>619</v>
      </c>
      <c r="D11" s="4" t="s">
        <v>3057</v>
      </c>
      <c r="E11" s="4" t="s">
        <v>620</v>
      </c>
      <c r="F11" s="3" t="s">
        <v>601</v>
      </c>
      <c r="G11" s="7" t="str">
        <f>"Available - detailed features for 21; selection guidance for "&amp;(COUNTA(Products!P2:P525)-21)</f>
        <v>Available - detailed features for 21; selection guidance for 503</v>
      </c>
      <c r="H11" s="4" t="s">
        <v>2433</v>
      </c>
    </row>
    <row r="12" spans="1:8" ht="34" customHeight="1" x14ac:dyDescent="0.35">
      <c r="A12" s="5" t="s">
        <v>598</v>
      </c>
      <c r="B12" s="3" t="s">
        <v>614</v>
      </c>
      <c r="C12" s="4" t="s">
        <v>621</v>
      </c>
      <c r="D12" s="4" t="s">
        <v>3058</v>
      </c>
      <c r="E12" s="4" t="s">
        <v>622</v>
      </c>
      <c r="F12" s="3" t="s">
        <v>601</v>
      </c>
      <c r="G12" s="7" t="str">
        <f>"In Progress - "&amp;COUNTIF(Products!Q2:Q525,"&lt;&gt;")&amp;" specifications populated; "&amp;(ROWS(Products!Q2:Q525)-COUNTIF(Products!Q2:Q525,"&lt;&gt;"))&amp;" pending"</f>
        <v>In Progress - 20 specifications populated; 504 pending</v>
      </c>
      <c r="H12" s="4" t="s">
        <v>2434</v>
      </c>
    </row>
    <row r="13" spans="1:8" ht="34" customHeight="1" x14ac:dyDescent="0.35">
      <c r="A13" s="5" t="s">
        <v>598</v>
      </c>
      <c r="B13" s="3" t="s">
        <v>614</v>
      </c>
      <c r="C13" s="4" t="s">
        <v>623</v>
      </c>
      <c r="D13" s="4" t="s">
        <v>3059</v>
      </c>
      <c r="E13" s="4" t="s">
        <v>624</v>
      </c>
      <c r="F13" s="3" t="s">
        <v>625</v>
      </c>
      <c r="G13" s="7" t="str">
        <f>"Available - applications populated for all "&amp;COUNTA(Products!R2:R525)&amp;"; 21 detailed"</f>
        <v>Available - applications populated for all 524; 21 detailed</v>
      </c>
      <c r="H13" s="4" t="s">
        <v>2435</v>
      </c>
    </row>
    <row r="14" spans="1:8" ht="34" customHeight="1" x14ac:dyDescent="0.35">
      <c r="A14" s="5" t="s">
        <v>598</v>
      </c>
      <c r="B14" s="3" t="s">
        <v>626</v>
      </c>
      <c r="C14" s="4" t="s">
        <v>627</v>
      </c>
      <c r="D14" s="4" t="s">
        <v>3060</v>
      </c>
      <c r="E14" s="4" t="s">
        <v>3123</v>
      </c>
      <c r="F14" s="3" t="s">
        <v>617</v>
      </c>
      <c r="G14" s="7" t="str">
        <f>"In Progress - "&amp;COUNTIF(Products!S2:S525,"&lt;&gt;")&amp;" manufacturer-hosted primary image URLs identified; alt text for all "&amp;COUNTA(Products!T2:T525)&amp;"; approval and "&amp;(ROWS(Products!S2:S525)-COUNTIF(Products!S2:S525,"&lt;&gt;"))&amp;" images pending"</f>
        <v>In Progress - 33 manufacturer-hosted primary image URLs identified; alt text for all 524; approval and 491 images pending</v>
      </c>
      <c r="H14" s="4" t="s">
        <v>2436</v>
      </c>
    </row>
    <row r="15" spans="1:8" ht="34" customHeight="1" x14ac:dyDescent="0.35">
      <c r="A15" s="5" t="s">
        <v>630</v>
      </c>
      <c r="B15" s="3" t="s">
        <v>626</v>
      </c>
      <c r="C15" s="4" t="s">
        <v>631</v>
      </c>
      <c r="D15" s="4" t="s">
        <v>632</v>
      </c>
      <c r="E15" s="4" t="s">
        <v>633</v>
      </c>
      <c r="F15" s="3" t="s">
        <v>601</v>
      </c>
      <c r="G15" s="7" t="str">
        <f>"In Progress - "&amp;COUNTIF(Products!AE2:AE525,"&lt;&gt;")&amp;" additional image URL records loaded; approved supporting assets pending"</f>
        <v>In Progress - 0 additional image URL records loaded; approved supporting assets pending</v>
      </c>
      <c r="H15" s="4" t="s">
        <v>2437</v>
      </c>
    </row>
    <row r="16" spans="1:8" ht="34" customHeight="1" x14ac:dyDescent="0.35">
      <c r="A16" s="5" t="s">
        <v>598</v>
      </c>
      <c r="B16" s="3" t="s">
        <v>634</v>
      </c>
      <c r="C16" s="4" t="s">
        <v>635</v>
      </c>
      <c r="D16" s="4" t="s">
        <v>636</v>
      </c>
      <c r="E16" s="4" t="s">
        <v>637</v>
      </c>
      <c r="F16" s="3" t="s">
        <v>601</v>
      </c>
      <c r="G16" s="7" t="str">
        <f>"In Progress - "&amp;COUNTIF(Products!U2:U525,"&lt;&gt;")&amp;" public datasheet/brochure URLs loaded; approved documents pending"</f>
        <v>In Progress - 0 public datasheet/brochure URLs loaded; approved documents pending</v>
      </c>
      <c r="H16" s="4" t="s">
        <v>2438</v>
      </c>
    </row>
    <row r="17" spans="1:8" ht="34" customHeight="1" x14ac:dyDescent="0.35">
      <c r="A17" s="5" t="s">
        <v>630</v>
      </c>
      <c r="B17" s="3" t="s">
        <v>634</v>
      </c>
      <c r="C17" s="4" t="s">
        <v>638</v>
      </c>
      <c r="D17" s="4" t="s">
        <v>639</v>
      </c>
      <c r="E17" s="4" t="s">
        <v>640</v>
      </c>
      <c r="F17" s="3" t="s">
        <v>641</v>
      </c>
      <c r="G17" s="7" t="s">
        <v>2674</v>
      </c>
      <c r="H17" s="4" t="s">
        <v>2439</v>
      </c>
    </row>
    <row r="18" spans="1:8" ht="34" customHeight="1" x14ac:dyDescent="0.35">
      <c r="A18" s="5" t="s">
        <v>630</v>
      </c>
      <c r="B18" s="3" t="s">
        <v>626</v>
      </c>
      <c r="C18" s="4" t="s">
        <v>642</v>
      </c>
      <c r="D18" s="4" t="s">
        <v>3061</v>
      </c>
      <c r="E18" s="4" t="s">
        <v>3124</v>
      </c>
      <c r="F18" s="3" t="s">
        <v>617</v>
      </c>
      <c r="G18" s="7" t="str">
        <f>"In Progress - "&amp;COUNTIF(Products!AF2:AF525,"&lt;&gt;")&amp;" video links identified; use only where available and rights-approved"</f>
        <v>In Progress - 18 video links identified; use only where available and rights-approved</v>
      </c>
      <c r="H18" s="4" t="s">
        <v>2440</v>
      </c>
    </row>
    <row r="19" spans="1:8" ht="34" customHeight="1" x14ac:dyDescent="0.35">
      <c r="A19" s="5" t="s">
        <v>630</v>
      </c>
      <c r="B19" s="3" t="s">
        <v>614</v>
      </c>
      <c r="C19" s="4" t="s">
        <v>644</v>
      </c>
      <c r="D19" s="4" t="s">
        <v>3062</v>
      </c>
      <c r="E19" s="4" t="s">
        <v>645</v>
      </c>
      <c r="F19" s="3" t="s">
        <v>625</v>
      </c>
      <c r="G19" s="7" t="str">
        <f>"Available - related listing/category guidance populated for all "&amp;COUNTA(Products!W2:W525)&amp;" products; refinement pending"</f>
        <v>Available - related listing/category guidance populated for all 524 products; refinement pending</v>
      </c>
      <c r="H19" s="4" t="s">
        <v>2441</v>
      </c>
    </row>
    <row r="20" spans="1:8" ht="34" customHeight="1" x14ac:dyDescent="0.35">
      <c r="A20" s="5" t="s">
        <v>598</v>
      </c>
      <c r="B20" s="3" t="s">
        <v>646</v>
      </c>
      <c r="C20" s="4" t="s">
        <v>647</v>
      </c>
      <c r="D20" s="4" t="s">
        <v>648</v>
      </c>
      <c r="E20" s="4" t="s">
        <v>649</v>
      </c>
      <c r="F20" s="3" t="s">
        <v>650</v>
      </c>
      <c r="G20" s="7" t="s">
        <v>602</v>
      </c>
      <c r="H20" s="4" t="s">
        <v>2023</v>
      </c>
    </row>
    <row r="21" spans="1:8" ht="34" customHeight="1" x14ac:dyDescent="0.35">
      <c r="A21" s="5" t="s">
        <v>598</v>
      </c>
      <c r="B21" s="3" t="s">
        <v>646</v>
      </c>
      <c r="C21" s="4" t="s">
        <v>651</v>
      </c>
      <c r="D21" s="4" t="s">
        <v>652</v>
      </c>
      <c r="E21" s="4" t="s">
        <v>653</v>
      </c>
      <c r="F21" s="3" t="s">
        <v>654</v>
      </c>
      <c r="G21" s="7" t="s">
        <v>2675</v>
      </c>
      <c r="H21" s="4" t="s">
        <v>2442</v>
      </c>
    </row>
    <row r="22" spans="1:8" ht="34" customHeight="1" x14ac:dyDescent="0.35">
      <c r="A22" s="5" t="s">
        <v>630</v>
      </c>
      <c r="B22" s="3" t="s">
        <v>655</v>
      </c>
      <c r="C22" s="4" t="s">
        <v>656</v>
      </c>
      <c r="D22" s="4" t="s">
        <v>657</v>
      </c>
      <c r="E22" s="4" t="s">
        <v>658</v>
      </c>
      <c r="F22" s="3" t="s">
        <v>659</v>
      </c>
      <c r="G22" s="7" t="s">
        <v>2676</v>
      </c>
      <c r="H22" s="4" t="s">
        <v>2443</v>
      </c>
    </row>
    <row r="23" spans="1:8" ht="34" customHeight="1" x14ac:dyDescent="0.35">
      <c r="A23" s="5" t="s">
        <v>630</v>
      </c>
      <c r="B23" s="3" t="s">
        <v>655</v>
      </c>
      <c r="C23" s="4" t="s">
        <v>660</v>
      </c>
      <c r="D23" s="4" t="s">
        <v>661</v>
      </c>
      <c r="E23" s="4" t="s">
        <v>662</v>
      </c>
      <c r="F23" s="3" t="s">
        <v>663</v>
      </c>
      <c r="G23" s="7" t="s">
        <v>2677</v>
      </c>
      <c r="H23" s="4" t="s">
        <v>2444</v>
      </c>
    </row>
    <row r="24" spans="1:8" ht="34" customHeight="1" x14ac:dyDescent="0.35">
      <c r="A24" s="5" t="s">
        <v>598</v>
      </c>
      <c r="B24" s="3" t="s">
        <v>664</v>
      </c>
      <c r="C24" s="4" t="s">
        <v>665</v>
      </c>
      <c r="D24" s="4" t="s">
        <v>666</v>
      </c>
      <c r="E24" s="4" t="s">
        <v>667</v>
      </c>
      <c r="F24" s="3" t="s">
        <v>668</v>
      </c>
      <c r="G24" s="7" t="s">
        <v>602</v>
      </c>
      <c r="H24" s="4" t="s">
        <v>2024</v>
      </c>
    </row>
    <row r="25" spans="1:8" ht="34" customHeight="1" x14ac:dyDescent="0.35">
      <c r="A25" s="5" t="s">
        <v>598</v>
      </c>
      <c r="B25" s="3" t="s">
        <v>664</v>
      </c>
      <c r="C25" s="4" t="s">
        <v>669</v>
      </c>
      <c r="D25" s="4" t="s">
        <v>670</v>
      </c>
      <c r="E25" s="4" t="s">
        <v>671</v>
      </c>
      <c r="F25" s="3" t="s">
        <v>659</v>
      </c>
      <c r="G25" s="7" t="s">
        <v>602</v>
      </c>
      <c r="H25" s="4" t="s">
        <v>2025</v>
      </c>
    </row>
    <row r="26" spans="1:8" ht="34" customHeight="1" x14ac:dyDescent="0.35">
      <c r="A26" s="5" t="s">
        <v>598</v>
      </c>
      <c r="B26" s="3" t="s">
        <v>664</v>
      </c>
      <c r="C26" s="4" t="s">
        <v>672</v>
      </c>
      <c r="D26" s="4" t="s">
        <v>673</v>
      </c>
      <c r="E26" s="4" t="s">
        <v>674</v>
      </c>
      <c r="F26" s="3" t="s">
        <v>609</v>
      </c>
      <c r="G26" s="7" t="s">
        <v>2678</v>
      </c>
      <c r="H26" s="4" t="s">
        <v>2445</v>
      </c>
    </row>
    <row r="27" spans="1:8" ht="34" customHeight="1" x14ac:dyDescent="0.35">
      <c r="A27" s="5" t="s">
        <v>630</v>
      </c>
      <c r="B27" s="3" t="s">
        <v>664</v>
      </c>
      <c r="C27" s="4" t="s">
        <v>675</v>
      </c>
      <c r="D27" s="4" t="s">
        <v>676</v>
      </c>
      <c r="E27" s="4" t="s">
        <v>677</v>
      </c>
      <c r="F27" s="3" t="s">
        <v>678</v>
      </c>
      <c r="G27" s="7" t="s">
        <v>602</v>
      </c>
      <c r="H27" s="4" t="s">
        <v>2026</v>
      </c>
    </row>
    <row r="28" spans="1:8" ht="34" customHeight="1" x14ac:dyDescent="0.35">
      <c r="A28" s="5" t="s">
        <v>630</v>
      </c>
      <c r="B28" s="3" t="s">
        <v>679</v>
      </c>
      <c r="C28" s="4" t="s">
        <v>680</v>
      </c>
      <c r="D28" s="4" t="s">
        <v>681</v>
      </c>
      <c r="E28" s="4" t="s">
        <v>682</v>
      </c>
      <c r="F28" s="3" t="s">
        <v>678</v>
      </c>
      <c r="G28" s="7" t="s">
        <v>618</v>
      </c>
      <c r="H28" s="4" t="s">
        <v>683</v>
      </c>
    </row>
    <row r="29" spans="1:8" ht="34" customHeight="1" x14ac:dyDescent="0.35">
      <c r="A29" s="5" t="s">
        <v>630</v>
      </c>
      <c r="B29" s="3" t="s">
        <v>679</v>
      </c>
      <c r="C29" s="4" t="s">
        <v>684</v>
      </c>
      <c r="D29" s="4" t="s">
        <v>685</v>
      </c>
      <c r="E29" s="4" t="s">
        <v>686</v>
      </c>
      <c r="F29" s="3" t="s">
        <v>687</v>
      </c>
      <c r="G29" s="7" t="s">
        <v>618</v>
      </c>
      <c r="H29" s="4" t="s">
        <v>688</v>
      </c>
    </row>
    <row r="30" spans="1:8" ht="34" customHeight="1" x14ac:dyDescent="0.35">
      <c r="A30" s="5" t="s">
        <v>598</v>
      </c>
      <c r="B30" s="3" t="s">
        <v>689</v>
      </c>
      <c r="C30" s="4" t="s">
        <v>690</v>
      </c>
      <c r="D30" s="4" t="s">
        <v>691</v>
      </c>
      <c r="E30" s="4" t="s">
        <v>692</v>
      </c>
      <c r="F30" s="3" t="s">
        <v>693</v>
      </c>
      <c r="G30" s="7" t="s">
        <v>2679</v>
      </c>
      <c r="H30" s="4" t="s">
        <v>2446</v>
      </c>
    </row>
    <row r="31" spans="1:8" ht="34" customHeight="1" x14ac:dyDescent="0.35">
      <c r="A31" s="5" t="s">
        <v>598</v>
      </c>
      <c r="B31" s="3" t="s">
        <v>694</v>
      </c>
      <c r="C31" s="4" t="s">
        <v>695</v>
      </c>
      <c r="D31" s="4" t="s">
        <v>696</v>
      </c>
      <c r="E31" s="4" t="s">
        <v>697</v>
      </c>
      <c r="F31" s="3" t="s">
        <v>668</v>
      </c>
      <c r="G31" s="7" t="s">
        <v>618</v>
      </c>
      <c r="H31" s="4" t="s">
        <v>698</v>
      </c>
    </row>
    <row r="32" spans="1:8" ht="34" customHeight="1" x14ac:dyDescent="0.35">
      <c r="A32" s="5" t="s">
        <v>630</v>
      </c>
      <c r="B32" s="3" t="s">
        <v>694</v>
      </c>
      <c r="C32" s="4" t="s">
        <v>699</v>
      </c>
      <c r="D32" s="4" t="s">
        <v>700</v>
      </c>
      <c r="E32" s="4" t="s">
        <v>701</v>
      </c>
      <c r="F32" s="3" t="s">
        <v>617</v>
      </c>
      <c r="G32" s="7" t="s">
        <v>618</v>
      </c>
      <c r="H32" s="4" t="s">
        <v>629</v>
      </c>
    </row>
    <row r="33" spans="1:8" ht="34" customHeight="1" x14ac:dyDescent="0.35">
      <c r="A33" s="5" t="s">
        <v>598</v>
      </c>
      <c r="B33" s="3" t="s">
        <v>702</v>
      </c>
      <c r="C33" s="4" t="s">
        <v>703</v>
      </c>
      <c r="D33" s="4" t="s">
        <v>704</v>
      </c>
      <c r="E33" s="4" t="s">
        <v>3063</v>
      </c>
      <c r="F33" s="3" t="s">
        <v>705</v>
      </c>
      <c r="G33" s="7" t="s">
        <v>602</v>
      </c>
      <c r="H33" s="4" t="s">
        <v>2027</v>
      </c>
    </row>
    <row r="34" spans="1:8" ht="34" customHeight="1" x14ac:dyDescent="0.35">
      <c r="A34" s="5" t="s">
        <v>598</v>
      </c>
      <c r="B34" s="3" t="s">
        <v>702</v>
      </c>
      <c r="C34" s="4" t="s">
        <v>706</v>
      </c>
      <c r="D34" s="4" t="s">
        <v>707</v>
      </c>
      <c r="E34" s="4" t="s">
        <v>708</v>
      </c>
      <c r="F34" s="3" t="s">
        <v>609</v>
      </c>
      <c r="G34" s="7" t="s">
        <v>602</v>
      </c>
      <c r="H34" s="4" t="s">
        <v>2028</v>
      </c>
    </row>
    <row r="35" spans="1:8" ht="34" customHeight="1" x14ac:dyDescent="0.35">
      <c r="A35" s="5" t="s">
        <v>598</v>
      </c>
      <c r="B35" s="3" t="s">
        <v>709</v>
      </c>
      <c r="C35" s="4" t="s">
        <v>710</v>
      </c>
      <c r="D35" s="4" t="s">
        <v>711</v>
      </c>
      <c r="E35" s="4" t="s">
        <v>712</v>
      </c>
      <c r="F35" s="3" t="s">
        <v>668</v>
      </c>
      <c r="G35" s="7" t="s">
        <v>2680</v>
      </c>
      <c r="H35" s="4" t="s">
        <v>2681</v>
      </c>
    </row>
    <row r="36" spans="1:8" ht="34" customHeight="1" x14ac:dyDescent="0.35">
      <c r="A36" s="5" t="s">
        <v>598</v>
      </c>
      <c r="B36" s="3" t="s">
        <v>713</v>
      </c>
      <c r="C36" s="4" t="s">
        <v>3064</v>
      </c>
      <c r="D36" s="4" t="s">
        <v>3065</v>
      </c>
      <c r="E36" s="4" t="s">
        <v>3066</v>
      </c>
      <c r="F36" s="3" t="s">
        <v>716</v>
      </c>
      <c r="G36" s="7" t="s">
        <v>3067</v>
      </c>
      <c r="H36" s="4" t="s">
        <v>3068</v>
      </c>
    </row>
    <row r="37" spans="1:8" ht="34" customHeight="1" x14ac:dyDescent="0.35">
      <c r="A37" s="5" t="s">
        <v>598</v>
      </c>
      <c r="B37" s="3" t="s">
        <v>713</v>
      </c>
      <c r="C37" s="4" t="s">
        <v>3069</v>
      </c>
      <c r="D37" s="4" t="s">
        <v>3070</v>
      </c>
      <c r="E37" s="4" t="s">
        <v>718</v>
      </c>
      <c r="F37" s="3" t="s">
        <v>719</v>
      </c>
      <c r="G37" s="7" t="s">
        <v>3071</v>
      </c>
      <c r="H37" s="4" t="s">
        <v>3072</v>
      </c>
    </row>
    <row r="38" spans="1:8" ht="34" customHeight="1" x14ac:dyDescent="0.35">
      <c r="A38" s="5" t="s">
        <v>630</v>
      </c>
      <c r="B38" s="3" t="s">
        <v>713</v>
      </c>
      <c r="C38" s="4" t="s">
        <v>3073</v>
      </c>
      <c r="D38" s="4" t="s">
        <v>3074</v>
      </c>
      <c r="E38" s="4" t="s">
        <v>721</v>
      </c>
      <c r="F38" s="3" t="s">
        <v>722</v>
      </c>
      <c r="G38" s="7" t="s">
        <v>3075</v>
      </c>
      <c r="H38" s="4" t="s">
        <v>2447</v>
      </c>
    </row>
    <row r="39" spans="1:8" ht="34" customHeight="1" x14ac:dyDescent="0.35">
      <c r="A39" s="5" t="s">
        <v>630</v>
      </c>
      <c r="B39" s="3" t="s">
        <v>713</v>
      </c>
      <c r="C39" s="4" t="s">
        <v>723</v>
      </c>
      <c r="D39" s="4" t="s">
        <v>724</v>
      </c>
      <c r="E39" s="4" t="s">
        <v>725</v>
      </c>
      <c r="F39" s="3" t="s">
        <v>726</v>
      </c>
      <c r="G39" s="7" t="s">
        <v>2683</v>
      </c>
      <c r="H39" s="4" t="s">
        <v>2448</v>
      </c>
    </row>
    <row r="40" spans="1:8" ht="34" customHeight="1" x14ac:dyDescent="0.35">
      <c r="A40" s="5" t="s">
        <v>598</v>
      </c>
      <c r="B40" s="3" t="s">
        <v>727</v>
      </c>
      <c r="C40" s="4" t="s">
        <v>728</v>
      </c>
      <c r="D40" s="4" t="s">
        <v>729</v>
      </c>
      <c r="E40" s="4" t="s">
        <v>730</v>
      </c>
      <c r="F40" s="3" t="s">
        <v>731</v>
      </c>
      <c r="G40" s="7" t="s">
        <v>2449</v>
      </c>
      <c r="H40" s="4" t="s">
        <v>2450</v>
      </c>
    </row>
    <row r="41" spans="1:8" ht="34" customHeight="1" x14ac:dyDescent="0.35">
      <c r="A41" s="5" t="s">
        <v>598</v>
      </c>
      <c r="B41" s="3" t="s">
        <v>727</v>
      </c>
      <c r="C41" s="4" t="s">
        <v>732</v>
      </c>
      <c r="D41" s="4" t="s">
        <v>733</v>
      </c>
      <c r="E41" s="4" t="s">
        <v>734</v>
      </c>
      <c r="F41" s="3" t="s">
        <v>735</v>
      </c>
      <c r="G41" s="7" t="s">
        <v>618</v>
      </c>
      <c r="H41" s="4" t="s">
        <v>736</v>
      </c>
    </row>
    <row r="42" spans="1:8" ht="34" customHeight="1" x14ac:dyDescent="0.35">
      <c r="A42" s="5" t="s">
        <v>598</v>
      </c>
      <c r="B42" s="3" t="s">
        <v>737</v>
      </c>
      <c r="C42" s="4" t="s">
        <v>738</v>
      </c>
      <c r="D42" s="4" t="s">
        <v>739</v>
      </c>
      <c r="E42" s="4" t="s">
        <v>740</v>
      </c>
      <c r="F42" s="3" t="s">
        <v>741</v>
      </c>
      <c r="G42" s="7" t="s">
        <v>618</v>
      </c>
      <c r="H42" s="4" t="s">
        <v>742</v>
      </c>
    </row>
    <row r="43" spans="1:8" ht="34" customHeight="1" x14ac:dyDescent="0.35">
      <c r="A43" s="5" t="s">
        <v>598</v>
      </c>
      <c r="B43" s="3" t="s">
        <v>737</v>
      </c>
      <c r="C43" s="4" t="s">
        <v>743</v>
      </c>
      <c r="D43" s="4" t="s">
        <v>744</v>
      </c>
      <c r="E43" s="4" t="s">
        <v>745</v>
      </c>
      <c r="F43" s="3" t="s">
        <v>741</v>
      </c>
      <c r="G43" s="7" t="s">
        <v>618</v>
      </c>
      <c r="H43" s="4" t="s">
        <v>742</v>
      </c>
    </row>
    <row r="44" spans="1:8" ht="34" customHeight="1" x14ac:dyDescent="0.35">
      <c r="A44" s="5" t="s">
        <v>598</v>
      </c>
      <c r="B44" s="3" t="s">
        <v>746</v>
      </c>
      <c r="C44" s="4" t="s">
        <v>747</v>
      </c>
      <c r="D44" s="4" t="s">
        <v>748</v>
      </c>
      <c r="E44" s="4" t="s">
        <v>749</v>
      </c>
      <c r="F44" s="3" t="s">
        <v>726</v>
      </c>
      <c r="G44" s="7" t="s">
        <v>618</v>
      </c>
      <c r="H44" s="4" t="s">
        <v>750</v>
      </c>
    </row>
    <row r="45" spans="1:8" ht="34" customHeight="1" x14ac:dyDescent="0.35">
      <c r="A45" s="5" t="s">
        <v>598</v>
      </c>
      <c r="B45" s="3" t="s">
        <v>751</v>
      </c>
      <c r="C45" s="4" t="s">
        <v>752</v>
      </c>
      <c r="D45" s="4" t="s">
        <v>753</v>
      </c>
      <c r="E45" s="4" t="s">
        <v>754</v>
      </c>
      <c r="F45" s="3" t="s">
        <v>755</v>
      </c>
      <c r="G45" s="7" t="s">
        <v>618</v>
      </c>
      <c r="H45" s="4" t="s">
        <v>756</v>
      </c>
    </row>
    <row r="46" spans="1:8" ht="34" customHeight="1" x14ac:dyDescent="0.35">
      <c r="A46" s="5" t="s">
        <v>598</v>
      </c>
      <c r="B46" s="3" t="s">
        <v>757</v>
      </c>
      <c r="C46" s="4" t="s">
        <v>758</v>
      </c>
      <c r="D46" s="4" t="s">
        <v>759</v>
      </c>
      <c r="E46" s="4" t="s">
        <v>760</v>
      </c>
      <c r="F46" s="3" t="s">
        <v>761</v>
      </c>
      <c r="G46" s="7" t="s">
        <v>618</v>
      </c>
      <c r="H46" s="4" t="s">
        <v>762</v>
      </c>
    </row>
    <row r="47" spans="1:8" ht="34" customHeight="1" x14ac:dyDescent="0.35">
      <c r="A47" s="5" t="s">
        <v>630</v>
      </c>
      <c r="B47" s="3" t="s">
        <v>763</v>
      </c>
      <c r="C47" s="4" t="s">
        <v>764</v>
      </c>
      <c r="D47" s="4" t="s">
        <v>765</v>
      </c>
      <c r="E47" s="4" t="s">
        <v>766</v>
      </c>
      <c r="F47" s="3" t="s">
        <v>767</v>
      </c>
      <c r="G47" s="7" t="s">
        <v>618</v>
      </c>
      <c r="H47" s="4" t="s">
        <v>768</v>
      </c>
    </row>
    <row r="48" spans="1:8" ht="34" customHeight="1" x14ac:dyDescent="0.35">
      <c r="A48" s="5" t="s">
        <v>598</v>
      </c>
      <c r="B48" s="3" t="s">
        <v>769</v>
      </c>
      <c r="C48" s="4" t="s">
        <v>770</v>
      </c>
      <c r="D48" s="4" t="s">
        <v>771</v>
      </c>
      <c r="E48" s="4" t="s">
        <v>772</v>
      </c>
      <c r="F48" s="3" t="s">
        <v>609</v>
      </c>
      <c r="G48" s="7" t="s">
        <v>2684</v>
      </c>
      <c r="H48" s="4" t="s">
        <v>2451</v>
      </c>
    </row>
    <row r="49" spans="1:8" ht="34" customHeight="1" x14ac:dyDescent="0.35">
      <c r="A49" s="5" t="s">
        <v>598</v>
      </c>
      <c r="B49" s="3" t="s">
        <v>769</v>
      </c>
      <c r="C49" s="4" t="s">
        <v>774</v>
      </c>
      <c r="D49" s="4" t="s">
        <v>775</v>
      </c>
      <c r="E49" s="4" t="s">
        <v>776</v>
      </c>
      <c r="F49" s="3" t="s">
        <v>777</v>
      </c>
      <c r="G49" s="7" t="s">
        <v>618</v>
      </c>
      <c r="H49" s="4" t="s">
        <v>778</v>
      </c>
    </row>
    <row r="50" spans="1:8" ht="34" customHeight="1" x14ac:dyDescent="0.35">
      <c r="A50" s="5" t="s">
        <v>630</v>
      </c>
      <c r="B50" s="3" t="s">
        <v>769</v>
      </c>
      <c r="C50" s="4" t="s">
        <v>779</v>
      </c>
      <c r="D50" s="4" t="s">
        <v>780</v>
      </c>
      <c r="E50" s="4" t="s">
        <v>781</v>
      </c>
      <c r="F50" s="3" t="s">
        <v>705</v>
      </c>
      <c r="G50" s="7" t="s">
        <v>618</v>
      </c>
      <c r="H50" s="4" t="s">
        <v>782</v>
      </c>
    </row>
  </sheetData>
  <mergeCells count="2">
    <mergeCell ref="A1:H1"/>
    <mergeCell ref="A2:H2"/>
  </mergeCells>
  <dataValidations count="2">
    <dataValidation type="list" allowBlank="1" showInputMessage="1" showErrorMessage="1" sqref="G5:G50" xr:uid="{4A3E1973-9A5D-4D9F-A2CA-7443461F1224}">
      <formula1>"Available,To Prepare,In Progress,Approved,Not Required"</formula1>
    </dataValidation>
    <dataValidation type="list" allowBlank="1" showInputMessage="1" showErrorMessage="1" sqref="A5:A50" xr:uid="{0D83B051-2D54-4F35-A70D-DFCB7914B492}">
      <formula1>"P0,P1,P2"</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A100-7D0F-4D34-A0AA-C568558E2391}">
  <sheetPr>
    <tabColor rgb="FF70AD47"/>
  </sheetPr>
  <dimension ref="A1:H132"/>
  <sheetViews>
    <sheetView showGridLines="0" workbookViewId="0">
      <pane ySplit="4" topLeftCell="A5" activePane="bottomLeft" state="frozen"/>
      <selection pane="bottomLeft" activeCell="E80" sqref="E80"/>
    </sheetView>
  </sheetViews>
  <sheetFormatPr defaultRowHeight="14.5" x14ac:dyDescent="0.35"/>
  <cols>
    <col min="1" max="1" width="10" customWidth="1"/>
    <col min="2" max="2" width="20.90625" customWidth="1"/>
    <col min="3" max="4" width="27.26953125" customWidth="1"/>
    <col min="5" max="5" width="76.36328125" customWidth="1"/>
    <col min="6" max="7" width="26.36328125" customWidth="1"/>
    <col min="8" max="8" width="45.453125" customWidth="1"/>
  </cols>
  <sheetData>
    <row r="1" spans="1:8" ht="28" customHeight="1" thickBot="1" x14ac:dyDescent="0.55000000000000004">
      <c r="A1" s="9" t="s">
        <v>1316</v>
      </c>
      <c r="B1" s="9"/>
      <c r="C1" s="9"/>
      <c r="D1" s="9"/>
      <c r="E1" s="9"/>
      <c r="F1" s="9"/>
      <c r="G1" s="9"/>
      <c r="H1" s="9"/>
    </row>
    <row r="2" spans="1:8" ht="34" customHeight="1" thickTop="1" x14ac:dyDescent="0.35">
      <c r="A2" s="8" t="s">
        <v>3125</v>
      </c>
      <c r="B2" s="8"/>
      <c r="C2" s="8"/>
      <c r="D2" s="8"/>
      <c r="E2" s="8"/>
      <c r="F2" s="8"/>
      <c r="G2" s="8"/>
      <c r="H2" s="8"/>
    </row>
    <row r="4" spans="1:8" x14ac:dyDescent="0.35">
      <c r="A4" t="s">
        <v>590</v>
      </c>
      <c r="B4" t="s">
        <v>783</v>
      </c>
      <c r="C4" t="s">
        <v>784</v>
      </c>
      <c r="D4" t="s">
        <v>785</v>
      </c>
      <c r="E4" t="s">
        <v>786</v>
      </c>
      <c r="F4" t="s">
        <v>1317</v>
      </c>
      <c r="G4" t="s">
        <v>596</v>
      </c>
      <c r="H4" t="s">
        <v>1318</v>
      </c>
    </row>
    <row r="5" spans="1:8" ht="26" x14ac:dyDescent="0.35">
      <c r="A5" s="4" t="s">
        <v>598</v>
      </c>
      <c r="B5" s="4" t="s">
        <v>694</v>
      </c>
      <c r="C5" s="4" t="s">
        <v>1319</v>
      </c>
      <c r="D5" s="4" t="s">
        <v>1320</v>
      </c>
      <c r="E5" s="4" t="s">
        <v>1321</v>
      </c>
      <c r="F5" s="4" t="s">
        <v>1322</v>
      </c>
      <c r="G5" s="4" t="s">
        <v>1323</v>
      </c>
      <c r="H5" s="4" t="s">
        <v>1324</v>
      </c>
    </row>
    <row r="6" spans="1:8" x14ac:dyDescent="0.35">
      <c r="A6" s="4" t="s">
        <v>598</v>
      </c>
      <c r="B6" s="4" t="s">
        <v>694</v>
      </c>
      <c r="C6" s="4" t="s">
        <v>1325</v>
      </c>
      <c r="D6" s="4" t="s">
        <v>787</v>
      </c>
      <c r="E6" s="4" t="s">
        <v>1326</v>
      </c>
      <c r="F6" s="4" t="s">
        <v>1322</v>
      </c>
      <c r="G6" s="4" t="s">
        <v>1323</v>
      </c>
      <c r="H6" s="4" t="s">
        <v>1327</v>
      </c>
    </row>
    <row r="7" spans="1:8" ht="39" x14ac:dyDescent="0.35">
      <c r="A7" s="4" t="s">
        <v>598</v>
      </c>
      <c r="B7" s="4" t="s">
        <v>694</v>
      </c>
      <c r="C7" s="4" t="s">
        <v>1328</v>
      </c>
      <c r="D7" s="4" t="s">
        <v>1329</v>
      </c>
      <c r="E7" s="4" t="s">
        <v>2156</v>
      </c>
      <c r="F7" s="4" t="s">
        <v>1322</v>
      </c>
      <c r="G7" s="4" t="s">
        <v>1323</v>
      </c>
      <c r="H7" s="4" t="s">
        <v>1330</v>
      </c>
    </row>
    <row r="8" spans="1:8" ht="39" x14ac:dyDescent="0.35">
      <c r="A8" s="4" t="s">
        <v>598</v>
      </c>
      <c r="B8" s="4" t="s">
        <v>694</v>
      </c>
      <c r="C8" s="4" t="s">
        <v>1331</v>
      </c>
      <c r="D8" s="4" t="s">
        <v>1332</v>
      </c>
      <c r="E8" s="4" t="s">
        <v>2157</v>
      </c>
      <c r="F8" s="4" t="s">
        <v>1322</v>
      </c>
      <c r="G8" s="4" t="s">
        <v>1323</v>
      </c>
      <c r="H8" s="4" t="s">
        <v>1333</v>
      </c>
    </row>
    <row r="9" spans="1:8" ht="39" x14ac:dyDescent="0.35">
      <c r="A9" s="4" t="s">
        <v>598</v>
      </c>
      <c r="B9" s="4" t="s">
        <v>694</v>
      </c>
      <c r="C9" s="4" t="s">
        <v>1334</v>
      </c>
      <c r="D9" s="4" t="s">
        <v>1335</v>
      </c>
      <c r="E9" s="4" t="s">
        <v>2158</v>
      </c>
      <c r="F9" s="4" t="s">
        <v>1322</v>
      </c>
      <c r="G9" s="4" t="s">
        <v>1323</v>
      </c>
      <c r="H9" s="4" t="s">
        <v>1336</v>
      </c>
    </row>
    <row r="10" spans="1:8" ht="26" x14ac:dyDescent="0.35">
      <c r="A10" s="4" t="s">
        <v>598</v>
      </c>
      <c r="B10" s="4" t="s">
        <v>694</v>
      </c>
      <c r="C10" s="4" t="s">
        <v>1337</v>
      </c>
      <c r="D10" s="4" t="s">
        <v>1338</v>
      </c>
      <c r="E10" s="4" t="s">
        <v>1339</v>
      </c>
      <c r="F10" s="4" t="s">
        <v>1322</v>
      </c>
      <c r="G10" s="4" t="s">
        <v>1323</v>
      </c>
      <c r="H10" s="4" t="s">
        <v>1340</v>
      </c>
    </row>
    <row r="11" spans="1:8" ht="39" x14ac:dyDescent="0.35">
      <c r="A11" s="4" t="s">
        <v>598</v>
      </c>
      <c r="B11" s="4" t="s">
        <v>694</v>
      </c>
      <c r="C11" s="4" t="s">
        <v>1341</v>
      </c>
      <c r="D11" s="4" t="s">
        <v>1342</v>
      </c>
      <c r="E11" s="4" t="s">
        <v>1343</v>
      </c>
      <c r="F11" s="4" t="s">
        <v>1344</v>
      </c>
      <c r="G11" s="4" t="s">
        <v>806</v>
      </c>
      <c r="H11" s="4" t="s">
        <v>1345</v>
      </c>
    </row>
    <row r="12" spans="1:8" x14ac:dyDescent="0.35">
      <c r="A12" s="4" t="s">
        <v>598</v>
      </c>
      <c r="B12" s="4" t="s">
        <v>788</v>
      </c>
      <c r="C12" s="4" t="s">
        <v>789</v>
      </c>
      <c r="D12" s="4" t="s">
        <v>1346</v>
      </c>
      <c r="E12" s="4" t="s">
        <v>1326</v>
      </c>
      <c r="F12" s="4" t="s">
        <v>1322</v>
      </c>
      <c r="G12" s="4" t="s">
        <v>1347</v>
      </c>
      <c r="H12" s="4" t="s">
        <v>1348</v>
      </c>
    </row>
    <row r="13" spans="1:8" x14ac:dyDescent="0.35">
      <c r="A13" s="4" t="s">
        <v>598</v>
      </c>
      <c r="B13" s="4" t="s">
        <v>788</v>
      </c>
      <c r="C13" s="4" t="s">
        <v>789</v>
      </c>
      <c r="D13" s="4" t="s">
        <v>790</v>
      </c>
      <c r="E13" s="4" t="s">
        <v>1339</v>
      </c>
      <c r="F13" s="4" t="s">
        <v>1322</v>
      </c>
      <c r="G13" s="4" t="s">
        <v>1347</v>
      </c>
      <c r="H13" s="4" t="s">
        <v>1349</v>
      </c>
    </row>
    <row r="14" spans="1:8" ht="39" x14ac:dyDescent="0.35">
      <c r="A14" s="4" t="s">
        <v>598</v>
      </c>
      <c r="B14" s="4" t="s">
        <v>788</v>
      </c>
      <c r="C14" s="4" t="s">
        <v>789</v>
      </c>
      <c r="D14" s="4" t="s">
        <v>1350</v>
      </c>
      <c r="E14" s="4" t="s">
        <v>1351</v>
      </c>
      <c r="F14" s="4" t="s">
        <v>1322</v>
      </c>
      <c r="G14" s="4" t="s">
        <v>1347</v>
      </c>
      <c r="H14" s="4" t="s">
        <v>1352</v>
      </c>
    </row>
    <row r="15" spans="1:8" x14ac:dyDescent="0.35">
      <c r="A15" s="4" t="s">
        <v>598</v>
      </c>
      <c r="B15" s="4" t="s">
        <v>788</v>
      </c>
      <c r="C15" s="4" t="s">
        <v>789</v>
      </c>
      <c r="D15" s="4" t="s">
        <v>791</v>
      </c>
      <c r="E15" s="4" t="s">
        <v>1353</v>
      </c>
      <c r="F15" s="4" t="s">
        <v>1322</v>
      </c>
      <c r="G15" s="4" t="s">
        <v>1347</v>
      </c>
      <c r="H15" s="4" t="s">
        <v>1354</v>
      </c>
    </row>
    <row r="16" spans="1:8" ht="26" x14ac:dyDescent="0.35">
      <c r="A16" s="4" t="s">
        <v>598</v>
      </c>
      <c r="B16" s="4" t="s">
        <v>788</v>
      </c>
      <c r="C16" s="4" t="s">
        <v>789</v>
      </c>
      <c r="D16" s="4" t="s">
        <v>792</v>
      </c>
      <c r="E16" s="4" t="s">
        <v>1355</v>
      </c>
      <c r="F16" s="4" t="s">
        <v>1322</v>
      </c>
      <c r="G16" s="4" t="s">
        <v>1347</v>
      </c>
      <c r="H16" s="4" t="s">
        <v>1356</v>
      </c>
    </row>
    <row r="17" spans="1:8" x14ac:dyDescent="0.35">
      <c r="A17" s="4" t="s">
        <v>598</v>
      </c>
      <c r="B17" s="4" t="s">
        <v>788</v>
      </c>
      <c r="C17" s="4" t="s">
        <v>1357</v>
      </c>
      <c r="D17" s="4" t="s">
        <v>1358</v>
      </c>
      <c r="E17" s="4" t="s">
        <v>1359</v>
      </c>
      <c r="F17" s="4" t="s">
        <v>1322</v>
      </c>
      <c r="G17" s="4" t="s">
        <v>1347</v>
      </c>
      <c r="H17" s="4" t="s">
        <v>1360</v>
      </c>
    </row>
    <row r="18" spans="1:8" ht="52" x14ac:dyDescent="0.35">
      <c r="A18" s="4" t="s">
        <v>598</v>
      </c>
      <c r="B18" s="4" t="s">
        <v>788</v>
      </c>
      <c r="C18" s="4" t="s">
        <v>1357</v>
      </c>
      <c r="D18" s="4" t="s">
        <v>1361</v>
      </c>
      <c r="E18" s="4" t="s">
        <v>1362</v>
      </c>
      <c r="F18" s="4" t="s">
        <v>1322</v>
      </c>
      <c r="G18" s="4" t="s">
        <v>1347</v>
      </c>
      <c r="H18" s="4" t="s">
        <v>1363</v>
      </c>
    </row>
    <row r="19" spans="1:8" x14ac:dyDescent="0.35">
      <c r="A19" s="4" t="s">
        <v>598</v>
      </c>
      <c r="B19" s="4" t="s">
        <v>788</v>
      </c>
      <c r="C19" s="4" t="s">
        <v>1364</v>
      </c>
      <c r="D19" s="4" t="s">
        <v>1365</v>
      </c>
      <c r="E19" s="4" t="s">
        <v>1366</v>
      </c>
      <c r="F19" s="4" t="s">
        <v>1344</v>
      </c>
      <c r="G19" s="4" t="s">
        <v>1323</v>
      </c>
      <c r="H19" s="4" t="s">
        <v>1367</v>
      </c>
    </row>
    <row r="20" spans="1:8" ht="39" x14ac:dyDescent="0.35">
      <c r="A20" s="4" t="s">
        <v>598</v>
      </c>
      <c r="B20" s="4" t="s">
        <v>788</v>
      </c>
      <c r="C20" s="4" t="s">
        <v>1364</v>
      </c>
      <c r="D20" s="4" t="s">
        <v>1368</v>
      </c>
      <c r="E20" s="4" t="s">
        <v>1369</v>
      </c>
      <c r="F20" s="4" t="s">
        <v>1344</v>
      </c>
      <c r="G20" s="4" t="s">
        <v>1347</v>
      </c>
      <c r="H20" s="4" t="s">
        <v>1370</v>
      </c>
    </row>
    <row r="21" spans="1:8" x14ac:dyDescent="0.35">
      <c r="A21" s="4" t="s">
        <v>598</v>
      </c>
      <c r="B21" s="4" t="s">
        <v>788</v>
      </c>
      <c r="C21" s="4" t="s">
        <v>1364</v>
      </c>
      <c r="D21" s="4" t="s">
        <v>1371</v>
      </c>
      <c r="E21" s="4" t="s">
        <v>1372</v>
      </c>
      <c r="F21" s="4" t="s">
        <v>1373</v>
      </c>
      <c r="G21" s="4" t="s">
        <v>1323</v>
      </c>
      <c r="H21" s="4" t="s">
        <v>1374</v>
      </c>
    </row>
    <row r="22" spans="1:8" ht="26" x14ac:dyDescent="0.35">
      <c r="A22" s="4" t="s">
        <v>598</v>
      </c>
      <c r="B22" s="4" t="s">
        <v>788</v>
      </c>
      <c r="C22" s="4" t="s">
        <v>1364</v>
      </c>
      <c r="D22" s="4" t="s">
        <v>1375</v>
      </c>
      <c r="E22" s="4" t="s">
        <v>1376</v>
      </c>
      <c r="F22" s="4" t="s">
        <v>1373</v>
      </c>
      <c r="G22" s="4" t="s">
        <v>1347</v>
      </c>
      <c r="H22" s="4" t="s">
        <v>1377</v>
      </c>
    </row>
    <row r="23" spans="1:8" x14ac:dyDescent="0.35">
      <c r="A23" s="4" t="s">
        <v>598</v>
      </c>
      <c r="B23" s="4" t="s">
        <v>788</v>
      </c>
      <c r="C23" s="4" t="s">
        <v>1364</v>
      </c>
      <c r="D23" s="4" t="s">
        <v>1378</v>
      </c>
      <c r="E23" s="4" t="s">
        <v>1379</v>
      </c>
      <c r="F23" s="4" t="s">
        <v>1380</v>
      </c>
      <c r="G23" s="4" t="s">
        <v>1323</v>
      </c>
      <c r="H23" s="4" t="s">
        <v>1381</v>
      </c>
    </row>
    <row r="24" spans="1:8" ht="39" x14ac:dyDescent="0.35">
      <c r="A24" s="4" t="s">
        <v>598</v>
      </c>
      <c r="B24" s="4" t="s">
        <v>788</v>
      </c>
      <c r="C24" s="4" t="s">
        <v>1364</v>
      </c>
      <c r="D24" s="4" t="s">
        <v>1382</v>
      </c>
      <c r="E24" s="4" t="s">
        <v>1383</v>
      </c>
      <c r="F24" s="4" t="s">
        <v>1380</v>
      </c>
      <c r="G24" s="4" t="s">
        <v>1347</v>
      </c>
      <c r="H24" s="4" t="s">
        <v>1384</v>
      </c>
    </row>
    <row r="25" spans="1:8" x14ac:dyDescent="0.35">
      <c r="A25" s="4" t="s">
        <v>598</v>
      </c>
      <c r="B25" s="4" t="s">
        <v>788</v>
      </c>
      <c r="C25" s="4" t="s">
        <v>1385</v>
      </c>
      <c r="D25" s="4" t="s">
        <v>1358</v>
      </c>
      <c r="E25" s="4" t="s">
        <v>1386</v>
      </c>
      <c r="F25" s="4" t="s">
        <v>1322</v>
      </c>
      <c r="G25" s="4" t="s">
        <v>1347</v>
      </c>
      <c r="H25" s="4" t="s">
        <v>1387</v>
      </c>
    </row>
    <row r="26" spans="1:8" ht="26" x14ac:dyDescent="0.35">
      <c r="A26" s="4" t="s">
        <v>598</v>
      </c>
      <c r="B26" s="4" t="s">
        <v>788</v>
      </c>
      <c r="C26" s="4" t="s">
        <v>1385</v>
      </c>
      <c r="D26" s="4" t="s">
        <v>1388</v>
      </c>
      <c r="E26" s="4" t="s">
        <v>1389</v>
      </c>
      <c r="F26" s="4" t="s">
        <v>1380</v>
      </c>
      <c r="G26" s="4" t="s">
        <v>1323</v>
      </c>
      <c r="H26" s="4" t="s">
        <v>1390</v>
      </c>
    </row>
    <row r="27" spans="1:8" ht="26" x14ac:dyDescent="0.35">
      <c r="A27" s="4" t="s">
        <v>598</v>
      </c>
      <c r="B27" s="4" t="s">
        <v>788</v>
      </c>
      <c r="C27" s="4" t="s">
        <v>1385</v>
      </c>
      <c r="D27" s="4" t="s">
        <v>1391</v>
      </c>
      <c r="E27" s="4" t="s">
        <v>1392</v>
      </c>
      <c r="F27" s="4" t="s">
        <v>1344</v>
      </c>
      <c r="G27" s="4" t="s">
        <v>1323</v>
      </c>
      <c r="H27" s="4" t="s">
        <v>1393</v>
      </c>
    </row>
    <row r="28" spans="1:8" ht="26" x14ac:dyDescent="0.35">
      <c r="A28" s="4" t="s">
        <v>598</v>
      </c>
      <c r="B28" s="4" t="s">
        <v>788</v>
      </c>
      <c r="C28" s="4" t="s">
        <v>1385</v>
      </c>
      <c r="D28" s="4" t="s">
        <v>1394</v>
      </c>
      <c r="E28" s="4" t="s">
        <v>1395</v>
      </c>
      <c r="F28" s="4" t="s">
        <v>1373</v>
      </c>
      <c r="G28" s="4" t="s">
        <v>1323</v>
      </c>
      <c r="H28" s="4" t="s">
        <v>1396</v>
      </c>
    </row>
    <row r="29" spans="1:8" ht="39" x14ac:dyDescent="0.35">
      <c r="A29" s="4" t="s">
        <v>598</v>
      </c>
      <c r="B29" s="4" t="s">
        <v>788</v>
      </c>
      <c r="C29" s="4" t="s">
        <v>793</v>
      </c>
      <c r="D29" s="4" t="s">
        <v>1397</v>
      </c>
      <c r="E29" s="4" t="s">
        <v>1398</v>
      </c>
      <c r="F29" s="4" t="s">
        <v>1322</v>
      </c>
      <c r="G29" s="4" t="s">
        <v>1347</v>
      </c>
      <c r="H29" s="4" t="s">
        <v>1399</v>
      </c>
    </row>
    <row r="30" spans="1:8" ht="52" x14ac:dyDescent="0.35">
      <c r="A30" s="4" t="s">
        <v>598</v>
      </c>
      <c r="B30" s="4" t="s">
        <v>1400</v>
      </c>
      <c r="C30" s="4" t="s">
        <v>797</v>
      </c>
      <c r="D30" s="4" t="s">
        <v>798</v>
      </c>
      <c r="E30" s="4" t="s">
        <v>1401</v>
      </c>
      <c r="F30" s="4" t="s">
        <v>1322</v>
      </c>
      <c r="G30" s="4" t="s">
        <v>1347</v>
      </c>
      <c r="H30" s="4" t="s">
        <v>1402</v>
      </c>
    </row>
    <row r="31" spans="1:8" ht="52" x14ac:dyDescent="0.35">
      <c r="A31" s="4" t="s">
        <v>598</v>
      </c>
      <c r="B31" s="4" t="s">
        <v>1400</v>
      </c>
      <c r="C31" s="4" t="s">
        <v>1331</v>
      </c>
      <c r="D31" s="4" t="s">
        <v>1403</v>
      </c>
      <c r="E31" s="4" t="s">
        <v>1404</v>
      </c>
      <c r="F31" s="4" t="s">
        <v>1322</v>
      </c>
      <c r="G31" s="4" t="s">
        <v>1347</v>
      </c>
      <c r="H31" s="4" t="s">
        <v>1405</v>
      </c>
    </row>
    <row r="32" spans="1:8" ht="39" x14ac:dyDescent="0.35">
      <c r="A32" s="4" t="s">
        <v>598</v>
      </c>
      <c r="B32" s="4" t="s">
        <v>1400</v>
      </c>
      <c r="C32" s="4" t="s">
        <v>1406</v>
      </c>
      <c r="D32" s="4" t="s">
        <v>1361</v>
      </c>
      <c r="E32" s="4" t="s">
        <v>1407</v>
      </c>
      <c r="F32" s="4" t="s">
        <v>1322</v>
      </c>
      <c r="G32" s="4" t="s">
        <v>1347</v>
      </c>
      <c r="H32" s="4" t="s">
        <v>1408</v>
      </c>
    </row>
    <row r="33" spans="1:8" ht="39" x14ac:dyDescent="0.35">
      <c r="A33" s="4" t="s">
        <v>598</v>
      </c>
      <c r="B33" s="4" t="s">
        <v>1400</v>
      </c>
      <c r="C33" s="4" t="s">
        <v>1409</v>
      </c>
      <c r="D33" s="4" t="s">
        <v>1361</v>
      </c>
      <c r="E33" s="4" t="s">
        <v>1410</v>
      </c>
      <c r="F33" s="4" t="s">
        <v>1322</v>
      </c>
      <c r="G33" s="4" t="s">
        <v>1323</v>
      </c>
      <c r="H33" s="4" t="s">
        <v>1411</v>
      </c>
    </row>
    <row r="34" spans="1:8" ht="39" x14ac:dyDescent="0.35">
      <c r="A34" s="4" t="s">
        <v>598</v>
      </c>
      <c r="B34" s="4" t="s">
        <v>1364</v>
      </c>
      <c r="C34" s="4" t="s">
        <v>797</v>
      </c>
      <c r="D34" s="4" t="s">
        <v>798</v>
      </c>
      <c r="E34" s="4" t="s">
        <v>1412</v>
      </c>
      <c r="F34" s="4" t="s">
        <v>1322</v>
      </c>
      <c r="G34" s="4" t="s">
        <v>1347</v>
      </c>
      <c r="H34" s="4" t="s">
        <v>1413</v>
      </c>
    </row>
    <row r="35" spans="1:8" x14ac:dyDescent="0.35">
      <c r="A35" s="4" t="s">
        <v>598</v>
      </c>
      <c r="B35" s="4" t="s">
        <v>1414</v>
      </c>
      <c r="C35" s="4" t="s">
        <v>1415</v>
      </c>
      <c r="D35" s="4" t="s">
        <v>1416</v>
      </c>
      <c r="E35" s="4" t="s">
        <v>1366</v>
      </c>
      <c r="F35" s="4" t="s">
        <v>1344</v>
      </c>
      <c r="G35" s="4" t="s">
        <v>1323</v>
      </c>
      <c r="H35" s="4" t="s">
        <v>1367</v>
      </c>
    </row>
    <row r="36" spans="1:8" ht="39" x14ac:dyDescent="0.35">
      <c r="A36" s="4" t="s">
        <v>598</v>
      </c>
      <c r="B36" s="4" t="s">
        <v>1414</v>
      </c>
      <c r="C36" s="4" t="s">
        <v>1357</v>
      </c>
      <c r="D36" s="4" t="s">
        <v>1417</v>
      </c>
      <c r="E36" s="4" t="s">
        <v>1418</v>
      </c>
      <c r="F36" s="4" t="s">
        <v>1344</v>
      </c>
      <c r="G36" s="4" t="s">
        <v>1323</v>
      </c>
      <c r="H36" s="4" t="s">
        <v>1419</v>
      </c>
    </row>
    <row r="37" spans="1:8" ht="91" x14ac:dyDescent="0.35">
      <c r="A37" s="4" t="s">
        <v>598</v>
      </c>
      <c r="B37" s="4" t="s">
        <v>1414</v>
      </c>
      <c r="C37" s="4" t="s">
        <v>1420</v>
      </c>
      <c r="D37" s="4" t="s">
        <v>1421</v>
      </c>
      <c r="E37" s="4" t="s">
        <v>1422</v>
      </c>
      <c r="F37" s="4" t="s">
        <v>1344</v>
      </c>
      <c r="G37" s="4" t="s">
        <v>1323</v>
      </c>
      <c r="H37" s="4" t="s">
        <v>1423</v>
      </c>
    </row>
    <row r="38" spans="1:8" x14ac:dyDescent="0.35">
      <c r="A38" s="4" t="s">
        <v>598</v>
      </c>
      <c r="B38" s="4" t="s">
        <v>1414</v>
      </c>
      <c r="C38" s="4" t="s">
        <v>1424</v>
      </c>
      <c r="D38" s="4" t="s">
        <v>1425</v>
      </c>
      <c r="E38" s="4" t="s">
        <v>1426</v>
      </c>
      <c r="F38" s="4" t="s">
        <v>1344</v>
      </c>
      <c r="G38" s="4" t="s">
        <v>1323</v>
      </c>
      <c r="H38" s="4" t="s">
        <v>1427</v>
      </c>
    </row>
    <row r="39" spans="1:8" ht="39" x14ac:dyDescent="0.35">
      <c r="A39" s="4" t="s">
        <v>598</v>
      </c>
      <c r="B39" s="4" t="s">
        <v>1414</v>
      </c>
      <c r="C39" s="4" t="s">
        <v>1428</v>
      </c>
      <c r="D39" s="4" t="s">
        <v>1361</v>
      </c>
      <c r="E39" s="4" t="s">
        <v>1429</v>
      </c>
      <c r="F39" s="4" t="s">
        <v>1344</v>
      </c>
      <c r="G39" s="4" t="s">
        <v>1347</v>
      </c>
      <c r="H39" s="4" t="s">
        <v>1430</v>
      </c>
    </row>
    <row r="40" spans="1:8" ht="52" x14ac:dyDescent="0.35">
      <c r="A40" s="4" t="s">
        <v>598</v>
      </c>
      <c r="B40" s="4" t="s">
        <v>1414</v>
      </c>
      <c r="C40" s="4" t="s">
        <v>795</v>
      </c>
      <c r="D40" s="4" t="s">
        <v>1431</v>
      </c>
      <c r="E40" s="4" t="s">
        <v>3077</v>
      </c>
      <c r="F40" s="4" t="s">
        <v>1344</v>
      </c>
      <c r="G40" s="4" t="s">
        <v>1347</v>
      </c>
      <c r="H40" s="4" t="s">
        <v>3078</v>
      </c>
    </row>
    <row r="41" spans="1:8" x14ac:dyDescent="0.35">
      <c r="A41" s="4" t="s">
        <v>598</v>
      </c>
      <c r="B41" s="4" t="s">
        <v>1432</v>
      </c>
      <c r="C41" s="4" t="s">
        <v>1415</v>
      </c>
      <c r="D41" s="4" t="s">
        <v>1416</v>
      </c>
      <c r="E41" s="4" t="s">
        <v>1372</v>
      </c>
      <c r="F41" s="4" t="s">
        <v>1373</v>
      </c>
      <c r="G41" s="4" t="s">
        <v>1323</v>
      </c>
      <c r="H41" s="4" t="s">
        <v>1374</v>
      </c>
    </row>
    <row r="42" spans="1:8" ht="39" x14ac:dyDescent="0.35">
      <c r="A42" s="4" t="s">
        <v>598</v>
      </c>
      <c r="B42" s="4" t="s">
        <v>1432</v>
      </c>
      <c r="C42" s="4" t="s">
        <v>1357</v>
      </c>
      <c r="D42" s="4" t="s">
        <v>1417</v>
      </c>
      <c r="E42" s="4" t="s">
        <v>1433</v>
      </c>
      <c r="F42" s="4" t="s">
        <v>1373</v>
      </c>
      <c r="G42" s="4" t="s">
        <v>1323</v>
      </c>
      <c r="H42" s="4" t="s">
        <v>1419</v>
      </c>
    </row>
    <row r="43" spans="1:8" ht="52" x14ac:dyDescent="0.35">
      <c r="A43" s="4" t="s">
        <v>598</v>
      </c>
      <c r="B43" s="4" t="s">
        <v>1432</v>
      </c>
      <c r="C43" s="4" t="s">
        <v>1420</v>
      </c>
      <c r="D43" s="4" t="s">
        <v>1421</v>
      </c>
      <c r="E43" s="4" t="s">
        <v>1434</v>
      </c>
      <c r="F43" s="4" t="s">
        <v>1373</v>
      </c>
      <c r="G43" s="4" t="s">
        <v>1323</v>
      </c>
      <c r="H43" s="4" t="s">
        <v>1435</v>
      </c>
    </row>
    <row r="44" spans="1:8" x14ac:dyDescent="0.35">
      <c r="A44" s="4" t="s">
        <v>598</v>
      </c>
      <c r="B44" s="4" t="s">
        <v>1432</v>
      </c>
      <c r="C44" s="4" t="s">
        <v>1424</v>
      </c>
      <c r="D44" s="4" t="s">
        <v>1425</v>
      </c>
      <c r="E44" s="4" t="s">
        <v>1436</v>
      </c>
      <c r="F44" s="4" t="s">
        <v>1373</v>
      </c>
      <c r="G44" s="4" t="s">
        <v>1323</v>
      </c>
      <c r="H44" s="4" t="s">
        <v>1427</v>
      </c>
    </row>
    <row r="45" spans="1:8" ht="39" x14ac:dyDescent="0.35">
      <c r="A45" s="4" t="s">
        <v>598</v>
      </c>
      <c r="B45" s="4" t="s">
        <v>1432</v>
      </c>
      <c r="C45" s="4" t="s">
        <v>1428</v>
      </c>
      <c r="D45" s="4" t="s">
        <v>1361</v>
      </c>
      <c r="E45" s="4" t="s">
        <v>1437</v>
      </c>
      <c r="F45" s="4" t="s">
        <v>1373</v>
      </c>
      <c r="G45" s="4" t="s">
        <v>1347</v>
      </c>
      <c r="H45" s="4" t="s">
        <v>1438</v>
      </c>
    </row>
    <row r="46" spans="1:8" x14ac:dyDescent="0.35">
      <c r="A46" s="4" t="s">
        <v>598</v>
      </c>
      <c r="B46" s="4" t="s">
        <v>1439</v>
      </c>
      <c r="C46" s="4" t="s">
        <v>1415</v>
      </c>
      <c r="D46" s="4" t="s">
        <v>1416</v>
      </c>
      <c r="E46" s="4" t="s">
        <v>1379</v>
      </c>
      <c r="F46" s="4" t="s">
        <v>1380</v>
      </c>
      <c r="G46" s="4" t="s">
        <v>1323</v>
      </c>
      <c r="H46" s="4" t="s">
        <v>1381</v>
      </c>
    </row>
    <row r="47" spans="1:8" ht="52" x14ac:dyDescent="0.35">
      <c r="A47" s="4" t="s">
        <v>598</v>
      </c>
      <c r="B47" s="4" t="s">
        <v>1439</v>
      </c>
      <c r="C47" s="4" t="s">
        <v>1357</v>
      </c>
      <c r="D47" s="4" t="s">
        <v>1417</v>
      </c>
      <c r="E47" s="4" t="s">
        <v>1440</v>
      </c>
      <c r="F47" s="4" t="s">
        <v>1380</v>
      </c>
      <c r="G47" s="4" t="s">
        <v>1323</v>
      </c>
      <c r="H47" s="4" t="s">
        <v>1419</v>
      </c>
    </row>
    <row r="48" spans="1:8" ht="52" x14ac:dyDescent="0.35">
      <c r="A48" s="4" t="s">
        <v>598</v>
      </c>
      <c r="B48" s="4" t="s">
        <v>1439</v>
      </c>
      <c r="C48" s="4" t="s">
        <v>1420</v>
      </c>
      <c r="D48" s="4" t="s">
        <v>1421</v>
      </c>
      <c r="E48" s="4" t="s">
        <v>1441</v>
      </c>
      <c r="F48" s="4" t="s">
        <v>1380</v>
      </c>
      <c r="G48" s="4" t="s">
        <v>1323</v>
      </c>
      <c r="H48" s="4" t="s">
        <v>1442</v>
      </c>
    </row>
    <row r="49" spans="1:8" x14ac:dyDescent="0.35">
      <c r="A49" s="4" t="s">
        <v>598</v>
      </c>
      <c r="B49" s="4" t="s">
        <v>1439</v>
      </c>
      <c r="C49" s="4" t="s">
        <v>1424</v>
      </c>
      <c r="D49" s="4" t="s">
        <v>1425</v>
      </c>
      <c r="E49" s="4" t="s">
        <v>1443</v>
      </c>
      <c r="F49" s="4" t="s">
        <v>1380</v>
      </c>
      <c r="G49" s="4" t="s">
        <v>1323</v>
      </c>
      <c r="H49" s="4" t="s">
        <v>1427</v>
      </c>
    </row>
    <row r="50" spans="1:8" ht="39" x14ac:dyDescent="0.35">
      <c r="A50" s="4" t="s">
        <v>598</v>
      </c>
      <c r="B50" s="4" t="s">
        <v>1439</v>
      </c>
      <c r="C50" s="4" t="s">
        <v>1428</v>
      </c>
      <c r="D50" s="4" t="s">
        <v>1361</v>
      </c>
      <c r="E50" s="4" t="s">
        <v>1444</v>
      </c>
      <c r="F50" s="4" t="s">
        <v>1380</v>
      </c>
      <c r="G50" s="4" t="s">
        <v>1347</v>
      </c>
      <c r="H50" s="4" t="s">
        <v>1445</v>
      </c>
    </row>
    <row r="51" spans="1:8" x14ac:dyDescent="0.35">
      <c r="A51" s="10" t="s">
        <v>598</v>
      </c>
      <c r="B51" s="4" t="s">
        <v>1439</v>
      </c>
      <c r="C51" s="4" t="s">
        <v>789</v>
      </c>
      <c r="D51" s="4" t="s">
        <v>1346</v>
      </c>
      <c r="E51" s="4" t="s">
        <v>2092</v>
      </c>
      <c r="F51" s="4" t="s">
        <v>1380</v>
      </c>
      <c r="G51" s="4" t="s">
        <v>2080</v>
      </c>
      <c r="H51" s="4" t="s">
        <v>2093</v>
      </c>
    </row>
    <row r="52" spans="1:8" ht="26" x14ac:dyDescent="0.35">
      <c r="A52" s="10" t="s">
        <v>598</v>
      </c>
      <c r="B52" s="4" t="s">
        <v>1439</v>
      </c>
      <c r="C52" s="4" t="s">
        <v>789</v>
      </c>
      <c r="D52" s="4" t="s">
        <v>790</v>
      </c>
      <c r="E52" s="4" t="s">
        <v>2094</v>
      </c>
      <c r="F52" s="4" t="s">
        <v>1380</v>
      </c>
      <c r="G52" s="4" t="s">
        <v>2095</v>
      </c>
      <c r="H52" s="4" t="s">
        <v>2096</v>
      </c>
    </row>
    <row r="53" spans="1:8" ht="39" x14ac:dyDescent="0.35">
      <c r="A53" s="10" t="s">
        <v>598</v>
      </c>
      <c r="B53" s="4" t="s">
        <v>1439</v>
      </c>
      <c r="C53" s="4" t="s">
        <v>789</v>
      </c>
      <c r="D53" s="4" t="s">
        <v>1350</v>
      </c>
      <c r="E53" s="4" t="s">
        <v>2097</v>
      </c>
      <c r="F53" s="4" t="s">
        <v>1380</v>
      </c>
      <c r="G53" s="4" t="s">
        <v>2021</v>
      </c>
      <c r="H53" s="4" t="s">
        <v>2098</v>
      </c>
    </row>
    <row r="54" spans="1:8" ht="26" x14ac:dyDescent="0.35">
      <c r="A54" s="10" t="s">
        <v>598</v>
      </c>
      <c r="B54" s="4" t="s">
        <v>1439</v>
      </c>
      <c r="C54" s="4" t="s">
        <v>789</v>
      </c>
      <c r="D54" s="4" t="s">
        <v>791</v>
      </c>
      <c r="E54" s="4" t="s">
        <v>2099</v>
      </c>
      <c r="F54" s="4" t="s">
        <v>1380</v>
      </c>
      <c r="G54" s="4" t="s">
        <v>2080</v>
      </c>
      <c r="H54" s="4" t="s">
        <v>2100</v>
      </c>
    </row>
    <row r="55" spans="1:8" x14ac:dyDescent="0.35">
      <c r="A55" s="10" t="s">
        <v>630</v>
      </c>
      <c r="B55" s="4" t="s">
        <v>1439</v>
      </c>
      <c r="C55" s="4" t="s">
        <v>789</v>
      </c>
      <c r="D55" s="4" t="s">
        <v>792</v>
      </c>
      <c r="E55" s="4" t="s">
        <v>2101</v>
      </c>
      <c r="F55" s="4" t="s">
        <v>1380</v>
      </c>
      <c r="G55" s="4" t="s">
        <v>2080</v>
      </c>
      <c r="H55" s="4" t="s">
        <v>2102</v>
      </c>
    </row>
    <row r="56" spans="1:8" ht="39" x14ac:dyDescent="0.35">
      <c r="A56" s="10" t="s">
        <v>598</v>
      </c>
      <c r="B56" s="4" t="s">
        <v>1439</v>
      </c>
      <c r="C56" s="4" t="s">
        <v>796</v>
      </c>
      <c r="D56" s="4" t="s">
        <v>1448</v>
      </c>
      <c r="E56" s="4" t="s">
        <v>2103</v>
      </c>
      <c r="F56" s="4" t="s">
        <v>1380</v>
      </c>
      <c r="G56" s="4" t="s">
        <v>2021</v>
      </c>
      <c r="H56" s="4" t="s">
        <v>2104</v>
      </c>
    </row>
    <row r="57" spans="1:8" ht="39" x14ac:dyDescent="0.35">
      <c r="A57" s="10" t="s">
        <v>598</v>
      </c>
      <c r="B57" s="4" t="s">
        <v>1439</v>
      </c>
      <c r="C57" s="4" t="s">
        <v>796</v>
      </c>
      <c r="D57" s="4" t="s">
        <v>2105</v>
      </c>
      <c r="E57" s="4" t="s">
        <v>2106</v>
      </c>
      <c r="F57" s="4" t="s">
        <v>1380</v>
      </c>
      <c r="G57" s="4" t="s">
        <v>2021</v>
      </c>
      <c r="H57" s="4" t="s">
        <v>2107</v>
      </c>
    </row>
    <row r="58" spans="1:8" ht="39" x14ac:dyDescent="0.35">
      <c r="A58" s="10" t="s">
        <v>598</v>
      </c>
      <c r="B58" s="4" t="s">
        <v>1439</v>
      </c>
      <c r="C58" s="4" t="s">
        <v>796</v>
      </c>
      <c r="D58" s="4" t="s">
        <v>2108</v>
      </c>
      <c r="E58" s="4" t="s">
        <v>2109</v>
      </c>
      <c r="F58" s="4" t="s">
        <v>1380</v>
      </c>
      <c r="G58" s="4" t="s">
        <v>2021</v>
      </c>
      <c r="H58" s="4" t="s">
        <v>2110</v>
      </c>
    </row>
    <row r="59" spans="1:8" ht="39" x14ac:dyDescent="0.35">
      <c r="A59" s="10" t="s">
        <v>598</v>
      </c>
      <c r="B59" s="4" t="s">
        <v>1439</v>
      </c>
      <c r="C59" s="4" t="s">
        <v>796</v>
      </c>
      <c r="D59" s="4" t="s">
        <v>2111</v>
      </c>
      <c r="E59" s="4" t="s">
        <v>2112</v>
      </c>
      <c r="F59" s="4" t="s">
        <v>1380</v>
      </c>
      <c r="G59" s="4" t="s">
        <v>2021</v>
      </c>
      <c r="H59" s="4" t="s">
        <v>2113</v>
      </c>
    </row>
    <row r="60" spans="1:8" ht="39" x14ac:dyDescent="0.35">
      <c r="A60" s="10" t="s">
        <v>598</v>
      </c>
      <c r="B60" s="4" t="s">
        <v>1439</v>
      </c>
      <c r="C60" s="4" t="s">
        <v>796</v>
      </c>
      <c r="D60" s="4" t="s">
        <v>2114</v>
      </c>
      <c r="E60" s="4" t="s">
        <v>2115</v>
      </c>
      <c r="F60" s="4" t="s">
        <v>1380</v>
      </c>
      <c r="G60" s="4" t="s">
        <v>2021</v>
      </c>
      <c r="H60" s="4" t="s">
        <v>2116</v>
      </c>
    </row>
    <row r="61" spans="1:8" ht="39" x14ac:dyDescent="0.35">
      <c r="A61" s="10" t="s">
        <v>630</v>
      </c>
      <c r="B61" s="4" t="s">
        <v>1439</v>
      </c>
      <c r="C61" s="4" t="s">
        <v>796</v>
      </c>
      <c r="D61" s="4" t="s">
        <v>2117</v>
      </c>
      <c r="E61" s="4" t="s">
        <v>2118</v>
      </c>
      <c r="F61" s="4" t="s">
        <v>1380</v>
      </c>
      <c r="G61" s="4" t="s">
        <v>2021</v>
      </c>
      <c r="H61" s="4" t="s">
        <v>2119</v>
      </c>
    </row>
    <row r="62" spans="1:8" ht="52" x14ac:dyDescent="0.35">
      <c r="A62" s="10" t="s">
        <v>598</v>
      </c>
      <c r="B62" s="4" t="s">
        <v>1439</v>
      </c>
      <c r="C62" s="4" t="s">
        <v>2120</v>
      </c>
      <c r="D62" s="4" t="s">
        <v>1458</v>
      </c>
      <c r="E62" s="4" t="s">
        <v>2121</v>
      </c>
      <c r="F62" s="4" t="s">
        <v>1380</v>
      </c>
      <c r="G62" s="4" t="s">
        <v>2095</v>
      </c>
      <c r="H62" s="4" t="s">
        <v>2122</v>
      </c>
    </row>
    <row r="63" spans="1:8" ht="52" x14ac:dyDescent="0.35">
      <c r="A63" s="10" t="s">
        <v>598</v>
      </c>
      <c r="B63" s="4" t="s">
        <v>1439</v>
      </c>
      <c r="C63" s="4" t="s">
        <v>2123</v>
      </c>
      <c r="D63" s="4" t="s">
        <v>2124</v>
      </c>
      <c r="E63" s="4" t="s">
        <v>2125</v>
      </c>
      <c r="F63" s="4" t="s">
        <v>1380</v>
      </c>
      <c r="G63" s="4" t="s">
        <v>2021</v>
      </c>
      <c r="H63" s="4" t="s">
        <v>2126</v>
      </c>
    </row>
    <row r="64" spans="1:8" ht="52" x14ac:dyDescent="0.35">
      <c r="A64" s="10" t="s">
        <v>630</v>
      </c>
      <c r="B64" s="4" t="s">
        <v>1439</v>
      </c>
      <c r="C64" s="4" t="s">
        <v>2127</v>
      </c>
      <c r="D64" s="4" t="s">
        <v>2128</v>
      </c>
      <c r="E64" s="4" t="s">
        <v>2129</v>
      </c>
      <c r="F64" s="4" t="s">
        <v>1380</v>
      </c>
      <c r="G64" s="4" t="s">
        <v>2021</v>
      </c>
      <c r="H64" s="4" t="s">
        <v>2130</v>
      </c>
    </row>
    <row r="65" spans="1:8" ht="52" x14ac:dyDescent="0.35">
      <c r="A65" s="10" t="s">
        <v>598</v>
      </c>
      <c r="B65" s="4" t="s">
        <v>1439</v>
      </c>
      <c r="C65" s="4" t="s">
        <v>2131</v>
      </c>
      <c r="D65" s="4" t="s">
        <v>2132</v>
      </c>
      <c r="E65" s="4" t="s">
        <v>2133</v>
      </c>
      <c r="F65" s="4" t="s">
        <v>1380</v>
      </c>
      <c r="G65" s="4" t="s">
        <v>2095</v>
      </c>
      <c r="H65" s="4" t="s">
        <v>2134</v>
      </c>
    </row>
    <row r="66" spans="1:8" ht="26" x14ac:dyDescent="0.35">
      <c r="A66" s="10" t="s">
        <v>598</v>
      </c>
      <c r="B66" s="4" t="s">
        <v>1439</v>
      </c>
      <c r="C66" s="4" t="s">
        <v>2135</v>
      </c>
      <c r="D66" s="4" t="s">
        <v>2136</v>
      </c>
      <c r="E66" s="4" t="s">
        <v>2137</v>
      </c>
      <c r="F66" s="4" t="s">
        <v>1380</v>
      </c>
      <c r="G66" s="4" t="s">
        <v>2138</v>
      </c>
      <c r="H66" s="4" t="s">
        <v>2139</v>
      </c>
    </row>
    <row r="67" spans="1:8" x14ac:dyDescent="0.35">
      <c r="A67" s="10" t="s">
        <v>598</v>
      </c>
      <c r="B67" s="4" t="s">
        <v>1439</v>
      </c>
      <c r="C67" s="4" t="s">
        <v>799</v>
      </c>
      <c r="D67" s="4" t="s">
        <v>2140</v>
      </c>
      <c r="E67" s="4" t="s">
        <v>2141</v>
      </c>
      <c r="F67" s="4" t="s">
        <v>1380</v>
      </c>
      <c r="G67" s="4" t="s">
        <v>2080</v>
      </c>
      <c r="H67" s="4" t="s">
        <v>2142</v>
      </c>
    </row>
    <row r="68" spans="1:8" ht="26" x14ac:dyDescent="0.35">
      <c r="A68" s="10" t="s">
        <v>598</v>
      </c>
      <c r="B68" s="4" t="s">
        <v>1439</v>
      </c>
      <c r="C68" s="4" t="s">
        <v>799</v>
      </c>
      <c r="D68" s="4" t="s">
        <v>2143</v>
      </c>
      <c r="E68" s="4" t="s">
        <v>2144</v>
      </c>
      <c r="F68" s="4" t="s">
        <v>1380</v>
      </c>
      <c r="G68" s="4" t="s">
        <v>2095</v>
      </c>
      <c r="H68" s="4" t="s">
        <v>2145</v>
      </c>
    </row>
    <row r="69" spans="1:8" ht="39" x14ac:dyDescent="0.35">
      <c r="A69" s="10" t="s">
        <v>598</v>
      </c>
      <c r="B69" s="4" t="s">
        <v>1439</v>
      </c>
      <c r="C69" s="4" t="s">
        <v>799</v>
      </c>
      <c r="D69" s="4" t="s">
        <v>2146</v>
      </c>
      <c r="E69" s="4" t="s">
        <v>2147</v>
      </c>
      <c r="F69" s="4" t="s">
        <v>1380</v>
      </c>
      <c r="G69" s="4" t="s">
        <v>2080</v>
      </c>
      <c r="H69" s="4" t="s">
        <v>2148</v>
      </c>
    </row>
    <row r="70" spans="1:8" ht="26" x14ac:dyDescent="0.35">
      <c r="A70" s="10" t="s">
        <v>598</v>
      </c>
      <c r="B70" s="4" t="s">
        <v>713</v>
      </c>
      <c r="C70" s="4" t="s">
        <v>1439</v>
      </c>
      <c r="D70" s="4" t="s">
        <v>802</v>
      </c>
      <c r="E70" s="4" t="s">
        <v>2149</v>
      </c>
      <c r="F70" s="4" t="s">
        <v>1380</v>
      </c>
      <c r="G70" s="4" t="s">
        <v>803</v>
      </c>
      <c r="H70" s="4" t="s">
        <v>2150</v>
      </c>
    </row>
    <row r="71" spans="1:8" ht="39" x14ac:dyDescent="0.35">
      <c r="A71" s="10" t="s">
        <v>598</v>
      </c>
      <c r="B71" s="4" t="s">
        <v>713</v>
      </c>
      <c r="C71" s="4" t="s">
        <v>1439</v>
      </c>
      <c r="D71" s="4" t="s">
        <v>804</v>
      </c>
      <c r="E71" s="4" t="s">
        <v>2151</v>
      </c>
      <c r="F71" s="4" t="s">
        <v>1380</v>
      </c>
      <c r="G71" s="4" t="s">
        <v>803</v>
      </c>
      <c r="H71" s="4" t="s">
        <v>2152</v>
      </c>
    </row>
    <row r="72" spans="1:8" ht="26" x14ac:dyDescent="0.35">
      <c r="A72" s="10" t="s">
        <v>598</v>
      </c>
      <c r="B72" s="4" t="s">
        <v>1472</v>
      </c>
      <c r="C72" s="4" t="s">
        <v>1439</v>
      </c>
      <c r="D72" s="4" t="s">
        <v>2153</v>
      </c>
      <c r="E72" s="4" t="s">
        <v>2154</v>
      </c>
      <c r="F72" s="4" t="s">
        <v>1380</v>
      </c>
      <c r="G72" s="4" t="s">
        <v>2088</v>
      </c>
      <c r="H72" s="4" t="s">
        <v>2155</v>
      </c>
    </row>
    <row r="73" spans="1:8" ht="26" x14ac:dyDescent="0.35">
      <c r="A73" s="4" t="s">
        <v>598</v>
      </c>
      <c r="B73" s="4" t="s">
        <v>1446</v>
      </c>
      <c r="C73" s="4" t="s">
        <v>1447</v>
      </c>
      <c r="D73" s="4" t="s">
        <v>1448</v>
      </c>
      <c r="E73" s="4" t="s">
        <v>1449</v>
      </c>
      <c r="F73" s="4" t="s">
        <v>1380</v>
      </c>
      <c r="G73" s="4" t="s">
        <v>1347</v>
      </c>
      <c r="H73" s="4" t="s">
        <v>1450</v>
      </c>
    </row>
    <row r="74" spans="1:8" ht="26" x14ac:dyDescent="0.35">
      <c r="A74" s="4" t="s">
        <v>598</v>
      </c>
      <c r="B74" s="4" t="s">
        <v>1446</v>
      </c>
      <c r="C74" s="4" t="s">
        <v>1451</v>
      </c>
      <c r="D74" s="4" t="s">
        <v>1448</v>
      </c>
      <c r="E74" s="4" t="s">
        <v>1452</v>
      </c>
      <c r="F74" s="4" t="s">
        <v>1344</v>
      </c>
      <c r="G74" s="4" t="s">
        <v>1347</v>
      </c>
      <c r="H74" s="4" t="s">
        <v>1453</v>
      </c>
    </row>
    <row r="75" spans="1:8" ht="26" x14ac:dyDescent="0.35">
      <c r="A75" s="4" t="s">
        <v>598</v>
      </c>
      <c r="B75" s="4" t="s">
        <v>1446</v>
      </c>
      <c r="C75" s="4" t="s">
        <v>1454</v>
      </c>
      <c r="D75" s="4" t="s">
        <v>1448</v>
      </c>
      <c r="E75" s="4" t="s">
        <v>1455</v>
      </c>
      <c r="F75" s="4" t="s">
        <v>1373</v>
      </c>
      <c r="G75" s="4" t="s">
        <v>1347</v>
      </c>
      <c r="H75" s="4" t="s">
        <v>1456</v>
      </c>
    </row>
    <row r="76" spans="1:8" ht="39" x14ac:dyDescent="0.35">
      <c r="A76" s="4" t="s">
        <v>598</v>
      </c>
      <c r="B76" s="4" t="s">
        <v>1457</v>
      </c>
      <c r="C76" s="4" t="s">
        <v>1458</v>
      </c>
      <c r="D76" s="4" t="s">
        <v>1459</v>
      </c>
      <c r="E76" s="4" t="s">
        <v>1460</v>
      </c>
      <c r="F76" s="4" t="s">
        <v>1322</v>
      </c>
      <c r="G76" s="4" t="s">
        <v>1323</v>
      </c>
      <c r="H76" s="4" t="s">
        <v>1461</v>
      </c>
    </row>
    <row r="77" spans="1:8" x14ac:dyDescent="0.35">
      <c r="A77" s="4" t="s">
        <v>598</v>
      </c>
      <c r="B77" s="4" t="s">
        <v>1457</v>
      </c>
      <c r="C77" s="4" t="s">
        <v>1462</v>
      </c>
      <c r="D77" s="4" t="s">
        <v>1463</v>
      </c>
      <c r="E77" s="4" t="s">
        <v>1464</v>
      </c>
      <c r="F77" s="4" t="s">
        <v>1322</v>
      </c>
      <c r="G77" s="4" t="s">
        <v>1323</v>
      </c>
      <c r="H77" s="4" t="s">
        <v>1465</v>
      </c>
    </row>
    <row r="78" spans="1:8" x14ac:dyDescent="0.35">
      <c r="A78" s="4" t="s">
        <v>598</v>
      </c>
      <c r="B78" s="4" t="s">
        <v>1457</v>
      </c>
      <c r="C78" s="4" t="s">
        <v>1466</v>
      </c>
      <c r="D78" s="4" t="s">
        <v>1463</v>
      </c>
      <c r="E78" s="4" t="s">
        <v>1467</v>
      </c>
      <c r="F78" s="4" t="s">
        <v>1322</v>
      </c>
      <c r="G78" s="4" t="s">
        <v>1323</v>
      </c>
      <c r="H78" s="4" t="s">
        <v>1468</v>
      </c>
    </row>
    <row r="79" spans="1:8" ht="26" x14ac:dyDescent="0.35">
      <c r="A79" s="4" t="s">
        <v>598</v>
      </c>
      <c r="B79" s="4" t="s">
        <v>1457</v>
      </c>
      <c r="C79" s="4" t="s">
        <v>1469</v>
      </c>
      <c r="D79" s="4" t="s">
        <v>1463</v>
      </c>
      <c r="E79" s="4" t="s">
        <v>1470</v>
      </c>
      <c r="F79" s="4" t="s">
        <v>1322</v>
      </c>
      <c r="G79" s="4" t="s">
        <v>1323</v>
      </c>
      <c r="H79" s="4" t="s">
        <v>1471</v>
      </c>
    </row>
    <row r="80" spans="1:8" ht="26" x14ac:dyDescent="0.35">
      <c r="A80" s="4" t="s">
        <v>598</v>
      </c>
      <c r="B80" s="4" t="s">
        <v>1472</v>
      </c>
      <c r="C80" s="4" t="s">
        <v>1473</v>
      </c>
      <c r="D80" s="4" t="s">
        <v>1474</v>
      </c>
      <c r="E80" s="4" t="s">
        <v>2090</v>
      </c>
      <c r="F80" s="4" t="s">
        <v>1322</v>
      </c>
      <c r="G80" s="4" t="s">
        <v>1323</v>
      </c>
      <c r="H80" s="4" t="s">
        <v>2091</v>
      </c>
    </row>
    <row r="81" spans="1:8" ht="26" x14ac:dyDescent="0.35">
      <c r="A81" s="4" t="s">
        <v>598</v>
      </c>
      <c r="B81" s="4" t="s">
        <v>1472</v>
      </c>
      <c r="C81" s="4" t="s">
        <v>1475</v>
      </c>
      <c r="D81" s="4" t="s">
        <v>1476</v>
      </c>
      <c r="E81" s="4" t="s">
        <v>2939</v>
      </c>
      <c r="F81" s="4" t="s">
        <v>1322</v>
      </c>
      <c r="G81" s="4" t="s">
        <v>1323</v>
      </c>
      <c r="H81" s="4" t="s">
        <v>1477</v>
      </c>
    </row>
    <row r="82" spans="1:8" x14ac:dyDescent="0.35">
      <c r="A82" s="4" t="s">
        <v>598</v>
      </c>
      <c r="B82" s="4" t="s">
        <v>799</v>
      </c>
      <c r="C82" s="4" t="s">
        <v>1478</v>
      </c>
      <c r="D82" s="4" t="s">
        <v>1358</v>
      </c>
      <c r="E82" s="4" t="s">
        <v>1355</v>
      </c>
      <c r="F82" s="4" t="s">
        <v>1322</v>
      </c>
      <c r="G82" s="4" t="s">
        <v>1347</v>
      </c>
      <c r="H82" s="4" t="s">
        <v>1479</v>
      </c>
    </row>
    <row r="83" spans="1:8" ht="39" x14ac:dyDescent="0.35">
      <c r="A83" s="4" t="s">
        <v>598</v>
      </c>
      <c r="B83" s="4" t="s">
        <v>799</v>
      </c>
      <c r="C83" s="4" t="s">
        <v>1478</v>
      </c>
      <c r="D83" s="4" t="s">
        <v>1350</v>
      </c>
      <c r="E83" s="4" t="s">
        <v>1480</v>
      </c>
      <c r="F83" s="4" t="s">
        <v>1322</v>
      </c>
      <c r="G83" s="4" t="s">
        <v>1347</v>
      </c>
      <c r="H83" s="4" t="s">
        <v>1481</v>
      </c>
    </row>
    <row r="84" spans="1:8" x14ac:dyDescent="0.35">
      <c r="A84" s="4" t="s">
        <v>598</v>
      </c>
      <c r="B84" s="4" t="s">
        <v>799</v>
      </c>
      <c r="C84" s="4" t="s">
        <v>1478</v>
      </c>
      <c r="D84" s="4" t="s">
        <v>791</v>
      </c>
      <c r="E84" s="4" t="s">
        <v>1482</v>
      </c>
      <c r="F84" s="4" t="s">
        <v>1322</v>
      </c>
      <c r="G84" s="4" t="s">
        <v>1347</v>
      </c>
      <c r="H84" s="4" t="s">
        <v>1483</v>
      </c>
    </row>
    <row r="85" spans="1:8" x14ac:dyDescent="0.35">
      <c r="A85" s="4" t="s">
        <v>598</v>
      </c>
      <c r="B85" s="4" t="s">
        <v>713</v>
      </c>
      <c r="C85" s="4" t="s">
        <v>788</v>
      </c>
      <c r="D85" s="4" t="s">
        <v>802</v>
      </c>
      <c r="E85" s="4" t="s">
        <v>1484</v>
      </c>
      <c r="F85" s="4" t="s">
        <v>1322</v>
      </c>
      <c r="G85" s="4" t="s">
        <v>803</v>
      </c>
      <c r="H85" s="4" t="s">
        <v>1485</v>
      </c>
    </row>
    <row r="86" spans="1:8" ht="26" x14ac:dyDescent="0.35">
      <c r="A86" s="4" t="s">
        <v>598</v>
      </c>
      <c r="B86" s="4" t="s">
        <v>713</v>
      </c>
      <c r="C86" s="4" t="s">
        <v>788</v>
      </c>
      <c r="D86" s="4" t="s">
        <v>804</v>
      </c>
      <c r="E86" s="4" t="s">
        <v>1486</v>
      </c>
      <c r="F86" s="4" t="s">
        <v>1322</v>
      </c>
      <c r="G86" s="4" t="s">
        <v>803</v>
      </c>
      <c r="H86" s="4" t="s">
        <v>1487</v>
      </c>
    </row>
    <row r="87" spans="1:8" x14ac:dyDescent="0.35">
      <c r="A87" s="4" t="s">
        <v>598</v>
      </c>
      <c r="B87" s="4" t="s">
        <v>713</v>
      </c>
      <c r="C87" s="4" t="s">
        <v>1364</v>
      </c>
      <c r="D87" s="4" t="s">
        <v>802</v>
      </c>
      <c r="E87" s="4" t="s">
        <v>1488</v>
      </c>
      <c r="F87" s="4" t="s">
        <v>1322</v>
      </c>
      <c r="G87" s="4" t="s">
        <v>803</v>
      </c>
      <c r="H87" s="4" t="s">
        <v>1489</v>
      </c>
    </row>
    <row r="88" spans="1:8" ht="39" x14ac:dyDescent="0.35">
      <c r="A88" s="4" t="s">
        <v>598</v>
      </c>
      <c r="B88" s="4" t="s">
        <v>769</v>
      </c>
      <c r="C88" s="4" t="s">
        <v>1490</v>
      </c>
      <c r="D88" s="4" t="s">
        <v>1491</v>
      </c>
      <c r="E88" s="4" t="s">
        <v>1492</v>
      </c>
      <c r="F88" s="4" t="s">
        <v>1322</v>
      </c>
      <c r="G88" s="4" t="s">
        <v>1323</v>
      </c>
      <c r="H88" s="4" t="s">
        <v>1493</v>
      </c>
    </row>
    <row r="89" spans="1:8" ht="26" x14ac:dyDescent="0.35">
      <c r="A89" s="4" t="s">
        <v>598</v>
      </c>
      <c r="B89" s="4" t="s">
        <v>769</v>
      </c>
      <c r="C89" s="4" t="s">
        <v>1494</v>
      </c>
      <c r="D89" s="4" t="s">
        <v>1495</v>
      </c>
      <c r="E89" s="4" t="s">
        <v>1496</v>
      </c>
      <c r="F89" s="4" t="s">
        <v>1322</v>
      </c>
      <c r="G89" s="4" t="s">
        <v>1323</v>
      </c>
      <c r="H89" s="4" t="s">
        <v>1497</v>
      </c>
    </row>
    <row r="90" spans="1:8" ht="26" x14ac:dyDescent="0.35">
      <c r="A90" s="4" t="s">
        <v>598</v>
      </c>
      <c r="B90" s="4" t="s">
        <v>769</v>
      </c>
      <c r="C90" s="4" t="s">
        <v>1498</v>
      </c>
      <c r="D90" s="4" t="s">
        <v>1499</v>
      </c>
      <c r="E90" s="4" t="s">
        <v>1500</v>
      </c>
      <c r="F90" s="4" t="s">
        <v>1322</v>
      </c>
      <c r="G90" s="4" t="s">
        <v>1323</v>
      </c>
      <c r="H90" s="4" t="s">
        <v>1501</v>
      </c>
    </row>
    <row r="91" spans="1:8" ht="39" x14ac:dyDescent="0.35">
      <c r="A91" s="4" t="s">
        <v>598</v>
      </c>
      <c r="B91" s="4" t="s">
        <v>1502</v>
      </c>
      <c r="C91" s="4" t="s">
        <v>1503</v>
      </c>
      <c r="D91" s="4" t="s">
        <v>1504</v>
      </c>
      <c r="E91" s="4" t="s">
        <v>1505</v>
      </c>
      <c r="F91" s="4" t="s">
        <v>1322</v>
      </c>
      <c r="G91" s="4" t="s">
        <v>1323</v>
      </c>
      <c r="H91" s="4" t="s">
        <v>1506</v>
      </c>
    </row>
    <row r="92" spans="1:8" ht="52" x14ac:dyDescent="0.35">
      <c r="A92" s="4" t="s">
        <v>598</v>
      </c>
      <c r="B92" s="4" t="s">
        <v>1507</v>
      </c>
      <c r="C92" s="4" t="s">
        <v>1508</v>
      </c>
      <c r="D92" s="4" t="s">
        <v>1509</v>
      </c>
      <c r="E92" s="4" t="s">
        <v>1510</v>
      </c>
      <c r="F92" s="4" t="s">
        <v>1322</v>
      </c>
      <c r="G92" s="4" t="s">
        <v>1323</v>
      </c>
      <c r="H92" s="4" t="s">
        <v>1511</v>
      </c>
    </row>
    <row r="93" spans="1:8" ht="26" x14ac:dyDescent="0.35">
      <c r="A93" s="4" t="s">
        <v>598</v>
      </c>
      <c r="B93" s="4" t="s">
        <v>1507</v>
      </c>
      <c r="C93" s="4" t="s">
        <v>1512</v>
      </c>
      <c r="D93" s="4" t="s">
        <v>1513</v>
      </c>
      <c r="E93" s="4" t="s">
        <v>1514</v>
      </c>
      <c r="F93" s="4" t="s">
        <v>1322</v>
      </c>
      <c r="G93" s="4" t="s">
        <v>1323</v>
      </c>
      <c r="H93" s="4" t="s">
        <v>1515</v>
      </c>
    </row>
    <row r="94" spans="1:8" ht="26" x14ac:dyDescent="0.35">
      <c r="A94" s="4" t="s">
        <v>598</v>
      </c>
      <c r="B94" s="4" t="s">
        <v>1507</v>
      </c>
      <c r="C94" s="4" t="s">
        <v>1516</v>
      </c>
      <c r="D94" s="4" t="s">
        <v>1517</v>
      </c>
      <c r="E94" s="4" t="s">
        <v>1518</v>
      </c>
      <c r="F94" s="4" t="s">
        <v>1322</v>
      </c>
      <c r="G94" s="4" t="s">
        <v>1323</v>
      </c>
      <c r="H94" s="4" t="s">
        <v>1519</v>
      </c>
    </row>
    <row r="95" spans="1:8" ht="26" x14ac:dyDescent="0.35">
      <c r="A95" s="4" t="s">
        <v>598</v>
      </c>
      <c r="B95" s="4" t="s">
        <v>794</v>
      </c>
      <c r="C95" s="4" t="s">
        <v>2029</v>
      </c>
      <c r="D95" s="4" t="s">
        <v>2030</v>
      </c>
      <c r="E95" s="4" t="s">
        <v>794</v>
      </c>
      <c r="F95" s="4" t="s">
        <v>1366</v>
      </c>
      <c r="G95" s="4" t="s">
        <v>2031</v>
      </c>
      <c r="H95" s="4" t="s">
        <v>2032</v>
      </c>
    </row>
    <row r="96" spans="1:8" ht="26" x14ac:dyDescent="0.35">
      <c r="A96" s="4" t="s">
        <v>598</v>
      </c>
      <c r="B96" s="4" t="s">
        <v>794</v>
      </c>
      <c r="C96" s="4" t="s">
        <v>2029</v>
      </c>
      <c r="D96" s="4" t="s">
        <v>1416</v>
      </c>
      <c r="E96" s="4" t="s">
        <v>2033</v>
      </c>
      <c r="F96" s="4" t="s">
        <v>1366</v>
      </c>
      <c r="G96" s="4" t="s">
        <v>2034</v>
      </c>
      <c r="H96" s="4" t="s">
        <v>2035</v>
      </c>
    </row>
    <row r="97" spans="1:8" ht="26" x14ac:dyDescent="0.35">
      <c r="A97" s="4" t="s">
        <v>598</v>
      </c>
      <c r="B97" s="4" t="s">
        <v>794</v>
      </c>
      <c r="C97" s="4" t="s">
        <v>2029</v>
      </c>
      <c r="D97" s="4" t="s">
        <v>2036</v>
      </c>
      <c r="E97" s="4" t="s">
        <v>2037</v>
      </c>
      <c r="F97" s="4" t="s">
        <v>1366</v>
      </c>
      <c r="G97" s="4" t="s">
        <v>2038</v>
      </c>
      <c r="H97" s="4" t="s">
        <v>2039</v>
      </c>
    </row>
    <row r="98" spans="1:8" ht="52" x14ac:dyDescent="0.35">
      <c r="A98" s="4" t="s">
        <v>598</v>
      </c>
      <c r="B98" s="4" t="s">
        <v>794</v>
      </c>
      <c r="C98" s="4" t="s">
        <v>2029</v>
      </c>
      <c r="D98" s="4" t="s">
        <v>2040</v>
      </c>
      <c r="E98" s="4" t="s">
        <v>2159</v>
      </c>
      <c r="F98" s="4" t="s">
        <v>1366</v>
      </c>
      <c r="G98" s="4" t="s">
        <v>2031</v>
      </c>
      <c r="H98" s="4" t="s">
        <v>2041</v>
      </c>
    </row>
    <row r="99" spans="1:8" ht="52" x14ac:dyDescent="0.35">
      <c r="A99" s="4" t="s">
        <v>598</v>
      </c>
      <c r="B99" s="4" t="s">
        <v>794</v>
      </c>
      <c r="C99" s="4" t="s">
        <v>2029</v>
      </c>
      <c r="D99" s="4" t="s">
        <v>2042</v>
      </c>
      <c r="E99" s="4" t="s">
        <v>2043</v>
      </c>
      <c r="F99" s="4" t="s">
        <v>1322</v>
      </c>
      <c r="G99" s="4" t="s">
        <v>2031</v>
      </c>
      <c r="H99" s="4" t="s">
        <v>2044</v>
      </c>
    </row>
    <row r="100" spans="1:8" ht="39" x14ac:dyDescent="0.35">
      <c r="A100" s="4" t="s">
        <v>630</v>
      </c>
      <c r="B100" s="4" t="s">
        <v>794</v>
      </c>
      <c r="C100" s="4" t="s">
        <v>2029</v>
      </c>
      <c r="D100" s="4" t="s">
        <v>2045</v>
      </c>
      <c r="E100" s="4" t="s">
        <v>2046</v>
      </c>
      <c r="F100" s="4" t="s">
        <v>1366</v>
      </c>
      <c r="G100" s="4" t="s">
        <v>2047</v>
      </c>
      <c r="H100" s="4" t="s">
        <v>2048</v>
      </c>
    </row>
    <row r="101" spans="1:8" ht="52" x14ac:dyDescent="0.35">
      <c r="A101" s="4" t="s">
        <v>630</v>
      </c>
      <c r="B101" s="4" t="s">
        <v>794</v>
      </c>
      <c r="C101" s="4" t="s">
        <v>2029</v>
      </c>
      <c r="D101" s="4" t="s">
        <v>2049</v>
      </c>
      <c r="E101" s="4" t="s">
        <v>2050</v>
      </c>
      <c r="F101" s="4" t="s">
        <v>1366</v>
      </c>
      <c r="G101" s="4" t="s">
        <v>2047</v>
      </c>
      <c r="H101" s="4" t="s">
        <v>2051</v>
      </c>
    </row>
    <row r="102" spans="1:8" ht="39" x14ac:dyDescent="0.35">
      <c r="A102" s="4" t="s">
        <v>630</v>
      </c>
      <c r="B102" s="4" t="s">
        <v>794</v>
      </c>
      <c r="C102" s="4" t="s">
        <v>2029</v>
      </c>
      <c r="D102" s="4" t="s">
        <v>2052</v>
      </c>
      <c r="E102" s="4" t="s">
        <v>2053</v>
      </c>
      <c r="F102" s="4" t="s">
        <v>1366</v>
      </c>
      <c r="G102" s="4" t="s">
        <v>2054</v>
      </c>
      <c r="H102" s="4" t="s">
        <v>2055</v>
      </c>
    </row>
    <row r="103" spans="1:8" ht="52" x14ac:dyDescent="0.35">
      <c r="A103" s="4" t="s">
        <v>630</v>
      </c>
      <c r="B103" s="4" t="s">
        <v>794</v>
      </c>
      <c r="C103" s="4" t="s">
        <v>2029</v>
      </c>
      <c r="D103" s="4" t="s">
        <v>2056</v>
      </c>
      <c r="E103" s="4" t="s">
        <v>2057</v>
      </c>
      <c r="F103" s="4" t="s">
        <v>1366</v>
      </c>
      <c r="G103" s="4" t="s">
        <v>2058</v>
      </c>
      <c r="H103" s="4" t="s">
        <v>2059</v>
      </c>
    </row>
    <row r="104" spans="1:8" ht="39" x14ac:dyDescent="0.35">
      <c r="A104" s="4" t="s">
        <v>630</v>
      </c>
      <c r="B104" s="4" t="s">
        <v>794</v>
      </c>
      <c r="C104" s="4" t="s">
        <v>2029</v>
      </c>
      <c r="D104" s="4" t="s">
        <v>2060</v>
      </c>
      <c r="E104" s="4" t="s">
        <v>2061</v>
      </c>
      <c r="F104" s="4" t="s">
        <v>1366</v>
      </c>
      <c r="G104" s="4" t="s">
        <v>2062</v>
      </c>
      <c r="H104" s="4" t="s">
        <v>2063</v>
      </c>
    </row>
    <row r="105" spans="1:8" ht="52" x14ac:dyDescent="0.35">
      <c r="A105" s="4" t="s">
        <v>630</v>
      </c>
      <c r="B105" s="4" t="s">
        <v>794</v>
      </c>
      <c r="C105" s="4" t="s">
        <v>2029</v>
      </c>
      <c r="D105" s="4" t="s">
        <v>2064</v>
      </c>
      <c r="E105" s="4" t="s">
        <v>2065</v>
      </c>
      <c r="F105" s="4" t="s">
        <v>1366</v>
      </c>
      <c r="G105" s="4" t="s">
        <v>2058</v>
      </c>
      <c r="H105" s="4" t="s">
        <v>2066</v>
      </c>
    </row>
    <row r="106" spans="1:8" ht="52" x14ac:dyDescent="0.35">
      <c r="A106" s="4" t="s">
        <v>598</v>
      </c>
      <c r="B106" s="4" t="s">
        <v>794</v>
      </c>
      <c r="C106" s="4" t="s">
        <v>2029</v>
      </c>
      <c r="D106" s="4" t="s">
        <v>2067</v>
      </c>
      <c r="E106" s="4" t="s">
        <v>2160</v>
      </c>
      <c r="F106" s="4" t="s">
        <v>1322</v>
      </c>
      <c r="G106" s="4" t="s">
        <v>2068</v>
      </c>
      <c r="H106" s="4" t="s">
        <v>2069</v>
      </c>
    </row>
    <row r="107" spans="1:8" ht="39" x14ac:dyDescent="0.35">
      <c r="A107" s="4" t="s">
        <v>598</v>
      </c>
      <c r="B107" s="4" t="s">
        <v>794</v>
      </c>
      <c r="C107" s="4" t="s">
        <v>2029</v>
      </c>
      <c r="D107" s="4" t="s">
        <v>2070</v>
      </c>
      <c r="E107" s="4" t="s">
        <v>2161</v>
      </c>
      <c r="F107" s="4" t="s">
        <v>1322</v>
      </c>
      <c r="G107" s="4" t="s">
        <v>2062</v>
      </c>
      <c r="H107" s="4" t="s">
        <v>2071</v>
      </c>
    </row>
    <row r="108" spans="1:8" ht="26" x14ac:dyDescent="0.35">
      <c r="A108" s="4" t="s">
        <v>630</v>
      </c>
      <c r="B108" s="4" t="s">
        <v>794</v>
      </c>
      <c r="C108" s="4" t="s">
        <v>2029</v>
      </c>
      <c r="D108" s="4" t="s">
        <v>2072</v>
      </c>
      <c r="E108" s="4" t="s">
        <v>2073</v>
      </c>
      <c r="F108" s="4" t="s">
        <v>1322</v>
      </c>
      <c r="G108" s="4" t="s">
        <v>2047</v>
      </c>
      <c r="H108" s="4" t="s">
        <v>2074</v>
      </c>
    </row>
    <row r="109" spans="1:8" ht="26" x14ac:dyDescent="0.35">
      <c r="A109" s="4" t="s">
        <v>630</v>
      </c>
      <c r="B109" s="4" t="s">
        <v>794</v>
      </c>
      <c r="C109" s="4" t="s">
        <v>2029</v>
      </c>
      <c r="D109" s="4" t="s">
        <v>2075</v>
      </c>
      <c r="E109" s="4" t="s">
        <v>2076</v>
      </c>
      <c r="F109" s="4" t="s">
        <v>1322</v>
      </c>
      <c r="G109" s="4" t="s">
        <v>2047</v>
      </c>
      <c r="H109" s="4" t="s">
        <v>2077</v>
      </c>
    </row>
    <row r="110" spans="1:8" ht="39" x14ac:dyDescent="0.35">
      <c r="A110" s="4" t="s">
        <v>598</v>
      </c>
      <c r="B110" s="4" t="s">
        <v>794</v>
      </c>
      <c r="C110" s="4" t="s">
        <v>2029</v>
      </c>
      <c r="D110" s="4" t="s">
        <v>1517</v>
      </c>
      <c r="E110" s="4" t="s">
        <v>2162</v>
      </c>
      <c r="F110" s="4" t="s">
        <v>1322</v>
      </c>
      <c r="G110" s="4" t="s">
        <v>2031</v>
      </c>
      <c r="H110" s="4" t="s">
        <v>2078</v>
      </c>
    </row>
    <row r="111" spans="1:8" ht="26" x14ac:dyDescent="0.35">
      <c r="A111" s="4" t="s">
        <v>598</v>
      </c>
      <c r="B111" s="4" t="s">
        <v>794</v>
      </c>
      <c r="C111" s="4" t="s">
        <v>2029</v>
      </c>
      <c r="D111" s="4" t="s">
        <v>791</v>
      </c>
      <c r="E111" s="4" t="s">
        <v>2079</v>
      </c>
      <c r="F111" s="4" t="s">
        <v>1322</v>
      </c>
      <c r="G111" s="4" t="s">
        <v>2080</v>
      </c>
      <c r="H111" s="4" t="s">
        <v>2081</v>
      </c>
    </row>
    <row r="112" spans="1:8" x14ac:dyDescent="0.35">
      <c r="A112" s="4" t="s">
        <v>598</v>
      </c>
      <c r="B112" s="4" t="s">
        <v>713</v>
      </c>
      <c r="C112" s="4" t="s">
        <v>2029</v>
      </c>
      <c r="D112" s="4" t="s">
        <v>802</v>
      </c>
      <c r="E112" s="4" t="s">
        <v>2082</v>
      </c>
      <c r="F112" s="4" t="s">
        <v>1322</v>
      </c>
      <c r="G112" s="4" t="s">
        <v>803</v>
      </c>
      <c r="H112" s="4" t="s">
        <v>2083</v>
      </c>
    </row>
    <row r="113" spans="1:8" ht="26" x14ac:dyDescent="0.35">
      <c r="A113" s="4" t="s">
        <v>598</v>
      </c>
      <c r="B113" s="4" t="s">
        <v>713</v>
      </c>
      <c r="C113" s="4" t="s">
        <v>2029</v>
      </c>
      <c r="D113" s="4" t="s">
        <v>804</v>
      </c>
      <c r="E113" s="4" t="s">
        <v>2084</v>
      </c>
      <c r="F113" s="4" t="s">
        <v>1322</v>
      </c>
      <c r="G113" s="4" t="s">
        <v>803</v>
      </c>
      <c r="H113" s="4" t="s">
        <v>2085</v>
      </c>
    </row>
    <row r="114" spans="1:8" ht="26" x14ac:dyDescent="0.35">
      <c r="A114" s="4" t="s">
        <v>598</v>
      </c>
      <c r="B114" s="4" t="s">
        <v>1472</v>
      </c>
      <c r="C114" s="4" t="s">
        <v>1400</v>
      </c>
      <c r="D114" s="4" t="s">
        <v>2086</v>
      </c>
      <c r="E114" s="4" t="s">
        <v>2087</v>
      </c>
      <c r="F114" s="4" t="s">
        <v>1322</v>
      </c>
      <c r="G114" s="4" t="s">
        <v>2088</v>
      </c>
      <c r="H114" s="4" t="s">
        <v>2089</v>
      </c>
    </row>
    <row r="115" spans="1:8" ht="26" x14ac:dyDescent="0.35">
      <c r="A115" s="4" t="s">
        <v>598</v>
      </c>
      <c r="B115" s="4" t="s">
        <v>3079</v>
      </c>
      <c r="C115" s="4" t="s">
        <v>3080</v>
      </c>
      <c r="D115" s="4" t="s">
        <v>3081</v>
      </c>
      <c r="E115" s="4" t="s">
        <v>2404</v>
      </c>
      <c r="F115" s="4" t="s">
        <v>1344</v>
      </c>
      <c r="G115" s="4" t="s">
        <v>3126</v>
      </c>
      <c r="H115" s="4" t="s">
        <v>3127</v>
      </c>
    </row>
    <row r="116" spans="1:8" ht="26" x14ac:dyDescent="0.35">
      <c r="A116" s="4" t="s">
        <v>598</v>
      </c>
      <c r="B116" s="4" t="s">
        <v>3079</v>
      </c>
      <c r="C116" s="4" t="s">
        <v>3080</v>
      </c>
      <c r="D116" s="4" t="s">
        <v>3082</v>
      </c>
      <c r="E116" s="4" t="s">
        <v>2406</v>
      </c>
      <c r="F116" s="4" t="s">
        <v>1344</v>
      </c>
      <c r="G116" s="4" t="str">
        <f>"Template ready - "&amp;COUNTA(Products!E2:E525)&amp;" product listing titles available"</f>
        <v>Template ready - 524 product listing titles available</v>
      </c>
      <c r="H116" s="4" t="s">
        <v>3128</v>
      </c>
    </row>
    <row r="117" spans="1:8" ht="26" x14ac:dyDescent="0.35">
      <c r="A117" s="4" t="s">
        <v>598</v>
      </c>
      <c r="B117" s="4" t="s">
        <v>3079</v>
      </c>
      <c r="C117" s="4" t="s">
        <v>3080</v>
      </c>
      <c r="D117" s="4" t="s">
        <v>2407</v>
      </c>
      <c r="E117" s="4" t="s">
        <v>2408</v>
      </c>
      <c r="F117" s="4" t="s">
        <v>1344</v>
      </c>
      <c r="G117" s="4" t="str">
        <f>"Template ready - "&amp;COUNTA(Products!C2:C525)&amp;" manufacturer and country records available"</f>
        <v>Template ready - 524 manufacturer and country records available</v>
      </c>
      <c r="H117" s="4" t="s">
        <v>2409</v>
      </c>
    </row>
    <row r="118" spans="1:8" ht="39" x14ac:dyDescent="0.35">
      <c r="A118" s="4" t="s">
        <v>598</v>
      </c>
      <c r="B118" s="4" t="s">
        <v>3079</v>
      </c>
      <c r="C118" s="4" t="s">
        <v>3083</v>
      </c>
      <c r="D118" s="4" t="s">
        <v>3084</v>
      </c>
      <c r="E118" s="4" t="s">
        <v>2410</v>
      </c>
      <c r="F118" s="4" t="s">
        <v>1344</v>
      </c>
      <c r="G118" s="4" t="str">
        <f>"Content available - overviews populated for all "&amp;COUNTA(Products!O2:O525)&amp;" listings; technical review ongoing"</f>
        <v>Content available - overviews populated for all 524 listings; technical review ongoing</v>
      </c>
      <c r="H118" s="4" t="s">
        <v>3129</v>
      </c>
    </row>
    <row r="119" spans="1:8" ht="39" x14ac:dyDescent="0.35">
      <c r="A119" s="4" t="s">
        <v>598</v>
      </c>
      <c r="B119" s="4" t="s">
        <v>3079</v>
      </c>
      <c r="C119" s="4" t="s">
        <v>3083</v>
      </c>
      <c r="D119" s="4" t="s">
        <v>2177</v>
      </c>
      <c r="E119" s="4" t="s">
        <v>2411</v>
      </c>
      <c r="F119" s="4" t="s">
        <v>1344</v>
      </c>
      <c r="G119" s="4" t="str">
        <f>"Content available - features/selection guidance populated for all "&amp;COUNTA(Products!P2:P525)&amp;" listings"</f>
        <v>Content available - features/selection guidance populated for all 524 listings</v>
      </c>
      <c r="H119" s="4" t="s">
        <v>3130</v>
      </c>
    </row>
    <row r="120" spans="1:8" ht="26" x14ac:dyDescent="0.35">
      <c r="A120" s="4" t="s">
        <v>598</v>
      </c>
      <c r="B120" s="4" t="s">
        <v>3079</v>
      </c>
      <c r="C120" s="4" t="s">
        <v>3083</v>
      </c>
      <c r="D120" s="4" t="s">
        <v>2412</v>
      </c>
      <c r="E120" s="4" t="s">
        <v>2413</v>
      </c>
      <c r="F120" s="4" t="s">
        <v>1344</v>
      </c>
      <c r="G120" s="4" t="str">
        <f>"In Progress - "&amp;COUNTIF(Products!Q2:Q525,"&lt;&gt;")&amp;" specification records populated; "&amp;(ROWS(Products!Q2:Q525)-COUNTIF(Products!Q2:Q525,"&lt;&gt;"))&amp;" pending"</f>
        <v>In Progress - 20 specification records populated; 504 pending</v>
      </c>
      <c r="H120" s="4" t="s">
        <v>3131</v>
      </c>
    </row>
    <row r="121" spans="1:8" ht="26" x14ac:dyDescent="0.35">
      <c r="A121" s="4" t="s">
        <v>598</v>
      </c>
      <c r="B121" s="4" t="s">
        <v>3079</v>
      </c>
      <c r="C121" s="4" t="s">
        <v>3083</v>
      </c>
      <c r="D121" s="4" t="s">
        <v>623</v>
      </c>
      <c r="E121" s="4" t="s">
        <v>2414</v>
      </c>
      <c r="F121" s="4" t="s">
        <v>1344</v>
      </c>
      <c r="G121" s="4" t="str">
        <f>"Content available - applications populated for all "&amp;COUNTA(Products!R2:R525)&amp;" listings"</f>
        <v>Content available - applications populated for all 524 listings</v>
      </c>
      <c r="H121" s="4" t="s">
        <v>3132</v>
      </c>
    </row>
    <row r="122" spans="1:8" ht="39" x14ac:dyDescent="0.35">
      <c r="A122" s="4" t="s">
        <v>598</v>
      </c>
      <c r="B122" s="4" t="s">
        <v>3079</v>
      </c>
      <c r="C122" s="4" t="s">
        <v>3085</v>
      </c>
      <c r="D122" s="4" t="s">
        <v>3133</v>
      </c>
      <c r="E122" s="4" t="s">
        <v>3134</v>
      </c>
      <c r="F122" s="4" t="s">
        <v>1344</v>
      </c>
      <c r="G122" s="4" t="str">
        <f>"In Progress - "&amp;COUNTIF(Products!S2:S525,"&lt;&gt;")&amp;" image links and "&amp;COUNTIF(Products!AF2:AF525,"&lt;&gt;")&amp;" video links identified; rights approval pending"</f>
        <v>In Progress - 33 image links and 18 video links identified; rights approval pending</v>
      </c>
      <c r="H122" s="4" t="s">
        <v>3135</v>
      </c>
    </row>
    <row r="123" spans="1:8" ht="26" x14ac:dyDescent="0.35">
      <c r="A123" s="4" t="s">
        <v>598</v>
      </c>
      <c r="B123" s="4" t="s">
        <v>3079</v>
      </c>
      <c r="C123" s="4" t="s">
        <v>3086</v>
      </c>
      <c r="D123" s="4" t="s">
        <v>2415</v>
      </c>
      <c r="E123" s="4" t="s">
        <v>2416</v>
      </c>
      <c r="F123" s="4" t="s">
        <v>1344</v>
      </c>
      <c r="G123" s="4" t="str">
        <f>"To prepare - "&amp;COUNTIF(Products!U2:U525,"&lt;&gt;")&amp;" public datasheet/brochure URLs loaded"</f>
        <v>To prepare - 0 public datasheet/brochure URLs loaded</v>
      </c>
      <c r="H123" s="4" t="s">
        <v>3136</v>
      </c>
    </row>
    <row r="124" spans="1:8" ht="39" x14ac:dyDescent="0.35">
      <c r="A124" s="4" t="s">
        <v>630</v>
      </c>
      <c r="B124" s="4" t="s">
        <v>3079</v>
      </c>
      <c r="C124" s="4" t="s">
        <v>3086</v>
      </c>
      <c r="D124" s="4" t="s">
        <v>2417</v>
      </c>
      <c r="E124" s="4" t="s">
        <v>2418</v>
      </c>
      <c r="F124" s="4" t="s">
        <v>1344</v>
      </c>
      <c r="G124" s="4" t="str">
        <f>"In Progress - document-control notes available for "&amp;COUNTA(Products!V2:V525)&amp;" listings; approved files pending"</f>
        <v>In Progress - document-control notes available for 524 listings; approved files pending</v>
      </c>
      <c r="H124" s="4" t="s">
        <v>3137</v>
      </c>
    </row>
    <row r="125" spans="1:8" ht="52" x14ac:dyDescent="0.35">
      <c r="A125" s="4" t="s">
        <v>630</v>
      </c>
      <c r="B125" s="4" t="s">
        <v>3079</v>
      </c>
      <c r="C125" s="4" t="s">
        <v>3087</v>
      </c>
      <c r="D125" s="4" t="s">
        <v>3088</v>
      </c>
      <c r="E125" s="4" t="s">
        <v>2419</v>
      </c>
      <c r="F125" s="4" t="s">
        <v>1344</v>
      </c>
      <c r="G125" s="4" t="str">
        <f>"Content available - related listing/category guidance populated for all "&amp;COUNTA(Products!W2:W525)&amp;" listings; refinement pending"</f>
        <v>Content available - related listing/category guidance populated for all 524 listings; refinement pending</v>
      </c>
      <c r="H125" s="4" t="s">
        <v>3138</v>
      </c>
    </row>
    <row r="126" spans="1:8" ht="39" x14ac:dyDescent="0.35">
      <c r="A126" s="4" t="s">
        <v>598</v>
      </c>
      <c r="B126" s="4" t="s">
        <v>3079</v>
      </c>
      <c r="C126" s="4" t="s">
        <v>3089</v>
      </c>
      <c r="D126" s="4" t="s">
        <v>2420</v>
      </c>
      <c r="E126" s="4" t="s">
        <v>2020</v>
      </c>
      <c r="F126" s="4" t="s">
        <v>1344</v>
      </c>
      <c r="G126" s="4" t="str">
        <f>"Template ready - CTA and enquiry routes populated for all "&amp;COUNTA(Products!X2:X525)&amp;" listings"</f>
        <v>Template ready - CTA and enquiry routes populated for all 524 listings</v>
      </c>
      <c r="H126" s="4" t="s">
        <v>3139</v>
      </c>
    </row>
    <row r="127" spans="1:8" ht="26" x14ac:dyDescent="0.35">
      <c r="A127" s="4" t="s">
        <v>598</v>
      </c>
      <c r="B127" s="4" t="s">
        <v>3079</v>
      </c>
      <c r="C127" s="4" t="s">
        <v>3090</v>
      </c>
      <c r="D127" s="4" t="s">
        <v>3091</v>
      </c>
      <c r="E127" s="4" t="s">
        <v>3092</v>
      </c>
      <c r="F127" s="4" t="s">
        <v>1344</v>
      </c>
      <c r="G127" s="4" t="str">
        <f>"Template ready - "&amp;COUNTA(Products!J2:J525)&amp;" on-page listing anchors available"</f>
        <v>Template ready - 524 on-page listing anchors available</v>
      </c>
      <c r="H127" s="4" t="s">
        <v>3140</v>
      </c>
    </row>
    <row r="128" spans="1:8" ht="39" x14ac:dyDescent="0.35">
      <c r="A128" s="4" t="s">
        <v>598</v>
      </c>
      <c r="B128" s="4" t="s">
        <v>3079</v>
      </c>
      <c r="C128" s="4" t="s">
        <v>3093</v>
      </c>
      <c r="D128" s="4" t="s">
        <v>3094</v>
      </c>
      <c r="E128" s="4" t="s">
        <v>3095</v>
      </c>
      <c r="F128" s="4" t="s">
        <v>1344</v>
      </c>
      <c r="G128" s="4" t="str">
        <f>"Content available - "&amp;COUNTA(Products!L2:L525)&amp;" SEO support entries; consolidate one approved SEO set per category"</f>
        <v>Content available - 524 SEO support entries; consolidate one approved SEO set per category</v>
      </c>
      <c r="H128" s="4" t="s">
        <v>3141</v>
      </c>
    </row>
    <row r="129" spans="1:8" ht="26" x14ac:dyDescent="0.35">
      <c r="A129" s="4" t="s">
        <v>598</v>
      </c>
      <c r="B129" s="4" t="s">
        <v>2421</v>
      </c>
      <c r="C129" s="4" t="s">
        <v>1357</v>
      </c>
      <c r="D129" s="4" t="s">
        <v>2422</v>
      </c>
      <c r="E129" s="4" t="s">
        <v>2423</v>
      </c>
      <c r="F129" s="4" t="s">
        <v>1344</v>
      </c>
      <c r="G129" s="4" t="s">
        <v>3142</v>
      </c>
      <c r="H129" s="4" t="s">
        <v>3143</v>
      </c>
    </row>
    <row r="130" spans="1:8" ht="26" x14ac:dyDescent="0.35">
      <c r="A130" s="4" t="s">
        <v>598</v>
      </c>
      <c r="B130" s="4" t="s">
        <v>2421</v>
      </c>
      <c r="C130" s="4" t="s">
        <v>2424</v>
      </c>
      <c r="D130" s="4" t="s">
        <v>26</v>
      </c>
      <c r="E130" s="4" t="s">
        <v>2425</v>
      </c>
      <c r="F130" s="4" t="s">
        <v>1344</v>
      </c>
      <c r="G130" s="4" t="s">
        <v>2405</v>
      </c>
      <c r="H130" s="4" t="s">
        <v>2426</v>
      </c>
    </row>
    <row r="131" spans="1:8" ht="26" x14ac:dyDescent="0.35">
      <c r="A131" s="4" t="s">
        <v>598</v>
      </c>
      <c r="B131" s="4" t="s">
        <v>2421</v>
      </c>
      <c r="C131" s="4" t="s">
        <v>646</v>
      </c>
      <c r="D131" s="4" t="s">
        <v>2427</v>
      </c>
      <c r="E131" s="4" t="s">
        <v>2428</v>
      </c>
      <c r="F131" s="4" t="s">
        <v>1344</v>
      </c>
      <c r="G131" s="4" t="s">
        <v>2405</v>
      </c>
      <c r="H131" s="4" t="s">
        <v>2429</v>
      </c>
    </row>
    <row r="132" spans="1:8" ht="39" x14ac:dyDescent="0.35">
      <c r="A132" s="4" t="s">
        <v>598</v>
      </c>
      <c r="B132" s="4" t="s">
        <v>2421</v>
      </c>
      <c r="C132" s="4" t="s">
        <v>713</v>
      </c>
      <c r="D132" s="4" t="s">
        <v>2430</v>
      </c>
      <c r="E132" s="4" t="s">
        <v>2431</v>
      </c>
      <c r="F132" s="4" t="s">
        <v>1344</v>
      </c>
      <c r="G132" s="4" t="s">
        <v>3144</v>
      </c>
      <c r="H132" s="4" t="s">
        <v>3145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A3534-F20B-49D7-A6DD-9307EDEE666A}">
  <sheetPr>
    <tabColor rgb="FF4472C4"/>
  </sheetPr>
  <dimension ref="A1:H664"/>
  <sheetViews>
    <sheetView showGridLines="0" topLeftCell="D1" workbookViewId="0">
      <pane ySplit="5" topLeftCell="A662" activePane="bottomLeft" state="frozen"/>
      <selection pane="bottomLeft" activeCell="B3" sqref="B3"/>
    </sheetView>
  </sheetViews>
  <sheetFormatPr defaultRowHeight="14.5" x14ac:dyDescent="0.35"/>
  <cols>
    <col min="1" max="1" width="19.08984375" customWidth="1"/>
    <col min="2" max="2" width="30.90625" customWidth="1"/>
    <col min="3" max="3" width="41.81640625" customWidth="1"/>
    <col min="4" max="4" width="38.1796875" customWidth="1"/>
    <col min="5" max="5" width="30" customWidth="1"/>
    <col min="6" max="6" width="28.1796875" customWidth="1"/>
    <col min="7" max="7" width="34.54296875" customWidth="1"/>
    <col min="8" max="8" width="49.08984375" customWidth="1"/>
  </cols>
  <sheetData>
    <row r="1" spans="1:8" ht="28" customHeight="1" x14ac:dyDescent="0.35">
      <c r="A1" s="12" t="s">
        <v>2163</v>
      </c>
      <c r="B1" s="12"/>
      <c r="C1" s="12"/>
      <c r="D1" s="12"/>
      <c r="E1" s="12"/>
      <c r="F1" s="12"/>
      <c r="G1" s="12"/>
      <c r="H1" s="12"/>
    </row>
    <row r="2" spans="1:8" ht="22" customHeight="1" x14ac:dyDescent="0.35">
      <c r="A2" s="13" t="s">
        <v>2164</v>
      </c>
      <c r="B2" s="13"/>
      <c r="C2" s="13"/>
      <c r="D2" s="13"/>
      <c r="E2" s="13"/>
      <c r="F2" s="13"/>
      <c r="G2" s="13"/>
      <c r="H2" s="13"/>
    </row>
    <row r="3" spans="1:8" ht="117" x14ac:dyDescent="0.35">
      <c r="A3" s="14" t="s">
        <v>2766</v>
      </c>
      <c r="B3" s="16" t="s">
        <v>2803</v>
      </c>
      <c r="C3" s="16"/>
      <c r="D3" s="16"/>
      <c r="E3" s="16"/>
      <c r="F3" s="16"/>
      <c r="G3" s="16"/>
      <c r="H3" s="16"/>
    </row>
    <row r="4" spans="1:8" x14ac:dyDescent="0.35">
      <c r="A4" s="11"/>
      <c r="B4" s="11"/>
      <c r="C4" s="11"/>
      <c r="D4" s="11"/>
      <c r="E4" s="11"/>
      <c r="F4" s="11"/>
      <c r="G4" s="11"/>
      <c r="H4" s="11"/>
    </row>
    <row r="5" spans="1:8" x14ac:dyDescent="0.35">
      <c r="A5" s="17" t="s">
        <v>2165</v>
      </c>
      <c r="B5" s="17" t="s">
        <v>2166</v>
      </c>
      <c r="C5" s="17" t="s">
        <v>2167</v>
      </c>
      <c r="D5" s="11"/>
      <c r="E5" s="28" t="s">
        <v>2769</v>
      </c>
      <c r="F5" s="28"/>
      <c r="G5" s="28"/>
      <c r="H5" s="28" t="s">
        <v>2770</v>
      </c>
    </row>
    <row r="6" spans="1:8" x14ac:dyDescent="0.35">
      <c r="A6" s="20" t="s">
        <v>2168</v>
      </c>
      <c r="B6" s="21">
        <f>COUNTA(Products!E2:E525)</f>
        <v>524</v>
      </c>
      <c r="C6" s="11" t="s">
        <v>3106</v>
      </c>
      <c r="D6" s="11"/>
      <c r="E6" s="33" t="s">
        <v>2771</v>
      </c>
      <c r="F6" s="29" t="s">
        <v>2166</v>
      </c>
      <c r="G6" s="29" t="s">
        <v>596</v>
      </c>
      <c r="H6" s="30" t="s">
        <v>2772</v>
      </c>
    </row>
    <row r="7" spans="1:8" ht="26" x14ac:dyDescent="0.35">
      <c r="A7" s="20" t="s">
        <v>2718</v>
      </c>
      <c r="B7" s="21">
        <f>COUNTA(Products!O2:O525)</f>
        <v>524</v>
      </c>
      <c r="C7" s="11" t="s">
        <v>3107</v>
      </c>
      <c r="D7" s="11"/>
      <c r="E7" s="34" t="s">
        <v>2773</v>
      </c>
      <c r="F7" s="101">
        <f>COUNTA(Products!O2:O525)/ROWS(Products!O2:O525)</f>
        <v>1</v>
      </c>
      <c r="G7" s="37" t="str">
        <f>IF(F7=1,"Complete","Incomplete")</f>
        <v>Complete</v>
      </c>
      <c r="H7" s="26" t="s">
        <v>2774</v>
      </c>
    </row>
    <row r="8" spans="1:8" ht="39" x14ac:dyDescent="0.35">
      <c r="A8" s="20" t="s">
        <v>2719</v>
      </c>
      <c r="B8" s="21">
        <v>21</v>
      </c>
      <c r="C8" s="11" t="s">
        <v>2720</v>
      </c>
      <c r="D8" s="11"/>
      <c r="E8" s="31" t="s">
        <v>2775</v>
      </c>
      <c r="F8" s="100">
        <f>21/ROWS(Products!O2:O525)</f>
        <v>4.0076335877862593E-2</v>
      </c>
      <c r="G8" s="38" t="str">
        <f>IF(F8&gt;=0.8,"Ready",IF(F8&gt;=0.5,"In progress","Critical gap"))</f>
        <v>Critical gap</v>
      </c>
      <c r="H8" s="26" t="str">
        <f>(ROWS(Products!O2:O525)-21)&amp;" products still require model-specific official-source enrichment."</f>
        <v>503 products still require model-specific official-source enrichment.</v>
      </c>
    </row>
    <row r="9" spans="1:8" ht="39" x14ac:dyDescent="0.35">
      <c r="A9" s="20" t="s">
        <v>2721</v>
      </c>
      <c r="B9" s="21">
        <f>ROWS(Products!O2:O525)-21</f>
        <v>503</v>
      </c>
      <c r="C9" s="11" t="s">
        <v>3108</v>
      </c>
      <c r="D9" s="11"/>
      <c r="E9" s="31" t="s">
        <v>2776</v>
      </c>
      <c r="F9" s="100">
        <f>COUNTIF(Products!Q2:Q525,"&lt;&gt;")/ROWS(Products!Q2:Q525)</f>
        <v>3.8167938931297711E-2</v>
      </c>
      <c r="G9" s="39" t="str">
        <f>IF(F9&gt;=0.8,"Ready",IF(F9&gt;=0.5,"In progress","Critical gap"))</f>
        <v>Critical gap</v>
      </c>
      <c r="H9" s="26" t="str">
        <f>(ROWS(Products!Q2:Q525)-COUNTIF(Products!Q2:Q525,"&lt;&gt;"))&amp;" exact specification sets remain pending."</f>
        <v>504 exact specification sets remain pending.</v>
      </c>
    </row>
    <row r="10" spans="1:8" ht="26" x14ac:dyDescent="0.35">
      <c r="A10" s="20" t="s">
        <v>2722</v>
      </c>
      <c r="B10" s="21">
        <f>COUNTA(Products!P2:P525)</f>
        <v>524</v>
      </c>
      <c r="C10" s="11" t="s">
        <v>3109</v>
      </c>
      <c r="D10" s="11"/>
      <c r="E10" s="31" t="s">
        <v>3163</v>
      </c>
      <c r="F10" s="100">
        <f>COUNTIF(Products!S2:S525,"&lt;&gt;")/ROWS(Products!S2:S525)</f>
        <v>6.2977099236641215E-2</v>
      </c>
      <c r="G10" s="39" t="str">
        <f>IF(F10=1,"Complete",IF(F10&gt;0,"In progress","Blocked"))</f>
        <v>In progress</v>
      </c>
      <c r="H10" s="26" t="str">
        <f>COUNTIF(Products!S2:S525,"&lt;&gt;")&amp;" manufacturer-hosted image URLs are loaded; approval and the remaining "&amp;(ROWS(Products!S2:S525)-COUNTIF(Products!S2:S525,"&lt;&gt;"))&amp;" images are pending."</f>
        <v>33 manufacturer-hosted image URLs are loaded; approval and the remaining 491 images are pending.</v>
      </c>
    </row>
    <row r="11" spans="1:8" ht="39" x14ac:dyDescent="0.35">
      <c r="A11" s="20" t="s">
        <v>3110</v>
      </c>
      <c r="B11" s="102">
        <v>36</v>
      </c>
      <c r="C11" s="11" t="s">
        <v>2723</v>
      </c>
      <c r="D11" s="11"/>
      <c r="E11" s="31" t="s">
        <v>2777</v>
      </c>
      <c r="F11" s="100">
        <f>COUNTIF(Products!U2:U525,"&lt;&gt;")/ROWS(Products!U2:U525)</f>
        <v>0</v>
      </c>
      <c r="G11" s="39" t="str">
        <f>IF(F11=1,"Complete",IF(F11&gt;0,"In progress","Blocked"))</f>
        <v>Blocked</v>
      </c>
      <c r="H11" s="26" t="s">
        <v>2778</v>
      </c>
    </row>
    <row r="12" spans="1:8" ht="39" x14ac:dyDescent="0.35">
      <c r="A12" s="20" t="s">
        <v>2724</v>
      </c>
      <c r="B12" s="102">
        <f>COUNTIF(Products!Q2:Q525,"&lt;&gt;")</f>
        <v>20</v>
      </c>
      <c r="C12" s="11" t="str">
        <f>"Products!Q2:Q525; "&amp;(ROWS(Products!Q2:Q525)-COUNTIF(Products!Q2:Q525,"&lt;&gt;"))&amp;" remain pending"</f>
        <v>Products!Q2:Q525; 504 remain pending</v>
      </c>
      <c r="D12" s="11"/>
      <c r="E12" s="31" t="s">
        <v>2779</v>
      </c>
      <c r="F12" s="36">
        <f>(COUNTIF('Website Launch Controls'!D132:D177,"Available*")+0.5*COUNTIF('Website Launch Controls'!D132:D177,"In Progress*"))/COUNTA('Website Launch Controls'!C132:C177)</f>
        <v>0.58695652173913049</v>
      </c>
      <c r="G12" s="39" t="str">
        <f>IF(F12&gt;=0.85,"Ready",IF(F12&gt;=0.7,"Conditional","Not ready"))</f>
        <v>Not ready</v>
      </c>
      <c r="H12" s="26" t="s">
        <v>2780</v>
      </c>
    </row>
    <row r="13" spans="1:8" ht="26.5" thickBot="1" x14ac:dyDescent="0.4">
      <c r="A13" s="20" t="s">
        <v>2725</v>
      </c>
      <c r="B13" s="21">
        <f>COUNTA(Products!AC2:AC525)</f>
        <v>524</v>
      </c>
      <c r="C13" s="11" t="s">
        <v>3111</v>
      </c>
      <c r="D13" s="11"/>
      <c r="E13" s="35" t="s">
        <v>2781</v>
      </c>
      <c r="F13" s="25">
        <f>COUNTIFS('Website Launch Controls'!A132:A177,"P0",'Website Launch Controls'!D132:D177,"In Progress*")+COUNTIFS('Website Launch Controls'!A132:A177,"P0",'Website Launch Controls'!D132:D177,"To Prepare*")</f>
        <v>17</v>
      </c>
      <c r="G13" s="39" t="str">
        <f>IF(F13=0,"Clear","Blocked")</f>
        <v>Blocked</v>
      </c>
      <c r="H13" s="26" t="s">
        <v>2782</v>
      </c>
    </row>
    <row r="14" spans="1:8" ht="40" thickTop="1" thickBot="1" x14ac:dyDescent="0.4">
      <c r="A14" s="20" t="s">
        <v>2726</v>
      </c>
      <c r="B14" s="102">
        <f>COUNTIFS(Products!S2:S525,"&lt;&gt;",Products!U2:U525,"&lt;&gt;")</f>
        <v>0</v>
      </c>
      <c r="C14" s="11" t="s">
        <v>3112</v>
      </c>
      <c r="D14" s="11"/>
      <c r="E14" s="31" t="s">
        <v>2783</v>
      </c>
      <c r="F14" s="40" t="str">
        <f>IF(AND(F12&gt;=0.85,F13=0),"GO","NO-GO")</f>
        <v>NO-GO</v>
      </c>
      <c r="G14" s="41" t="str">
        <f>IF(F14="GO","Ready for public launch","Public launch blocked")</f>
        <v>Public launch blocked</v>
      </c>
      <c r="H14" s="26" t="s">
        <v>2784</v>
      </c>
    </row>
    <row r="15" spans="1:8" ht="26.5" thickTop="1" x14ac:dyDescent="0.35">
      <c r="A15" s="20" t="s">
        <v>2767</v>
      </c>
      <c r="B15" s="21" cm="1">
        <f t="array" ref="B15">SUMPRODUCT((COUNTIF(Products!E2:E525,Products!E2:E525)&gt;1)/COUNTIF(Products!E2:E525,Products!E2:E525))</f>
        <v>5</v>
      </c>
      <c r="C15" s="11" t="s">
        <v>2768</v>
      </c>
      <c r="D15" s="11"/>
      <c r="E15" s="35" t="s">
        <v>2785</v>
      </c>
      <c r="F15" s="25" t="str">
        <f>COUNTIF('Website Launch Controls'!D132:D177,"Available*")&amp;" available / "&amp;COUNTIF('Website Launch Controls'!D132:D177,"In Progress*")&amp;" in progress / "&amp;COUNTIF('Website Launch Controls'!D132:D177,"To Prepare*")&amp;" to prepare"</f>
        <v>21 available / 12 in progress / 13 to prepare</v>
      </c>
      <c r="G15" s="42" t="s">
        <v>2786</v>
      </c>
      <c r="H15" s="26" t="s">
        <v>2787</v>
      </c>
    </row>
    <row r="16" spans="1:8" ht="26" x14ac:dyDescent="0.35">
      <c r="A16" s="20" t="s">
        <v>2727</v>
      </c>
      <c r="B16" s="21" t="str">
        <f>COUNTA(Products!O2:O525)&amp;" of "&amp;ROWS(Products!O2:O525)</f>
        <v>524 of 524</v>
      </c>
      <c r="C16" s="11" t="s">
        <v>3113</v>
      </c>
      <c r="D16" s="11"/>
      <c r="E16" s="32" t="s">
        <v>2788</v>
      </c>
      <c r="F16" s="44">
        <v>46257</v>
      </c>
      <c r="G16" s="43" t="s">
        <v>2789</v>
      </c>
      <c r="H16" s="27" t="s">
        <v>2790</v>
      </c>
    </row>
    <row r="17" spans="1:8" x14ac:dyDescent="0.35">
      <c r="A17" s="11"/>
      <c r="B17" s="11"/>
      <c r="C17" s="11"/>
      <c r="D17" s="11"/>
      <c r="E17" s="11"/>
      <c r="F17" s="11"/>
      <c r="G17" s="11"/>
      <c r="H17" s="11"/>
    </row>
    <row r="18" spans="1:8" x14ac:dyDescent="0.35">
      <c r="A18" s="11"/>
      <c r="B18" s="11"/>
      <c r="C18" s="11"/>
      <c r="D18" s="11"/>
      <c r="E18" s="11"/>
      <c r="F18" s="11"/>
      <c r="G18" s="11"/>
      <c r="H18" s="11"/>
    </row>
    <row r="19" spans="1:8" x14ac:dyDescent="0.35">
      <c r="A19" s="17" t="s">
        <v>590</v>
      </c>
      <c r="B19" s="17" t="s">
        <v>2169</v>
      </c>
      <c r="C19" s="17" t="s">
        <v>2170</v>
      </c>
      <c r="D19" s="17" t="s">
        <v>593</v>
      </c>
      <c r="E19" s="17" t="s">
        <v>2171</v>
      </c>
      <c r="F19" s="17" t="s">
        <v>2172</v>
      </c>
      <c r="G19" s="17" t="s">
        <v>2173</v>
      </c>
      <c r="H19" s="11"/>
    </row>
    <row r="20" spans="1:8" ht="52" x14ac:dyDescent="0.35">
      <c r="A20" s="18" t="s">
        <v>598</v>
      </c>
      <c r="B20" s="11" t="s">
        <v>3096</v>
      </c>
      <c r="C20" s="11" t="s">
        <v>3164</v>
      </c>
      <c r="D20" s="11" t="s">
        <v>3097</v>
      </c>
      <c r="E20" s="11" t="s">
        <v>3098</v>
      </c>
      <c r="F20" s="11" t="s">
        <v>2174</v>
      </c>
      <c r="G20" s="11" t="s">
        <v>3099</v>
      </c>
      <c r="H20" s="11"/>
    </row>
    <row r="21" spans="1:8" ht="52" x14ac:dyDescent="0.35">
      <c r="A21" s="18" t="s">
        <v>598</v>
      </c>
      <c r="B21" s="11" t="s">
        <v>2175</v>
      </c>
      <c r="C21" s="11" t="str">
        <f>"21 ThermCon products have detailed official-source definitions; "&amp;(ROWS(Products!O2:O525)-21)&amp;" products have controlled baseline definitions pending model-specific technical extraction."</f>
        <v>21 ThermCon products have detailed official-source definitions; 503 products have controlled baseline definitions pending model-specific technical extraction.</v>
      </c>
      <c r="D21" s="11" t="s">
        <v>2728</v>
      </c>
      <c r="E21" s="11" t="s">
        <v>2729</v>
      </c>
      <c r="F21" s="11" t="s">
        <v>2176</v>
      </c>
      <c r="G21" s="11" t="s">
        <v>3114</v>
      </c>
      <c r="H21" s="11"/>
    </row>
    <row r="22" spans="1:8" ht="39" x14ac:dyDescent="0.35">
      <c r="A22" s="18" t="s">
        <v>598</v>
      </c>
      <c r="B22" s="11" t="s">
        <v>2177</v>
      </c>
      <c r="C22" s="11" t="str">
        <f>"Products!P is populated for all "&amp;COUNTA(Products!P2:P525)&amp;": detailed model features for 21 and controlled selection guidance for "&amp;(COUNTA(Products!P2:P525)-21)&amp;"."</f>
        <v>Products!P is populated for all 524: detailed model features for 21 and controlled selection guidance for 503.</v>
      </c>
      <c r="D22" s="11" t="str">
        <f>"Value guidance exists; model-specific benefits remain pending for "&amp;(COUNTA(Products!P2:P525)-21)&amp;" products."</f>
        <v>Value guidance exists; model-specific benefits remain pending for 503 products.</v>
      </c>
      <c r="E22" s="11" t="s">
        <v>2730</v>
      </c>
      <c r="F22" s="11" t="s">
        <v>601</v>
      </c>
      <c r="G22" s="11" t="s">
        <v>3109</v>
      </c>
      <c r="H22" s="11"/>
    </row>
    <row r="23" spans="1:8" ht="39" x14ac:dyDescent="0.35">
      <c r="A23" s="18" t="s">
        <v>598</v>
      </c>
      <c r="B23" s="11" t="s">
        <v>621</v>
      </c>
      <c r="C23" s="11" t="str">
        <f>COUNTIF(Products!Q2:Q525,"&lt;&gt;")&amp;" products have structured technical specifications; "&amp;(ROWS(Products!Q2:Q525)-COUNTIF(Products!Q2:Q525,"&lt;&gt;"))&amp;" require exact manufacturer specifications."</f>
        <v>20 products have structured technical specifications; 504 require exact manufacturer specifications.</v>
      </c>
      <c r="D23" s="11" t="s">
        <v>2731</v>
      </c>
      <c r="E23" s="11" t="s">
        <v>2732</v>
      </c>
      <c r="F23" s="11" t="s">
        <v>601</v>
      </c>
      <c r="G23" s="11" t="s">
        <v>3115</v>
      </c>
      <c r="H23" s="11"/>
    </row>
    <row r="24" spans="1:8" ht="39" x14ac:dyDescent="0.35">
      <c r="A24" s="18" t="s">
        <v>598</v>
      </c>
      <c r="B24" s="11" t="s">
        <v>623</v>
      </c>
      <c r="C24" s="11" t="str">
        <f>"Applications are populated for all "&amp;COUNTA(Products!R2:R525)&amp;": 21 detailed and "&amp;(COUNTA(Products!R2:R525)-21)&amp;" category-led baselines."</f>
        <v>Applications are populated for all 524: 21 detailed and 503 category-led baselines.</v>
      </c>
      <c r="D24" s="11" t="s">
        <v>2733</v>
      </c>
      <c r="E24" s="11" t="s">
        <v>2734</v>
      </c>
      <c r="F24" s="11" t="s">
        <v>625</v>
      </c>
      <c r="G24" s="11" t="s">
        <v>3116</v>
      </c>
      <c r="H24" s="11"/>
    </row>
    <row r="25" spans="1:8" ht="65" x14ac:dyDescent="0.35">
      <c r="A25" s="18" t="s">
        <v>598</v>
      </c>
      <c r="B25" s="11" t="s">
        <v>3165</v>
      </c>
      <c r="C25" s="11" t="str">
        <f>"Alt text is populated for all "&amp;COUNTA(Products!T2:T525)&amp;" listings; "&amp;COUNTIF(Products!S2:S525,"&lt;&gt;")&amp;" image URLs and "&amp;COUNTIF(Products!AF2:AF525,"&lt;&gt;")&amp;" video links are identified."</f>
        <v>Alt text is populated for all 524 listings; 33 image URLs and 18 video links are identified.</v>
      </c>
      <c r="D25" s="11" t="s">
        <v>3166</v>
      </c>
      <c r="E25" s="11" t="str">
        <f>"Confirm reuse/embed rights for identified media; collect approved images for the remaining "&amp;(ROWS(Products!S2:S525)-COUNTIF(Products!S2:S525,"&lt;&gt;"))&amp;" listings and add videos only where available."</f>
        <v>Confirm reuse/embed rights for identified media; collect approved images for the remaining 491 listings and add videos only where available.</v>
      </c>
      <c r="F25" s="11" t="s">
        <v>617</v>
      </c>
      <c r="G25" s="11" t="s">
        <v>3167</v>
      </c>
      <c r="H25" s="11"/>
    </row>
    <row r="26" spans="1:8" ht="39" x14ac:dyDescent="0.35">
      <c r="A26" s="18" t="s">
        <v>598</v>
      </c>
      <c r="B26" s="11" t="s">
        <v>2181</v>
      </c>
      <c r="C26" s="11" t="s">
        <v>2735</v>
      </c>
      <c r="D26" s="11" t="s">
        <v>2736</v>
      </c>
      <c r="E26" s="11" t="s">
        <v>2737</v>
      </c>
      <c r="F26" s="11" t="s">
        <v>601</v>
      </c>
      <c r="G26" s="11" t="s">
        <v>3117</v>
      </c>
      <c r="H26" s="11"/>
    </row>
    <row r="27" spans="1:8" ht="65" x14ac:dyDescent="0.35">
      <c r="A27" s="18" t="s">
        <v>598</v>
      </c>
      <c r="B27" s="11" t="s">
        <v>2183</v>
      </c>
      <c r="C27" s="11" t="s">
        <v>3100</v>
      </c>
      <c r="D27" s="11" t="s">
        <v>2903</v>
      </c>
      <c r="E27" s="11" t="s">
        <v>3101</v>
      </c>
      <c r="F27" s="11" t="s">
        <v>601</v>
      </c>
      <c r="G27" s="11" t="s">
        <v>3102</v>
      </c>
      <c r="H27" s="11"/>
    </row>
    <row r="28" spans="1:8" ht="52" x14ac:dyDescent="0.35">
      <c r="A28" s="18" t="s">
        <v>598</v>
      </c>
      <c r="B28" s="11" t="s">
        <v>2184</v>
      </c>
      <c r="C28" s="11" t="s">
        <v>3168</v>
      </c>
      <c r="D28" s="11" t="s">
        <v>2738</v>
      </c>
      <c r="E28" s="11" t="s">
        <v>2739</v>
      </c>
      <c r="F28" s="11" t="s">
        <v>2185</v>
      </c>
      <c r="G28" s="11" t="s">
        <v>2904</v>
      </c>
      <c r="H28" s="11"/>
    </row>
    <row r="29" spans="1:8" ht="39" x14ac:dyDescent="0.35">
      <c r="A29" s="18" t="s">
        <v>598</v>
      </c>
      <c r="B29" s="11" t="s">
        <v>2186</v>
      </c>
      <c r="C29" s="11" t="s">
        <v>2905</v>
      </c>
      <c r="D29" s="11" t="s">
        <v>2740</v>
      </c>
      <c r="E29" s="11" t="s">
        <v>2741</v>
      </c>
      <c r="F29" s="11" t="s">
        <v>609</v>
      </c>
      <c r="G29" s="11" t="s">
        <v>2900</v>
      </c>
      <c r="H29" s="11"/>
    </row>
    <row r="30" spans="1:8" ht="52" x14ac:dyDescent="0.35">
      <c r="A30" s="18" t="s">
        <v>598</v>
      </c>
      <c r="B30" s="11" t="s">
        <v>2188</v>
      </c>
      <c r="C30" s="11" t="s">
        <v>2742</v>
      </c>
      <c r="D30" s="11" t="s">
        <v>2743</v>
      </c>
      <c r="E30" s="11" t="s">
        <v>2744</v>
      </c>
      <c r="F30" s="11" t="s">
        <v>2189</v>
      </c>
      <c r="G30" s="11" t="s">
        <v>3118</v>
      </c>
      <c r="H30" s="11"/>
    </row>
    <row r="31" spans="1:8" ht="39" x14ac:dyDescent="0.35">
      <c r="A31" s="18" t="s">
        <v>598</v>
      </c>
      <c r="B31" s="11" t="s">
        <v>690</v>
      </c>
      <c r="C31" s="11" t="s">
        <v>2745</v>
      </c>
      <c r="D31" s="11" t="s">
        <v>2746</v>
      </c>
      <c r="E31" s="11" t="s">
        <v>2747</v>
      </c>
      <c r="F31" s="11" t="s">
        <v>693</v>
      </c>
      <c r="G31" s="11" t="s">
        <v>2901</v>
      </c>
      <c r="H31" s="11"/>
    </row>
    <row r="32" spans="1:8" ht="39" x14ac:dyDescent="0.35">
      <c r="A32" s="18" t="s">
        <v>598</v>
      </c>
      <c r="B32" s="11" t="s">
        <v>2191</v>
      </c>
      <c r="C32" s="11" t="str">
        <f>"All "&amp;COUNTA(Products!E2:E525)&amp;" products have normalized web-ready names, SEO titles, and meta descriptions."</f>
        <v>All 524 products have normalized web-ready names, SEO titles, and meta descriptions.</v>
      </c>
      <c r="D32" s="11" t="s">
        <v>2748</v>
      </c>
      <c r="E32" s="11" t="s">
        <v>2749</v>
      </c>
      <c r="F32" s="11" t="s">
        <v>2192</v>
      </c>
      <c r="G32" s="11" t="s">
        <v>3119</v>
      </c>
      <c r="H32" s="11"/>
    </row>
    <row r="33" spans="1:8" ht="52" x14ac:dyDescent="0.35">
      <c r="A33" s="18" t="s">
        <v>598</v>
      </c>
      <c r="B33" s="11" t="s">
        <v>2193</v>
      </c>
      <c r="C33" s="11" t="s">
        <v>2750</v>
      </c>
      <c r="D33" s="11" t="s">
        <v>2751</v>
      </c>
      <c r="E33" s="11" t="s">
        <v>2752</v>
      </c>
      <c r="F33" s="11" t="s">
        <v>719</v>
      </c>
      <c r="G33" s="11" t="s">
        <v>3120</v>
      </c>
      <c r="H33" s="11"/>
    </row>
    <row r="34" spans="1:8" ht="52" x14ac:dyDescent="0.35">
      <c r="A34" s="18" t="s">
        <v>2194</v>
      </c>
      <c r="B34" s="11" t="s">
        <v>2791</v>
      </c>
      <c r="C34" s="11" t="s">
        <v>2792</v>
      </c>
      <c r="D34" s="11" t="s">
        <v>2793</v>
      </c>
      <c r="E34" s="11" t="s">
        <v>2794</v>
      </c>
      <c r="F34" s="11" t="s">
        <v>601</v>
      </c>
      <c r="G34" s="11" t="s">
        <v>3106</v>
      </c>
      <c r="H34" s="11"/>
    </row>
    <row r="35" spans="1:8" x14ac:dyDescent="0.35">
      <c r="A35" s="11"/>
      <c r="B35" s="11"/>
      <c r="C35" s="11"/>
      <c r="D35" s="11"/>
      <c r="E35" s="11"/>
      <c r="F35" s="11"/>
      <c r="G35" s="11"/>
      <c r="H35" s="11"/>
    </row>
    <row r="36" spans="1:8" x14ac:dyDescent="0.35">
      <c r="A36" s="11"/>
      <c r="B36" s="11"/>
      <c r="C36" s="11"/>
      <c r="D36" s="11"/>
      <c r="E36" s="11"/>
      <c r="F36" s="11"/>
      <c r="G36" s="11"/>
      <c r="H36" s="11"/>
    </row>
    <row r="37" spans="1:8" x14ac:dyDescent="0.35">
      <c r="A37" s="17" t="s">
        <v>590</v>
      </c>
      <c r="B37" s="17" t="s">
        <v>591</v>
      </c>
      <c r="C37" s="17" t="s">
        <v>2195</v>
      </c>
      <c r="D37" s="17" t="s">
        <v>596</v>
      </c>
      <c r="E37" s="17" t="s">
        <v>595</v>
      </c>
      <c r="F37" s="17" t="s">
        <v>2196</v>
      </c>
      <c r="G37" s="17" t="s">
        <v>2197</v>
      </c>
      <c r="H37" s="11"/>
    </row>
    <row r="38" spans="1:8" x14ac:dyDescent="0.35">
      <c r="A38" s="11" t="s">
        <v>598</v>
      </c>
      <c r="B38" s="11" t="s">
        <v>614</v>
      </c>
      <c r="C38" s="11" t="s">
        <v>619</v>
      </c>
      <c r="D38" s="15" t="str">
        <f>"Available - detailed for 21; baseline for "&amp;(COUNTA(Products!P2:P525)-21)</f>
        <v>Available - detailed for 21; baseline for 503</v>
      </c>
      <c r="E38" s="11" t="s">
        <v>601</v>
      </c>
      <c r="F38" s="11" t="s">
        <v>2433</v>
      </c>
      <c r="G38" s="11" t="s">
        <v>2178</v>
      </c>
      <c r="H38" s="11"/>
    </row>
    <row r="39" spans="1:8" x14ac:dyDescent="0.35">
      <c r="A39" s="11" t="s">
        <v>598</v>
      </c>
      <c r="B39" s="11" t="s">
        <v>614</v>
      </c>
      <c r="C39" s="11" t="s">
        <v>621</v>
      </c>
      <c r="D39" s="15" t="str">
        <f>"In Progress - "&amp;COUNTIF(Products!Q2:Q525,"&lt;&gt;")&amp;" populated; "&amp;(ROWS(Products!Q2:Q525)-COUNTIF(Products!Q2:Q525,"&lt;&gt;"))&amp;" pending"</f>
        <v>In Progress - 20 populated; 504 pending</v>
      </c>
      <c r="E39" s="11" t="s">
        <v>601</v>
      </c>
      <c r="F39" s="11" t="s">
        <v>2434</v>
      </c>
      <c r="G39" s="11" t="s">
        <v>2179</v>
      </c>
      <c r="H39" s="11"/>
    </row>
    <row r="40" spans="1:8" ht="26" x14ac:dyDescent="0.35">
      <c r="A40" s="11" t="s">
        <v>598</v>
      </c>
      <c r="B40" s="11" t="s">
        <v>614</v>
      </c>
      <c r="C40" s="11" t="s">
        <v>623</v>
      </c>
      <c r="D40" s="15" t="str">
        <f>"Available - populated for all "&amp;COUNTA(Products!R2:R525)&amp;"; validation pending"</f>
        <v>Available - populated for all 524; validation pending</v>
      </c>
      <c r="E40" s="11" t="s">
        <v>625</v>
      </c>
      <c r="F40" s="11" t="s">
        <v>2435</v>
      </c>
      <c r="G40" s="11" t="s">
        <v>2180</v>
      </c>
      <c r="H40" s="11"/>
    </row>
    <row r="41" spans="1:8" ht="39" x14ac:dyDescent="0.35">
      <c r="A41" s="11" t="s">
        <v>598</v>
      </c>
      <c r="B41" s="11" t="s">
        <v>626</v>
      </c>
      <c r="C41" s="11" t="s">
        <v>3169</v>
      </c>
      <c r="D41" s="15" t="str">
        <f>"In Progress - alt text for all "&amp;COUNTA(Products!T2:T525)&amp;" listings; "&amp;COUNTIF(Products!S2:S525,"&lt;&gt;")&amp;" image URLs and "&amp;COUNTIF(Products!AF2:AF525,"&lt;&gt;")&amp;" video links identified; rights approval pending"</f>
        <v>In Progress - alt text for all 524 listings; 33 image URLs and 18 video links identified; rights approval pending</v>
      </c>
      <c r="E41" s="11" t="s">
        <v>617</v>
      </c>
      <c r="F41" s="11" t="s">
        <v>3170</v>
      </c>
      <c r="G41" s="11" t="s">
        <v>3171</v>
      </c>
      <c r="H41" s="11"/>
    </row>
    <row r="42" spans="1:8" ht="26" x14ac:dyDescent="0.35">
      <c r="A42" s="11" t="s">
        <v>598</v>
      </c>
      <c r="B42" s="11" t="s">
        <v>634</v>
      </c>
      <c r="C42" s="11" t="s">
        <v>635</v>
      </c>
      <c r="D42" s="15" t="s">
        <v>2753</v>
      </c>
      <c r="E42" s="11" t="s">
        <v>601</v>
      </c>
      <c r="F42" s="11" t="s">
        <v>2692</v>
      </c>
      <c r="G42" s="11" t="s">
        <v>2182</v>
      </c>
      <c r="H42" s="11"/>
    </row>
    <row r="43" spans="1:8" ht="26" x14ac:dyDescent="0.35">
      <c r="A43" s="11" t="s">
        <v>598</v>
      </c>
      <c r="B43" s="11" t="s">
        <v>646</v>
      </c>
      <c r="C43" s="11" t="s">
        <v>651</v>
      </c>
      <c r="D43" s="15" t="s">
        <v>2754</v>
      </c>
      <c r="E43" s="11" t="s">
        <v>654</v>
      </c>
      <c r="F43" s="11" t="s">
        <v>2899</v>
      </c>
      <c r="G43" s="11" t="s">
        <v>2215</v>
      </c>
      <c r="H43" s="11"/>
    </row>
    <row r="44" spans="1:8" ht="26" x14ac:dyDescent="0.35">
      <c r="A44" s="11" t="s">
        <v>598</v>
      </c>
      <c r="B44" s="11" t="s">
        <v>664</v>
      </c>
      <c r="C44" s="11" t="s">
        <v>672</v>
      </c>
      <c r="D44" s="15" t="s">
        <v>2755</v>
      </c>
      <c r="E44" s="11" t="s">
        <v>609</v>
      </c>
      <c r="F44" s="11" t="s">
        <v>2900</v>
      </c>
      <c r="G44" s="11" t="s">
        <v>2187</v>
      </c>
      <c r="H44" s="11"/>
    </row>
    <row r="45" spans="1:8" ht="26" x14ac:dyDescent="0.35">
      <c r="A45" s="11" t="s">
        <v>598</v>
      </c>
      <c r="B45" s="11" t="s">
        <v>689</v>
      </c>
      <c r="C45" s="11" t="s">
        <v>690</v>
      </c>
      <c r="D45" s="15" t="s">
        <v>2756</v>
      </c>
      <c r="E45" s="11" t="s">
        <v>693</v>
      </c>
      <c r="F45" s="11" t="s">
        <v>2901</v>
      </c>
      <c r="G45" s="11" t="s">
        <v>2190</v>
      </c>
      <c r="H45" s="11"/>
    </row>
    <row r="46" spans="1:8" x14ac:dyDescent="0.35">
      <c r="A46" s="11" t="s">
        <v>598</v>
      </c>
      <c r="B46" s="11" t="s">
        <v>694</v>
      </c>
      <c r="C46" s="11" t="s">
        <v>695</v>
      </c>
      <c r="D46" s="15" t="s">
        <v>618</v>
      </c>
      <c r="E46" s="11" t="s">
        <v>668</v>
      </c>
      <c r="F46" s="11" t="s">
        <v>698</v>
      </c>
      <c r="G46" s="11" t="s">
        <v>2216</v>
      </c>
      <c r="H46" s="11"/>
    </row>
    <row r="47" spans="1:8" ht="26" x14ac:dyDescent="0.35">
      <c r="A47" s="11" t="s">
        <v>598</v>
      </c>
      <c r="B47" s="11" t="s">
        <v>709</v>
      </c>
      <c r="C47" s="11" t="s">
        <v>710</v>
      </c>
      <c r="D47" s="15" t="s">
        <v>2680</v>
      </c>
      <c r="E47" s="11" t="s">
        <v>668</v>
      </c>
      <c r="F47" s="11" t="s">
        <v>2706</v>
      </c>
      <c r="G47" s="11" t="s">
        <v>2217</v>
      </c>
      <c r="H47" s="11"/>
    </row>
    <row r="48" spans="1:8" ht="26" x14ac:dyDescent="0.35">
      <c r="A48" s="11" t="s">
        <v>598</v>
      </c>
      <c r="B48" s="11" t="s">
        <v>713</v>
      </c>
      <c r="C48" s="11" t="s">
        <v>717</v>
      </c>
      <c r="D48" s="15" t="s">
        <v>2757</v>
      </c>
      <c r="E48" s="11" t="s">
        <v>719</v>
      </c>
      <c r="F48" s="11" t="s">
        <v>2708</v>
      </c>
      <c r="G48" s="11" t="s">
        <v>2218</v>
      </c>
      <c r="H48" s="11"/>
    </row>
    <row r="49" spans="1:8" ht="26" x14ac:dyDescent="0.35">
      <c r="A49" s="11" t="s">
        <v>598</v>
      </c>
      <c r="B49" s="11" t="s">
        <v>727</v>
      </c>
      <c r="C49" s="11" t="s">
        <v>728</v>
      </c>
      <c r="D49" s="15" t="s">
        <v>2449</v>
      </c>
      <c r="E49" s="11" t="s">
        <v>731</v>
      </c>
      <c r="F49" s="11" t="s">
        <v>2902</v>
      </c>
      <c r="G49" s="11" t="s">
        <v>2219</v>
      </c>
      <c r="H49" s="11"/>
    </row>
    <row r="50" spans="1:8" ht="26" x14ac:dyDescent="0.35">
      <c r="A50" s="11" t="s">
        <v>598</v>
      </c>
      <c r="B50" s="11" t="s">
        <v>727</v>
      </c>
      <c r="C50" s="11" t="s">
        <v>732</v>
      </c>
      <c r="D50" s="15" t="s">
        <v>2758</v>
      </c>
      <c r="E50" s="11" t="s">
        <v>735</v>
      </c>
      <c r="F50" s="11" t="s">
        <v>2759</v>
      </c>
      <c r="G50" s="11" t="s">
        <v>2220</v>
      </c>
      <c r="H50" s="11"/>
    </row>
    <row r="51" spans="1:8" x14ac:dyDescent="0.35">
      <c r="A51" s="11" t="s">
        <v>598</v>
      </c>
      <c r="B51" s="11" t="s">
        <v>737</v>
      </c>
      <c r="C51" s="11" t="s">
        <v>738</v>
      </c>
      <c r="D51" s="15" t="s">
        <v>618</v>
      </c>
      <c r="E51" s="11" t="s">
        <v>741</v>
      </c>
      <c r="F51" s="11" t="s">
        <v>742</v>
      </c>
      <c r="G51" s="11" t="s">
        <v>2221</v>
      </c>
      <c r="H51" s="11"/>
    </row>
    <row r="52" spans="1:8" x14ac:dyDescent="0.35">
      <c r="A52" s="11" t="s">
        <v>598</v>
      </c>
      <c r="B52" s="11" t="s">
        <v>737</v>
      </c>
      <c r="C52" s="11" t="s">
        <v>743</v>
      </c>
      <c r="D52" s="15" t="s">
        <v>618</v>
      </c>
      <c r="E52" s="11" t="s">
        <v>741</v>
      </c>
      <c r="F52" s="11" t="s">
        <v>742</v>
      </c>
      <c r="G52" s="11" t="s">
        <v>2222</v>
      </c>
      <c r="H52" s="11"/>
    </row>
    <row r="53" spans="1:8" x14ac:dyDescent="0.35">
      <c r="A53" s="11" t="s">
        <v>598</v>
      </c>
      <c r="B53" s="11" t="s">
        <v>746</v>
      </c>
      <c r="C53" s="11" t="s">
        <v>747</v>
      </c>
      <c r="D53" s="15" t="s">
        <v>618</v>
      </c>
      <c r="E53" s="11" t="s">
        <v>726</v>
      </c>
      <c r="F53" s="11" t="s">
        <v>750</v>
      </c>
      <c r="G53" s="11" t="s">
        <v>2223</v>
      </c>
      <c r="H53" s="11"/>
    </row>
    <row r="54" spans="1:8" x14ac:dyDescent="0.35">
      <c r="A54" s="11" t="s">
        <v>598</v>
      </c>
      <c r="B54" s="11" t="s">
        <v>751</v>
      </c>
      <c r="C54" s="11" t="s">
        <v>752</v>
      </c>
      <c r="D54" s="15" t="s">
        <v>618</v>
      </c>
      <c r="E54" s="11" t="s">
        <v>755</v>
      </c>
      <c r="F54" s="11" t="s">
        <v>756</v>
      </c>
      <c r="G54" s="11" t="s">
        <v>2224</v>
      </c>
      <c r="H54" s="11"/>
    </row>
    <row r="55" spans="1:8" x14ac:dyDescent="0.35">
      <c r="A55" s="11" t="s">
        <v>598</v>
      </c>
      <c r="B55" s="11" t="s">
        <v>757</v>
      </c>
      <c r="C55" s="11" t="s">
        <v>758</v>
      </c>
      <c r="D55" s="15" t="s">
        <v>618</v>
      </c>
      <c r="E55" s="11" t="s">
        <v>761</v>
      </c>
      <c r="F55" s="11" t="s">
        <v>762</v>
      </c>
      <c r="G55" s="11" t="s">
        <v>2225</v>
      </c>
      <c r="H55" s="11"/>
    </row>
    <row r="56" spans="1:8" x14ac:dyDescent="0.35">
      <c r="A56" s="11" t="s">
        <v>598</v>
      </c>
      <c r="B56" s="11" t="s">
        <v>769</v>
      </c>
      <c r="C56" s="11" t="s">
        <v>770</v>
      </c>
      <c r="D56" s="15" t="s">
        <v>618</v>
      </c>
      <c r="E56" s="11" t="s">
        <v>609</v>
      </c>
      <c r="F56" s="11" t="s">
        <v>773</v>
      </c>
      <c r="G56" s="11" t="s">
        <v>2226</v>
      </c>
      <c r="H56" s="11"/>
    </row>
    <row r="57" spans="1:8" x14ac:dyDescent="0.35">
      <c r="A57" s="11" t="s">
        <v>598</v>
      </c>
      <c r="B57" s="11" t="s">
        <v>769</v>
      </c>
      <c r="C57" s="11" t="s">
        <v>774</v>
      </c>
      <c r="D57" s="15" t="s">
        <v>618</v>
      </c>
      <c r="E57" s="11" t="s">
        <v>777</v>
      </c>
      <c r="F57" s="11" t="s">
        <v>778</v>
      </c>
      <c r="G57" s="11" t="s">
        <v>2227</v>
      </c>
      <c r="H57" s="11"/>
    </row>
    <row r="58" spans="1:8" x14ac:dyDescent="0.35">
      <c r="A58" s="11"/>
      <c r="B58" s="11"/>
      <c r="C58" s="11"/>
      <c r="D58" s="11"/>
      <c r="E58" s="11"/>
      <c r="F58" s="11"/>
      <c r="G58" s="11"/>
      <c r="H58" s="11"/>
    </row>
    <row r="59" spans="1:8" x14ac:dyDescent="0.35">
      <c r="A59" s="11"/>
      <c r="B59" s="11"/>
      <c r="C59" s="11"/>
      <c r="D59" s="11"/>
      <c r="E59" s="11"/>
      <c r="F59" s="11"/>
      <c r="G59" s="11"/>
      <c r="H59" s="11"/>
    </row>
    <row r="60" spans="1:8" ht="26" x14ac:dyDescent="0.35">
      <c r="A60" s="17" t="s">
        <v>2795</v>
      </c>
      <c r="B60" s="17" t="s">
        <v>2796</v>
      </c>
      <c r="C60" s="17" t="s">
        <v>2198</v>
      </c>
      <c r="D60" s="17" t="s">
        <v>2199</v>
      </c>
      <c r="E60" s="11"/>
      <c r="F60" s="11"/>
      <c r="G60" s="11"/>
      <c r="H60" s="11"/>
    </row>
    <row r="61" spans="1:8" ht="52" x14ac:dyDescent="0.35">
      <c r="A61" s="11" t="s">
        <v>286</v>
      </c>
      <c r="B61" s="11">
        <v>4</v>
      </c>
      <c r="C61" s="11" t="s">
        <v>2200</v>
      </c>
      <c r="D61" s="11" t="s">
        <v>2201</v>
      </c>
      <c r="E61" s="11"/>
      <c r="F61" s="11"/>
      <c r="G61" s="11"/>
      <c r="H61" s="11"/>
    </row>
    <row r="62" spans="1:8" ht="39" x14ac:dyDescent="0.35">
      <c r="A62" s="11" t="s">
        <v>283</v>
      </c>
      <c r="B62" s="11">
        <v>3</v>
      </c>
      <c r="C62" s="11" t="s">
        <v>2202</v>
      </c>
      <c r="D62" s="11" t="s">
        <v>2201</v>
      </c>
      <c r="E62" s="11"/>
      <c r="F62" s="11"/>
      <c r="G62" s="11"/>
      <c r="H62" s="11"/>
    </row>
    <row r="63" spans="1:8" ht="39" x14ac:dyDescent="0.35">
      <c r="A63" s="11" t="s">
        <v>266</v>
      </c>
      <c r="B63" s="11">
        <v>2</v>
      </c>
      <c r="C63" s="11" t="s">
        <v>2203</v>
      </c>
      <c r="D63" s="11" t="s">
        <v>2201</v>
      </c>
      <c r="E63" s="11"/>
      <c r="F63" s="11"/>
      <c r="G63" s="11"/>
      <c r="H63" s="11"/>
    </row>
    <row r="64" spans="1:8" ht="39" x14ac:dyDescent="0.35">
      <c r="A64" s="11" t="s">
        <v>329</v>
      </c>
      <c r="B64" s="11">
        <v>2</v>
      </c>
      <c r="C64" s="11" t="s">
        <v>2204</v>
      </c>
      <c r="D64" s="11" t="s">
        <v>2201</v>
      </c>
      <c r="E64" s="11"/>
      <c r="F64" s="11"/>
      <c r="G64" s="11"/>
      <c r="H64" s="11"/>
    </row>
    <row r="65" spans="1:8" ht="39" x14ac:dyDescent="0.35">
      <c r="A65" s="11" t="s">
        <v>2797</v>
      </c>
      <c r="B65" s="11">
        <v>2</v>
      </c>
      <c r="C65" s="11" t="s">
        <v>2205</v>
      </c>
      <c r="D65" s="11" t="s">
        <v>2798</v>
      </c>
      <c r="E65" s="11"/>
      <c r="F65" s="11"/>
      <c r="G65" s="11"/>
      <c r="H65" s="11"/>
    </row>
    <row r="66" spans="1:8" ht="39" x14ac:dyDescent="0.35">
      <c r="A66" s="11" t="s">
        <v>2799</v>
      </c>
      <c r="B66" s="11">
        <v>2</v>
      </c>
      <c r="C66" s="11" t="s">
        <v>2206</v>
      </c>
      <c r="D66" s="11" t="s">
        <v>2798</v>
      </c>
      <c r="E66" s="11"/>
      <c r="F66" s="11"/>
      <c r="G66" s="11"/>
      <c r="H66" s="11"/>
    </row>
    <row r="67" spans="1:8" ht="39" x14ac:dyDescent="0.35">
      <c r="A67" s="11" t="s">
        <v>2800</v>
      </c>
      <c r="B67" s="11">
        <v>2</v>
      </c>
      <c r="C67" s="11" t="s">
        <v>2207</v>
      </c>
      <c r="D67" s="11" t="s">
        <v>2798</v>
      </c>
      <c r="E67" s="11"/>
      <c r="F67" s="11"/>
      <c r="G67" s="11"/>
      <c r="H67" s="11"/>
    </row>
    <row r="68" spans="1:8" ht="39" x14ac:dyDescent="0.35">
      <c r="A68" s="11" t="s">
        <v>2801</v>
      </c>
      <c r="B68" s="11">
        <v>2</v>
      </c>
      <c r="C68" s="11" t="s">
        <v>2208</v>
      </c>
      <c r="D68" s="11" t="s">
        <v>2798</v>
      </c>
      <c r="E68" s="11"/>
      <c r="F68" s="11"/>
      <c r="G68" s="11"/>
      <c r="H68" s="11"/>
    </row>
    <row r="69" spans="1:8" ht="39" x14ac:dyDescent="0.35">
      <c r="A69" s="11" t="s">
        <v>285</v>
      </c>
      <c r="B69" s="11">
        <v>2</v>
      </c>
      <c r="C69" s="11" t="s">
        <v>2209</v>
      </c>
      <c r="D69" s="11" t="s">
        <v>2201</v>
      </c>
      <c r="E69" s="11"/>
      <c r="F69" s="11"/>
      <c r="G69" s="11"/>
      <c r="H69" s="11"/>
    </row>
    <row r="70" spans="1:8" ht="39" x14ac:dyDescent="0.35">
      <c r="A70" s="11" t="s">
        <v>2802</v>
      </c>
      <c r="B70" s="11">
        <v>2</v>
      </c>
      <c r="C70" s="11" t="s">
        <v>2210</v>
      </c>
      <c r="D70" s="11" t="s">
        <v>2798</v>
      </c>
      <c r="E70" s="11"/>
      <c r="F70" s="11"/>
      <c r="G70" s="11"/>
      <c r="H70" s="11"/>
    </row>
    <row r="71" spans="1:8" x14ac:dyDescent="0.35">
      <c r="A71" s="11"/>
      <c r="B71" s="11"/>
      <c r="C71" s="11"/>
      <c r="D71" s="11"/>
      <c r="E71" s="11"/>
      <c r="F71" s="11"/>
      <c r="G71" s="11"/>
      <c r="H71" s="11"/>
    </row>
    <row r="72" spans="1:8" x14ac:dyDescent="0.35">
      <c r="A72" s="11"/>
      <c r="B72" s="11"/>
      <c r="C72" s="11"/>
      <c r="D72" s="11"/>
      <c r="E72" s="11"/>
      <c r="F72" s="11"/>
      <c r="G72" s="11"/>
      <c r="H72" s="11"/>
    </row>
    <row r="73" spans="1:8" x14ac:dyDescent="0.35">
      <c r="A73" s="17" t="s">
        <v>29</v>
      </c>
      <c r="B73" s="17" t="s">
        <v>2211</v>
      </c>
      <c r="C73" s="17" t="s">
        <v>2760</v>
      </c>
      <c r="D73" s="17" t="s">
        <v>2761</v>
      </c>
      <c r="E73" s="11"/>
      <c r="F73" s="11"/>
      <c r="G73" s="11"/>
      <c r="H73" s="11"/>
    </row>
    <row r="74" spans="1:8" ht="39" x14ac:dyDescent="0.35">
      <c r="A74" s="11" t="s">
        <v>387</v>
      </c>
      <c r="B74" s="11">
        <v>37</v>
      </c>
      <c r="C74" s="11" t="s">
        <v>2762</v>
      </c>
      <c r="D74" s="11" t="s">
        <v>2763</v>
      </c>
      <c r="E74" s="11"/>
      <c r="F74" s="11"/>
      <c r="G74" s="11"/>
      <c r="H74" s="11"/>
    </row>
    <row r="75" spans="1:8" ht="39" x14ac:dyDescent="0.35">
      <c r="A75" s="11" t="s">
        <v>256</v>
      </c>
      <c r="B75" s="11">
        <v>30</v>
      </c>
      <c r="C75" s="11" t="s">
        <v>2762</v>
      </c>
      <c r="D75" s="11" t="s">
        <v>2763</v>
      </c>
      <c r="E75" s="11"/>
      <c r="F75" s="11"/>
      <c r="G75" s="11"/>
      <c r="H75" s="11"/>
    </row>
    <row r="76" spans="1:8" ht="39" x14ac:dyDescent="0.35">
      <c r="A76" s="11" t="s">
        <v>338</v>
      </c>
      <c r="B76" s="11">
        <v>28</v>
      </c>
      <c r="C76" s="11" t="s">
        <v>2762</v>
      </c>
      <c r="D76" s="11" t="s">
        <v>2763</v>
      </c>
      <c r="E76" s="11"/>
      <c r="F76" s="11"/>
      <c r="G76" s="11"/>
      <c r="H76" s="11"/>
    </row>
    <row r="77" spans="1:8" ht="39" x14ac:dyDescent="0.35">
      <c r="A77" s="11" t="s">
        <v>568</v>
      </c>
      <c r="B77" s="11">
        <v>22</v>
      </c>
      <c r="C77" s="11" t="s">
        <v>2762</v>
      </c>
      <c r="D77" s="11" t="s">
        <v>2763</v>
      </c>
      <c r="E77" s="11"/>
      <c r="F77" s="11"/>
      <c r="G77" s="11"/>
      <c r="H77" s="11"/>
    </row>
    <row r="78" spans="1:8" ht="39" x14ac:dyDescent="0.35">
      <c r="A78" s="11" t="s">
        <v>2826</v>
      </c>
      <c r="B78" s="11">
        <v>20</v>
      </c>
      <c r="C78" s="11" t="s">
        <v>2762</v>
      </c>
      <c r="D78" s="11" t="s">
        <v>2763</v>
      </c>
      <c r="E78" s="11"/>
      <c r="F78" s="11"/>
      <c r="G78" s="11"/>
      <c r="H78" s="11"/>
    </row>
    <row r="79" spans="1:8" ht="39" x14ac:dyDescent="0.35">
      <c r="A79" s="11" t="s">
        <v>547</v>
      </c>
      <c r="B79" s="11">
        <v>20</v>
      </c>
      <c r="C79" s="11" t="s">
        <v>2762</v>
      </c>
      <c r="D79" s="11" t="s">
        <v>2763</v>
      </c>
      <c r="E79" s="11"/>
      <c r="F79" s="11"/>
      <c r="G79" s="11"/>
      <c r="H79" s="11"/>
    </row>
    <row r="80" spans="1:8" ht="39" x14ac:dyDescent="0.35">
      <c r="A80" s="11" t="s">
        <v>425</v>
      </c>
      <c r="B80" s="11">
        <v>17</v>
      </c>
      <c r="C80" s="11" t="s">
        <v>2762</v>
      </c>
      <c r="D80" s="11" t="s">
        <v>2763</v>
      </c>
      <c r="E80" s="11"/>
      <c r="F80" s="11"/>
      <c r="G80" s="11"/>
      <c r="H80" s="11"/>
    </row>
    <row r="81" spans="1:8" ht="39" x14ac:dyDescent="0.35">
      <c r="A81" s="11" t="s">
        <v>480</v>
      </c>
      <c r="B81" s="11">
        <v>15</v>
      </c>
      <c r="C81" s="11" t="s">
        <v>2762</v>
      </c>
      <c r="D81" s="11" t="s">
        <v>2763</v>
      </c>
      <c r="E81" s="11"/>
      <c r="F81" s="11"/>
      <c r="G81" s="11"/>
      <c r="H81" s="11"/>
    </row>
    <row r="82" spans="1:8" ht="39" x14ac:dyDescent="0.35">
      <c r="A82" s="11" t="s">
        <v>496</v>
      </c>
      <c r="B82" s="11">
        <v>14</v>
      </c>
      <c r="C82" s="11" t="s">
        <v>2762</v>
      </c>
      <c r="D82" s="11" t="s">
        <v>2763</v>
      </c>
      <c r="E82" s="11"/>
      <c r="F82" s="11"/>
      <c r="G82" s="11"/>
      <c r="H82" s="11"/>
    </row>
    <row r="83" spans="1:8" ht="39" x14ac:dyDescent="0.35">
      <c r="A83" s="11" t="s">
        <v>524</v>
      </c>
      <c r="B83" s="11">
        <v>12</v>
      </c>
      <c r="C83" s="11" t="s">
        <v>2762</v>
      </c>
      <c r="D83" s="11" t="s">
        <v>2763</v>
      </c>
      <c r="E83" s="11"/>
      <c r="F83" s="11"/>
      <c r="G83" s="11"/>
      <c r="H83" s="11"/>
    </row>
    <row r="84" spans="1:8" ht="39" x14ac:dyDescent="0.35">
      <c r="A84" s="11" t="s">
        <v>284</v>
      </c>
      <c r="B84" s="11">
        <v>12</v>
      </c>
      <c r="C84" s="11" t="s">
        <v>2762</v>
      </c>
      <c r="D84" s="11" t="s">
        <v>2763</v>
      </c>
      <c r="E84" s="11"/>
      <c r="F84" s="11"/>
      <c r="G84" s="11"/>
      <c r="H84" s="11"/>
    </row>
    <row r="85" spans="1:8" ht="39" x14ac:dyDescent="0.35">
      <c r="A85" s="11" t="s">
        <v>227</v>
      </c>
      <c r="B85" s="11">
        <v>12</v>
      </c>
      <c r="C85" s="11" t="s">
        <v>2762</v>
      </c>
      <c r="D85" s="11" t="s">
        <v>2763</v>
      </c>
      <c r="E85" s="11"/>
      <c r="F85" s="11"/>
      <c r="G85" s="11"/>
      <c r="H85" s="11"/>
    </row>
    <row r="86" spans="1:8" ht="39" x14ac:dyDescent="0.35">
      <c r="A86" s="11" t="s">
        <v>511</v>
      </c>
      <c r="B86" s="11">
        <v>12</v>
      </c>
      <c r="C86" s="11" t="s">
        <v>2762</v>
      </c>
      <c r="D86" s="11" t="s">
        <v>2763</v>
      </c>
      <c r="E86" s="11"/>
      <c r="F86" s="11"/>
      <c r="G86" s="11"/>
      <c r="H86" s="11"/>
    </row>
    <row r="87" spans="1:8" ht="39" x14ac:dyDescent="0.35">
      <c r="A87" s="11" t="s">
        <v>467</v>
      </c>
      <c r="B87" s="11">
        <v>12</v>
      </c>
      <c r="C87" s="11" t="s">
        <v>2762</v>
      </c>
      <c r="D87" s="11" t="s">
        <v>2763</v>
      </c>
      <c r="E87" s="11"/>
      <c r="F87" s="11"/>
      <c r="G87" s="11"/>
      <c r="H87" s="11"/>
    </row>
    <row r="88" spans="1:8" ht="39" x14ac:dyDescent="0.35">
      <c r="A88" s="11" t="s">
        <v>366</v>
      </c>
      <c r="B88" s="11">
        <v>10</v>
      </c>
      <c r="C88" s="11" t="s">
        <v>2762</v>
      </c>
      <c r="D88" s="11" t="s">
        <v>2763</v>
      </c>
      <c r="E88" s="11"/>
      <c r="F88" s="11"/>
      <c r="G88" s="11"/>
      <c r="H88" s="11"/>
    </row>
    <row r="89" spans="1:8" ht="39" x14ac:dyDescent="0.35">
      <c r="A89" s="11" t="s">
        <v>240</v>
      </c>
      <c r="B89" s="11">
        <v>9</v>
      </c>
      <c r="C89" s="11" t="s">
        <v>2762</v>
      </c>
      <c r="D89" s="11" t="s">
        <v>2763</v>
      </c>
      <c r="E89" s="11"/>
      <c r="F89" s="11"/>
      <c r="G89" s="11"/>
      <c r="H89" s="11"/>
    </row>
    <row r="90" spans="1:8" ht="39" x14ac:dyDescent="0.35">
      <c r="A90" s="11" t="s">
        <v>293</v>
      </c>
      <c r="B90" s="11">
        <v>9</v>
      </c>
      <c r="C90" s="11" t="s">
        <v>2762</v>
      </c>
      <c r="D90" s="11" t="s">
        <v>2763</v>
      </c>
      <c r="E90" s="11"/>
      <c r="F90" s="11"/>
      <c r="G90" s="11"/>
      <c r="H90" s="11"/>
    </row>
    <row r="91" spans="1:8" ht="39" x14ac:dyDescent="0.35">
      <c r="A91" s="11" t="s">
        <v>377</v>
      </c>
      <c r="B91" s="11">
        <v>9</v>
      </c>
      <c r="C91" s="11" t="s">
        <v>2762</v>
      </c>
      <c r="D91" s="11" t="s">
        <v>2763</v>
      </c>
      <c r="E91" s="11"/>
      <c r="F91" s="11"/>
      <c r="G91" s="11"/>
      <c r="H91" s="11"/>
    </row>
    <row r="92" spans="1:8" ht="39" x14ac:dyDescent="0.35">
      <c r="A92" s="11" t="s">
        <v>189</v>
      </c>
      <c r="B92" s="11">
        <v>9</v>
      </c>
      <c r="C92" s="11" t="s">
        <v>2762</v>
      </c>
      <c r="D92" s="11" t="s">
        <v>2763</v>
      </c>
      <c r="E92" s="11"/>
      <c r="F92" s="11"/>
      <c r="G92" s="11"/>
      <c r="H92" s="11"/>
    </row>
    <row r="93" spans="1:8" ht="39" x14ac:dyDescent="0.35">
      <c r="A93" s="11" t="s">
        <v>321</v>
      </c>
      <c r="B93" s="11">
        <v>8</v>
      </c>
      <c r="C93" s="11" t="s">
        <v>2762</v>
      </c>
      <c r="D93" s="11" t="s">
        <v>2763</v>
      </c>
      <c r="E93" s="11"/>
      <c r="F93" s="11"/>
      <c r="G93" s="11"/>
      <c r="H93" s="11"/>
    </row>
    <row r="94" spans="1:8" ht="39" x14ac:dyDescent="0.35">
      <c r="A94" s="11" t="s">
        <v>180</v>
      </c>
      <c r="B94" s="11">
        <v>8</v>
      </c>
      <c r="C94" s="11" t="s">
        <v>2762</v>
      </c>
      <c r="D94" s="11" t="s">
        <v>2763</v>
      </c>
      <c r="E94" s="11"/>
      <c r="F94" s="11"/>
      <c r="G94" s="11"/>
      <c r="H94" s="11"/>
    </row>
    <row r="95" spans="1:8" ht="39" x14ac:dyDescent="0.35">
      <c r="A95" s="11" t="s">
        <v>38</v>
      </c>
      <c r="B95" s="11">
        <v>8</v>
      </c>
      <c r="C95" s="11" t="s">
        <v>2762</v>
      </c>
      <c r="D95" s="11" t="s">
        <v>2763</v>
      </c>
      <c r="E95" s="11"/>
      <c r="F95" s="11"/>
      <c r="G95" s="11"/>
      <c r="H95" s="11"/>
    </row>
    <row r="96" spans="1:8" ht="39" x14ac:dyDescent="0.35">
      <c r="A96" s="11" t="s">
        <v>214</v>
      </c>
      <c r="B96" s="11">
        <v>7</v>
      </c>
      <c r="C96" s="11" t="s">
        <v>2762</v>
      </c>
      <c r="D96" s="11" t="s">
        <v>2763</v>
      </c>
      <c r="E96" s="11"/>
      <c r="F96" s="11"/>
      <c r="G96" s="11"/>
      <c r="H96" s="11"/>
    </row>
    <row r="97" spans="1:8" ht="39" x14ac:dyDescent="0.35">
      <c r="A97" s="11" t="s">
        <v>536</v>
      </c>
      <c r="B97" s="11">
        <v>7</v>
      </c>
      <c r="C97" s="11" t="s">
        <v>2762</v>
      </c>
      <c r="D97" s="11" t="s">
        <v>2763</v>
      </c>
      <c r="E97" s="11"/>
      <c r="F97" s="11"/>
      <c r="G97" s="11"/>
      <c r="H97" s="11"/>
    </row>
    <row r="98" spans="1:8" ht="39" x14ac:dyDescent="0.35">
      <c r="A98" s="11" t="s">
        <v>303</v>
      </c>
      <c r="B98" s="11">
        <v>6</v>
      </c>
      <c r="C98" s="11" t="s">
        <v>2762</v>
      </c>
      <c r="D98" s="11" t="s">
        <v>2763</v>
      </c>
      <c r="E98" s="11"/>
      <c r="F98" s="11"/>
      <c r="G98" s="11"/>
      <c r="H98" s="11"/>
    </row>
    <row r="99" spans="1:8" ht="39" x14ac:dyDescent="0.35">
      <c r="A99" s="11" t="s">
        <v>146</v>
      </c>
      <c r="B99" s="11">
        <v>6</v>
      </c>
      <c r="C99" s="11" t="s">
        <v>2762</v>
      </c>
      <c r="D99" s="11" t="s">
        <v>2763</v>
      </c>
      <c r="E99" s="11"/>
      <c r="F99" s="11"/>
      <c r="G99" s="11"/>
      <c r="H99" s="11"/>
    </row>
    <row r="100" spans="1:8" ht="39" x14ac:dyDescent="0.35">
      <c r="A100" s="11" t="s">
        <v>31</v>
      </c>
      <c r="B100" s="11">
        <v>6</v>
      </c>
      <c r="C100" s="11" t="s">
        <v>2762</v>
      </c>
      <c r="D100" s="11" t="s">
        <v>2763</v>
      </c>
      <c r="E100" s="11"/>
      <c r="F100" s="11"/>
      <c r="G100" s="11"/>
      <c r="H100" s="11"/>
    </row>
    <row r="101" spans="1:8" ht="39" x14ac:dyDescent="0.35">
      <c r="A101" s="11" t="s">
        <v>47</v>
      </c>
      <c r="B101" s="11">
        <v>5</v>
      </c>
      <c r="C101" s="11" t="s">
        <v>2762</v>
      </c>
      <c r="D101" s="11" t="s">
        <v>2763</v>
      </c>
      <c r="E101" s="11"/>
      <c r="F101" s="11"/>
      <c r="G101" s="11"/>
      <c r="H101" s="11"/>
    </row>
    <row r="102" spans="1:8" ht="39" x14ac:dyDescent="0.35">
      <c r="A102" s="11" t="s">
        <v>330</v>
      </c>
      <c r="B102" s="11">
        <v>5</v>
      </c>
      <c r="C102" s="11" t="s">
        <v>2762</v>
      </c>
      <c r="D102" s="11" t="s">
        <v>2763</v>
      </c>
      <c r="E102" s="11"/>
      <c r="F102" s="11"/>
      <c r="G102" s="11"/>
      <c r="H102" s="11"/>
    </row>
    <row r="103" spans="1:8" ht="39" x14ac:dyDescent="0.35">
      <c r="A103" s="11" t="s">
        <v>447</v>
      </c>
      <c r="B103" s="11">
        <v>5</v>
      </c>
      <c r="C103" s="11" t="s">
        <v>2762</v>
      </c>
      <c r="D103" s="11" t="s">
        <v>2763</v>
      </c>
      <c r="E103" s="11"/>
      <c r="F103" s="11"/>
      <c r="G103" s="11"/>
      <c r="H103" s="11"/>
    </row>
    <row r="104" spans="1:8" ht="39" x14ac:dyDescent="0.35">
      <c r="A104" s="11" t="s">
        <v>152</v>
      </c>
      <c r="B104" s="11">
        <v>5</v>
      </c>
      <c r="C104" s="11" t="s">
        <v>2762</v>
      </c>
      <c r="D104" s="11" t="s">
        <v>2763</v>
      </c>
      <c r="E104" s="11"/>
      <c r="F104" s="11"/>
      <c r="G104" s="11"/>
      <c r="H104" s="11"/>
    </row>
    <row r="105" spans="1:8" ht="39" x14ac:dyDescent="0.35">
      <c r="A105" s="11" t="s">
        <v>158</v>
      </c>
      <c r="B105" s="11">
        <v>5</v>
      </c>
      <c r="C105" s="11" t="s">
        <v>2762</v>
      </c>
      <c r="D105" s="11" t="s">
        <v>2763</v>
      </c>
      <c r="E105" s="11"/>
      <c r="F105" s="11"/>
      <c r="G105" s="11"/>
      <c r="H105" s="11"/>
    </row>
    <row r="106" spans="1:8" ht="39" x14ac:dyDescent="0.35">
      <c r="A106" s="11" t="s">
        <v>250</v>
      </c>
      <c r="B106" s="11">
        <v>5</v>
      </c>
      <c r="C106" s="11" t="s">
        <v>2762</v>
      </c>
      <c r="D106" s="11" t="s">
        <v>2763</v>
      </c>
      <c r="E106" s="11"/>
      <c r="F106" s="11"/>
      <c r="G106" s="11"/>
      <c r="H106" s="11"/>
    </row>
    <row r="107" spans="1:8" ht="39" x14ac:dyDescent="0.35">
      <c r="A107" s="11" t="s">
        <v>134</v>
      </c>
      <c r="B107" s="11">
        <v>5</v>
      </c>
      <c r="C107" s="11" t="s">
        <v>2762</v>
      </c>
      <c r="D107" s="11" t="s">
        <v>2763</v>
      </c>
      <c r="E107" s="11"/>
      <c r="F107" s="11"/>
      <c r="G107" s="11"/>
      <c r="H107" s="11"/>
    </row>
    <row r="108" spans="1:8" ht="39" x14ac:dyDescent="0.35">
      <c r="A108" s="11" t="s">
        <v>119</v>
      </c>
      <c r="B108" s="11">
        <v>4</v>
      </c>
      <c r="C108" s="11" t="s">
        <v>2762</v>
      </c>
      <c r="D108" s="11" t="s">
        <v>2763</v>
      </c>
      <c r="E108" s="11"/>
      <c r="F108" s="11"/>
      <c r="G108" s="11"/>
      <c r="H108" s="11"/>
    </row>
    <row r="109" spans="1:8" ht="39" x14ac:dyDescent="0.35">
      <c r="A109" s="11" t="s">
        <v>458</v>
      </c>
      <c r="B109" s="11">
        <v>4</v>
      </c>
      <c r="C109" s="11" t="s">
        <v>2762</v>
      </c>
      <c r="D109" s="11" t="s">
        <v>2763</v>
      </c>
      <c r="E109" s="11"/>
      <c r="F109" s="11"/>
      <c r="G109" s="11"/>
      <c r="H109" s="11"/>
    </row>
    <row r="110" spans="1:8" ht="39" x14ac:dyDescent="0.35">
      <c r="A110" s="11" t="s">
        <v>106</v>
      </c>
      <c r="B110" s="11">
        <v>4</v>
      </c>
      <c r="C110" s="11" t="s">
        <v>2762</v>
      </c>
      <c r="D110" s="11" t="s">
        <v>2763</v>
      </c>
      <c r="E110" s="11"/>
      <c r="F110" s="11"/>
      <c r="G110" s="11"/>
      <c r="H110" s="11"/>
    </row>
    <row r="111" spans="1:8" ht="39" x14ac:dyDescent="0.35">
      <c r="A111" s="11" t="s">
        <v>316</v>
      </c>
      <c r="B111" s="11">
        <v>4</v>
      </c>
      <c r="C111" s="11" t="s">
        <v>2762</v>
      </c>
      <c r="D111" s="11" t="s">
        <v>2763</v>
      </c>
      <c r="E111" s="11"/>
      <c r="F111" s="11"/>
      <c r="G111" s="11"/>
      <c r="H111" s="11"/>
    </row>
    <row r="112" spans="1:8" ht="39" x14ac:dyDescent="0.35">
      <c r="A112" s="11" t="s">
        <v>222</v>
      </c>
      <c r="B112" s="11">
        <v>4</v>
      </c>
      <c r="C112" s="11" t="s">
        <v>2762</v>
      </c>
      <c r="D112" s="11" t="s">
        <v>2763</v>
      </c>
      <c r="E112" s="11"/>
      <c r="F112" s="11"/>
      <c r="G112" s="11"/>
      <c r="H112" s="11"/>
    </row>
    <row r="113" spans="1:8" ht="39" x14ac:dyDescent="0.35">
      <c r="A113" s="11" t="s">
        <v>164</v>
      </c>
      <c r="B113" s="11">
        <v>4</v>
      </c>
      <c r="C113" s="11" t="s">
        <v>2762</v>
      </c>
      <c r="D113" s="11" t="s">
        <v>2763</v>
      </c>
      <c r="E113" s="11"/>
      <c r="F113" s="11"/>
      <c r="G113" s="11"/>
      <c r="H113" s="11"/>
    </row>
    <row r="114" spans="1:8" ht="39" x14ac:dyDescent="0.35">
      <c r="A114" s="11" t="s">
        <v>124</v>
      </c>
      <c r="B114" s="11">
        <v>4</v>
      </c>
      <c r="C114" s="11" t="s">
        <v>2762</v>
      </c>
      <c r="D114" s="11" t="s">
        <v>2763</v>
      </c>
      <c r="E114" s="11"/>
      <c r="F114" s="11"/>
      <c r="G114" s="11"/>
      <c r="H114" s="11"/>
    </row>
    <row r="115" spans="1:8" ht="39" x14ac:dyDescent="0.35">
      <c r="A115" s="11" t="s">
        <v>453</v>
      </c>
      <c r="B115" s="11">
        <v>4</v>
      </c>
      <c r="C115" s="11" t="s">
        <v>2762</v>
      </c>
      <c r="D115" s="11" t="s">
        <v>2763</v>
      </c>
      <c r="E115" s="11"/>
      <c r="F115" s="11"/>
      <c r="G115" s="11"/>
      <c r="H115" s="11"/>
    </row>
    <row r="116" spans="1:8" ht="39" x14ac:dyDescent="0.35">
      <c r="A116" s="11" t="s">
        <v>129</v>
      </c>
      <c r="B116" s="11">
        <v>4</v>
      </c>
      <c r="C116" s="11" t="s">
        <v>2762</v>
      </c>
      <c r="D116" s="11" t="s">
        <v>2763</v>
      </c>
      <c r="E116" s="11"/>
      <c r="F116" s="11"/>
      <c r="G116" s="11"/>
      <c r="H116" s="11"/>
    </row>
    <row r="117" spans="1:8" ht="39" x14ac:dyDescent="0.35">
      <c r="A117" s="11" t="s">
        <v>111</v>
      </c>
      <c r="B117" s="11">
        <v>3</v>
      </c>
      <c r="C117" s="11" t="s">
        <v>2762</v>
      </c>
      <c r="D117" s="11" t="s">
        <v>2763</v>
      </c>
      <c r="E117" s="11"/>
      <c r="F117" s="11"/>
      <c r="G117" s="11"/>
      <c r="H117" s="11"/>
    </row>
    <row r="118" spans="1:8" ht="39" x14ac:dyDescent="0.35">
      <c r="A118" s="11" t="s">
        <v>115</v>
      </c>
      <c r="B118" s="11">
        <v>3</v>
      </c>
      <c r="C118" s="11" t="s">
        <v>2762</v>
      </c>
      <c r="D118" s="11" t="s">
        <v>2763</v>
      </c>
      <c r="E118" s="11"/>
      <c r="F118" s="11"/>
      <c r="G118" s="11"/>
      <c r="H118" s="11"/>
    </row>
    <row r="119" spans="1:8" ht="39" x14ac:dyDescent="0.35">
      <c r="A119" s="11" t="s">
        <v>210</v>
      </c>
      <c r="B119" s="11">
        <v>3</v>
      </c>
      <c r="C119" s="11" t="s">
        <v>2762</v>
      </c>
      <c r="D119" s="11" t="s">
        <v>2763</v>
      </c>
      <c r="E119" s="11"/>
      <c r="F119" s="11"/>
      <c r="G119" s="11"/>
      <c r="H119" s="11"/>
    </row>
    <row r="120" spans="1:8" ht="39" x14ac:dyDescent="0.35">
      <c r="A120" s="11" t="s">
        <v>202</v>
      </c>
      <c r="B120" s="11">
        <v>3</v>
      </c>
      <c r="C120" s="11" t="s">
        <v>2762</v>
      </c>
      <c r="D120" s="11" t="s">
        <v>2763</v>
      </c>
      <c r="E120" s="11"/>
      <c r="F120" s="11"/>
      <c r="G120" s="11"/>
      <c r="H120" s="11"/>
    </row>
    <row r="121" spans="1:8" ht="39" x14ac:dyDescent="0.35">
      <c r="A121" s="11" t="s">
        <v>443</v>
      </c>
      <c r="B121" s="11">
        <v>3</v>
      </c>
      <c r="C121" s="11" t="s">
        <v>2762</v>
      </c>
      <c r="D121" s="11" t="s">
        <v>2763</v>
      </c>
      <c r="E121" s="11"/>
      <c r="F121" s="11"/>
      <c r="G121" s="11"/>
      <c r="H121" s="11"/>
    </row>
    <row r="122" spans="1:8" ht="39" x14ac:dyDescent="0.35">
      <c r="A122" s="11" t="s">
        <v>206</v>
      </c>
      <c r="B122" s="11">
        <v>3</v>
      </c>
      <c r="C122" s="11" t="s">
        <v>2762</v>
      </c>
      <c r="D122" s="11" t="s">
        <v>2763</v>
      </c>
      <c r="E122" s="11"/>
      <c r="F122" s="11"/>
      <c r="G122" s="11"/>
      <c r="H122" s="11"/>
    </row>
    <row r="123" spans="1:8" ht="39" x14ac:dyDescent="0.35">
      <c r="A123" s="11" t="s">
        <v>199</v>
      </c>
      <c r="B123" s="11">
        <v>2</v>
      </c>
      <c r="C123" s="11" t="s">
        <v>2762</v>
      </c>
      <c r="D123" s="11" t="s">
        <v>2763</v>
      </c>
      <c r="E123" s="11"/>
      <c r="F123" s="11"/>
      <c r="G123" s="11"/>
      <c r="H123" s="11"/>
    </row>
    <row r="124" spans="1:8" ht="39" x14ac:dyDescent="0.35">
      <c r="A124" s="11" t="s">
        <v>171</v>
      </c>
      <c r="B124" s="11">
        <v>2</v>
      </c>
      <c r="C124" s="11" t="s">
        <v>2762</v>
      </c>
      <c r="D124" s="11" t="s">
        <v>2763</v>
      </c>
      <c r="E124" s="11"/>
      <c r="F124" s="11"/>
      <c r="G124" s="11"/>
      <c r="H124" s="11"/>
    </row>
    <row r="125" spans="1:8" ht="39" x14ac:dyDescent="0.35">
      <c r="A125" s="11" t="s">
        <v>544</v>
      </c>
      <c r="B125" s="11">
        <v>2</v>
      </c>
      <c r="C125" s="11" t="s">
        <v>2762</v>
      </c>
      <c r="D125" s="11" t="s">
        <v>2763</v>
      </c>
      <c r="E125" s="11"/>
      <c r="F125" s="11"/>
      <c r="G125" s="11"/>
      <c r="H125" s="11"/>
    </row>
    <row r="126" spans="1:8" ht="39" x14ac:dyDescent="0.35">
      <c r="A126" s="11" t="s">
        <v>143</v>
      </c>
      <c r="B126" s="11">
        <v>2</v>
      </c>
      <c r="C126" s="11" t="s">
        <v>2762</v>
      </c>
      <c r="D126" s="11" t="s">
        <v>2763</v>
      </c>
      <c r="E126" s="11"/>
      <c r="F126" s="11"/>
      <c r="G126" s="11"/>
      <c r="H126" s="11"/>
    </row>
    <row r="127" spans="1:8" ht="39" x14ac:dyDescent="0.35">
      <c r="A127" s="11" t="s">
        <v>53</v>
      </c>
      <c r="B127" s="11">
        <v>2</v>
      </c>
      <c r="C127" s="11" t="s">
        <v>2762</v>
      </c>
      <c r="D127" s="11" t="s">
        <v>2763</v>
      </c>
      <c r="E127" s="11"/>
      <c r="F127" s="11"/>
      <c r="G127" s="11"/>
      <c r="H127" s="11"/>
    </row>
    <row r="128" spans="1:8" ht="39" x14ac:dyDescent="0.35">
      <c r="A128" s="11" t="s">
        <v>140</v>
      </c>
      <c r="B128" s="11">
        <v>2</v>
      </c>
      <c r="C128" s="11" t="s">
        <v>2762</v>
      </c>
      <c r="D128" s="11" t="s">
        <v>2763</v>
      </c>
      <c r="E128" s="11"/>
      <c r="F128" s="11"/>
      <c r="G128" s="11"/>
      <c r="H128" s="11"/>
    </row>
    <row r="129" spans="1:8" ht="39" x14ac:dyDescent="0.35">
      <c r="A129" s="11" t="s">
        <v>177</v>
      </c>
      <c r="B129" s="11">
        <v>2</v>
      </c>
      <c r="C129" s="11" t="s">
        <v>2762</v>
      </c>
      <c r="D129" s="11" t="s">
        <v>2763</v>
      </c>
      <c r="E129" s="11"/>
      <c r="F129" s="11"/>
      <c r="G129" s="11"/>
      <c r="H129" s="11"/>
    </row>
    <row r="130" spans="1:8" ht="39" x14ac:dyDescent="0.35">
      <c r="A130" s="11" t="s">
        <v>169</v>
      </c>
      <c r="B130" s="11">
        <v>1</v>
      </c>
      <c r="C130" s="11" t="s">
        <v>2762</v>
      </c>
      <c r="D130" s="11" t="s">
        <v>2763</v>
      </c>
      <c r="E130" s="11"/>
      <c r="F130" s="11"/>
      <c r="G130" s="11"/>
      <c r="H130" s="11"/>
    </row>
    <row r="131" spans="1:8" ht="39" x14ac:dyDescent="0.35">
      <c r="A131" s="11" t="s">
        <v>174</v>
      </c>
      <c r="B131" s="11">
        <v>1</v>
      </c>
      <c r="C131" s="11" t="s">
        <v>2762</v>
      </c>
      <c r="D131" s="11" t="s">
        <v>2763</v>
      </c>
      <c r="E131" s="11"/>
      <c r="F131" s="11"/>
      <c r="G131" s="11"/>
      <c r="H131" s="11"/>
    </row>
    <row r="132" spans="1:8" ht="39" x14ac:dyDescent="0.35">
      <c r="A132" s="11" t="s">
        <v>463</v>
      </c>
      <c r="B132" s="11">
        <v>1</v>
      </c>
      <c r="C132" s="11" t="s">
        <v>2762</v>
      </c>
      <c r="D132" s="11" t="s">
        <v>2763</v>
      </c>
      <c r="E132" s="11"/>
      <c r="F132" s="11"/>
      <c r="G132" s="11"/>
      <c r="H132" s="11"/>
    </row>
    <row r="133" spans="1:8" ht="39" x14ac:dyDescent="0.35">
      <c r="A133" s="11" t="s">
        <v>336</v>
      </c>
      <c r="B133" s="11">
        <v>1</v>
      </c>
      <c r="C133" s="11" t="s">
        <v>2762</v>
      </c>
      <c r="D133" s="11" t="s">
        <v>2763</v>
      </c>
      <c r="E133" s="11"/>
      <c r="F133" s="11"/>
      <c r="G133" s="11"/>
      <c r="H133" s="11"/>
    </row>
    <row r="134" spans="1:8" ht="39" x14ac:dyDescent="0.35">
      <c r="A134" s="11" t="s">
        <v>312</v>
      </c>
      <c r="B134" s="11">
        <v>1</v>
      </c>
      <c r="C134" s="11" t="s">
        <v>2762</v>
      </c>
      <c r="D134" s="11" t="s">
        <v>2763</v>
      </c>
      <c r="E134" s="11"/>
      <c r="F134" s="11"/>
      <c r="G134" s="11"/>
      <c r="H134" s="11"/>
    </row>
    <row r="135" spans="1:8" ht="39" x14ac:dyDescent="0.35">
      <c r="A135" s="11" t="s">
        <v>465</v>
      </c>
      <c r="B135" s="11">
        <v>1</v>
      </c>
      <c r="C135" s="11" t="s">
        <v>2762</v>
      </c>
      <c r="D135" s="11" t="s">
        <v>2763</v>
      </c>
      <c r="E135" s="11"/>
      <c r="F135" s="11"/>
      <c r="G135" s="11"/>
      <c r="H135" s="11"/>
    </row>
    <row r="136" spans="1:8" ht="39" x14ac:dyDescent="0.35">
      <c r="A136" s="11" t="s">
        <v>310</v>
      </c>
      <c r="B136" s="11">
        <v>1</v>
      </c>
      <c r="C136" s="11" t="s">
        <v>2762</v>
      </c>
      <c r="D136" s="11" t="s">
        <v>2763</v>
      </c>
      <c r="E136" s="11"/>
      <c r="F136" s="11"/>
      <c r="G136" s="11"/>
      <c r="H136" s="11"/>
    </row>
    <row r="137" spans="1:8" ht="39" x14ac:dyDescent="0.35">
      <c r="A137" s="11" t="s">
        <v>314</v>
      </c>
      <c r="B137" s="11">
        <v>1</v>
      </c>
      <c r="C137" s="11" t="s">
        <v>2762</v>
      </c>
      <c r="D137" s="11" t="s">
        <v>2763</v>
      </c>
      <c r="E137" s="11"/>
      <c r="F137" s="11"/>
      <c r="G137" s="11"/>
      <c r="H137" s="11"/>
    </row>
    <row r="138" spans="1:8" x14ac:dyDescent="0.35">
      <c r="A138" s="11"/>
      <c r="B138" s="11"/>
      <c r="C138" s="11"/>
      <c r="D138" s="11"/>
      <c r="E138" s="11"/>
      <c r="F138" s="11"/>
      <c r="G138" s="11"/>
      <c r="H138" s="11"/>
    </row>
    <row r="139" spans="1:8" x14ac:dyDescent="0.35">
      <c r="A139" s="11"/>
      <c r="B139" s="11"/>
      <c r="C139" s="11"/>
      <c r="D139" s="11"/>
      <c r="E139" s="11"/>
      <c r="F139" s="11"/>
      <c r="G139" s="11"/>
      <c r="H139" s="11"/>
    </row>
    <row r="140" spans="1:8" ht="26" x14ac:dyDescent="0.35">
      <c r="A140" s="17" t="s">
        <v>2214</v>
      </c>
      <c r="B140" s="17" t="s">
        <v>29</v>
      </c>
      <c r="C140" s="17" t="s">
        <v>22</v>
      </c>
      <c r="D140" s="17" t="s">
        <v>30</v>
      </c>
      <c r="E140" s="17" t="s">
        <v>2764</v>
      </c>
      <c r="F140" s="17" t="s">
        <v>2765</v>
      </c>
      <c r="G140" s="17" t="s">
        <v>2954</v>
      </c>
      <c r="H140" s="17" t="s">
        <v>3076</v>
      </c>
    </row>
    <row r="141" spans="1:8" ht="26" x14ac:dyDescent="0.35">
      <c r="A141" s="11">
        <v>2</v>
      </c>
      <c r="B141" s="11" t="s">
        <v>31</v>
      </c>
      <c r="C141" s="11" t="s">
        <v>1</v>
      </c>
      <c r="D141" s="11" t="s">
        <v>32</v>
      </c>
      <c r="E141" s="19" t="str">
        <f>IF(Products!O2&lt;&gt;"","Yes","No")</f>
        <v>Yes</v>
      </c>
      <c r="F141" s="15" t="str">
        <f>Products!AC2</f>
        <v>Content drafted - assets/specs pending</v>
      </c>
      <c r="G141" s="11" t="str">
        <f>Products!G2</f>
        <v>One page per product category</v>
      </c>
      <c r="H141" s="11" t="str">
        <f>IF(Products!AC2="Ready for approval","None",IF(Products!Q2="","Technical specifications; ","")&amp;IF(Products!S2="","primary image; ","")&amp;IF(Products!U2="","datasheet/brochure; ","")&amp;"technical approval")</f>
        <v>datasheet/brochure; technical approval</v>
      </c>
    </row>
    <row r="142" spans="1:8" ht="26" x14ac:dyDescent="0.35">
      <c r="A142" s="11">
        <v>3</v>
      </c>
      <c r="B142" s="11" t="s">
        <v>31</v>
      </c>
      <c r="C142" s="11" t="s">
        <v>1</v>
      </c>
      <c r="D142" s="11" t="s">
        <v>33</v>
      </c>
      <c r="E142" s="19" t="str">
        <f>IF(Products!O3&lt;&gt;"","Yes","No")</f>
        <v>Yes</v>
      </c>
      <c r="F142" s="15" t="str">
        <f>Products!AC3</f>
        <v>Content drafted - assets/specs pending</v>
      </c>
      <c r="G142" s="11" t="str">
        <f>Products!G3</f>
        <v>One page per product category</v>
      </c>
      <c r="H142" s="11" t="str">
        <f>IF(Products!AC3="Ready for approval","None",IF(Products!Q3="","Technical specifications; ","")&amp;IF(Products!S3="","primary image; ","")&amp;IF(Products!U3="","datasheet/brochure; ","")&amp;"technical approval")</f>
        <v>datasheet/brochure; technical approval</v>
      </c>
    </row>
    <row r="143" spans="1:8" ht="26" x14ac:dyDescent="0.35">
      <c r="A143" s="11">
        <v>4</v>
      </c>
      <c r="B143" s="11" t="s">
        <v>31</v>
      </c>
      <c r="C143" s="11" t="s">
        <v>1</v>
      </c>
      <c r="D143" s="11" t="s">
        <v>34</v>
      </c>
      <c r="E143" s="19" t="str">
        <f>IF(Products!O4&lt;&gt;"","Yes","No")</f>
        <v>Yes</v>
      </c>
      <c r="F143" s="15" t="str">
        <f>Products!AC4</f>
        <v>Content drafted - assets/specs pending</v>
      </c>
      <c r="G143" s="11" t="str">
        <f>Products!G4</f>
        <v>One page per product category</v>
      </c>
      <c r="H143" s="11" t="str">
        <f>IF(Products!AC4="Ready for approval","None",IF(Products!Q4="","Technical specifications; ","")&amp;IF(Products!S4="","primary image; ","")&amp;IF(Products!U4="","datasheet/brochure; ","")&amp;"technical approval")</f>
        <v>datasheet/brochure; technical approval</v>
      </c>
    </row>
    <row r="144" spans="1:8" ht="26" x14ac:dyDescent="0.35">
      <c r="A144" s="11">
        <v>5</v>
      </c>
      <c r="B144" s="11" t="s">
        <v>31</v>
      </c>
      <c r="C144" s="11" t="s">
        <v>1</v>
      </c>
      <c r="D144" s="11" t="s">
        <v>35</v>
      </c>
      <c r="E144" s="19" t="str">
        <f>IF(Products!O5&lt;&gt;"","Yes","No")</f>
        <v>Yes</v>
      </c>
      <c r="F144" s="15" t="str">
        <f>Products!AC5</f>
        <v>Content drafted - assets/specs pending</v>
      </c>
      <c r="G144" s="11" t="str">
        <f>Products!G5</f>
        <v>One page per product category</v>
      </c>
      <c r="H144" s="11" t="str">
        <f>IF(Products!AC5="Ready for approval","None",IF(Products!Q5="","Technical specifications; ","")&amp;IF(Products!S5="","primary image; ","")&amp;IF(Products!U5="","datasheet/brochure; ","")&amp;"technical approval")</f>
        <v>datasheet/brochure; technical approval</v>
      </c>
    </row>
    <row r="145" spans="1:8" ht="26" x14ac:dyDescent="0.35">
      <c r="A145" s="11">
        <v>6</v>
      </c>
      <c r="B145" s="11" t="s">
        <v>31</v>
      </c>
      <c r="C145" s="11" t="s">
        <v>1</v>
      </c>
      <c r="D145" s="11" t="s">
        <v>36</v>
      </c>
      <c r="E145" s="19" t="str">
        <f>IF(Products!O6&lt;&gt;"","Yes","No")</f>
        <v>Yes</v>
      </c>
      <c r="F145" s="15" t="str">
        <f>Products!AC6</f>
        <v>Content drafted - assets/specs pending</v>
      </c>
      <c r="G145" s="11" t="str">
        <f>Products!G6</f>
        <v>One page per product category</v>
      </c>
      <c r="H145" s="11" t="str">
        <f>IF(Products!AC6="Ready for approval","None",IF(Products!Q6="","Technical specifications; ","")&amp;IF(Products!S6="","primary image; ","")&amp;IF(Products!U6="","datasheet/brochure; ","")&amp;"technical approval")</f>
        <v>datasheet/brochure; technical approval</v>
      </c>
    </row>
    <row r="146" spans="1:8" ht="26" x14ac:dyDescent="0.35">
      <c r="A146" s="11">
        <v>7</v>
      </c>
      <c r="B146" s="11" t="s">
        <v>31</v>
      </c>
      <c r="C146" s="11" t="s">
        <v>1</v>
      </c>
      <c r="D146" s="11" t="s">
        <v>37</v>
      </c>
      <c r="E146" s="19" t="str">
        <f>IF(Products!O7&lt;&gt;"","Yes","No")</f>
        <v>Yes</v>
      </c>
      <c r="F146" s="15" t="str">
        <f>Products!AC7</f>
        <v>Content drafted - assets/specs pending</v>
      </c>
      <c r="G146" s="11" t="str">
        <f>Products!G7</f>
        <v>One page per product category</v>
      </c>
      <c r="H146" s="11" t="str">
        <f>IF(Products!AC7="Ready for approval","None",IF(Products!Q7="","Technical specifications; ","")&amp;IF(Products!S7="","primary image; ","")&amp;IF(Products!U7="","datasheet/brochure; ","")&amp;"technical approval")</f>
        <v>datasheet/brochure; technical approval</v>
      </c>
    </row>
    <row r="147" spans="1:8" ht="26" x14ac:dyDescent="0.35">
      <c r="A147" s="11">
        <v>8</v>
      </c>
      <c r="B147" s="11" t="s">
        <v>38</v>
      </c>
      <c r="C147" s="11" t="s">
        <v>1</v>
      </c>
      <c r="D147" s="11" t="s">
        <v>39</v>
      </c>
      <c r="E147" s="19" t="str">
        <f>IF(Products!O8&lt;&gt;"","Yes","No")</f>
        <v>Yes</v>
      </c>
      <c r="F147" s="15" t="str">
        <f>Products!AC8</f>
        <v>Content drafted - assets/specs pending</v>
      </c>
      <c r="G147" s="11" t="str">
        <f>Products!G8</f>
        <v>One page per product category</v>
      </c>
      <c r="H147" s="11" t="str">
        <f>IF(Products!AC8="Ready for approval","None",IF(Products!Q8="","Technical specifications; ","")&amp;IF(Products!S8="","primary image; ","")&amp;IF(Products!U8="","datasheet/brochure; ","")&amp;"technical approval")</f>
        <v>datasheet/brochure; technical approval</v>
      </c>
    </row>
    <row r="148" spans="1:8" ht="26" x14ac:dyDescent="0.35">
      <c r="A148" s="11">
        <v>9</v>
      </c>
      <c r="B148" s="11" t="s">
        <v>38</v>
      </c>
      <c r="C148" s="11" t="s">
        <v>1</v>
      </c>
      <c r="D148" s="11" t="s">
        <v>40</v>
      </c>
      <c r="E148" s="19" t="str">
        <f>IF(Products!O9&lt;&gt;"","Yes","No")</f>
        <v>Yes</v>
      </c>
      <c r="F148" s="15" t="str">
        <f>Products!AC9</f>
        <v>Content drafted - assets/specs pending</v>
      </c>
      <c r="G148" s="11" t="str">
        <f>Products!G9</f>
        <v>One page per product category</v>
      </c>
      <c r="H148" s="11" t="str">
        <f>IF(Products!AC9="Ready for approval","None",IF(Products!Q9="","Technical specifications; ","")&amp;IF(Products!S9="","primary image; ","")&amp;IF(Products!U9="","datasheet/brochure; ","")&amp;"technical approval")</f>
        <v>datasheet/brochure; technical approval</v>
      </c>
    </row>
    <row r="149" spans="1:8" ht="26" x14ac:dyDescent="0.35">
      <c r="A149" s="11">
        <v>10</v>
      </c>
      <c r="B149" s="11" t="s">
        <v>38</v>
      </c>
      <c r="C149" s="11" t="s">
        <v>1</v>
      </c>
      <c r="D149" s="11" t="s">
        <v>41</v>
      </c>
      <c r="E149" s="19" t="str">
        <f>IF(Products!O10&lt;&gt;"","Yes","No")</f>
        <v>Yes</v>
      </c>
      <c r="F149" s="15" t="str">
        <f>Products!AC10</f>
        <v>Content drafted - assets/specs pending</v>
      </c>
      <c r="G149" s="11" t="str">
        <f>Products!G10</f>
        <v>One page per product category</v>
      </c>
      <c r="H149" s="11" t="str">
        <f>IF(Products!AC10="Ready for approval","None",IF(Products!Q10="","Technical specifications; ","")&amp;IF(Products!S10="","primary image; ","")&amp;IF(Products!U10="","datasheet/brochure; ","")&amp;"technical approval")</f>
        <v>datasheet/brochure; technical approval</v>
      </c>
    </row>
    <row r="150" spans="1:8" ht="26" x14ac:dyDescent="0.35">
      <c r="A150" s="11">
        <v>11</v>
      </c>
      <c r="B150" s="11" t="s">
        <v>38</v>
      </c>
      <c r="C150" s="11" t="s">
        <v>1</v>
      </c>
      <c r="D150" s="11" t="s">
        <v>42</v>
      </c>
      <c r="E150" s="19" t="str">
        <f>IF(Products!O11&lt;&gt;"","Yes","No")</f>
        <v>Yes</v>
      </c>
      <c r="F150" s="15" t="str">
        <f>Products!AC11</f>
        <v>Content drafted - assets/specs pending</v>
      </c>
      <c r="G150" s="11" t="str">
        <f>Products!G11</f>
        <v>One page per product category</v>
      </c>
      <c r="H150" s="11" t="str">
        <f>IF(Products!AC11="Ready for approval","None",IF(Products!Q11="","Technical specifications; ","")&amp;IF(Products!S11="","primary image; ","")&amp;IF(Products!U11="","datasheet/brochure; ","")&amp;"technical approval")</f>
        <v>datasheet/brochure; technical approval</v>
      </c>
    </row>
    <row r="151" spans="1:8" ht="26" x14ac:dyDescent="0.35">
      <c r="A151" s="11">
        <v>12</v>
      </c>
      <c r="B151" s="11" t="s">
        <v>38</v>
      </c>
      <c r="C151" s="11" t="s">
        <v>1</v>
      </c>
      <c r="D151" s="11" t="s">
        <v>43</v>
      </c>
      <c r="E151" s="19" t="str">
        <f>IF(Products!O12&lt;&gt;"","Yes","No")</f>
        <v>Yes</v>
      </c>
      <c r="F151" s="15" t="str">
        <f>Products!AC12</f>
        <v>Content drafted - assets/specs pending</v>
      </c>
      <c r="G151" s="11" t="str">
        <f>Products!G12</f>
        <v>One page per product category</v>
      </c>
      <c r="H151" s="11" t="str">
        <f>IF(Products!AC12="Ready for approval","None",IF(Products!Q12="","Technical specifications; ","")&amp;IF(Products!S12="","primary image; ","")&amp;IF(Products!U12="","datasheet/brochure; ","")&amp;"technical approval")</f>
        <v>datasheet/brochure; technical approval</v>
      </c>
    </row>
    <row r="152" spans="1:8" ht="26" x14ac:dyDescent="0.35">
      <c r="A152" s="11">
        <v>13</v>
      </c>
      <c r="B152" s="11" t="s">
        <v>38</v>
      </c>
      <c r="C152" s="11" t="s">
        <v>1</v>
      </c>
      <c r="D152" s="11" t="s">
        <v>44</v>
      </c>
      <c r="E152" s="19" t="str">
        <f>IF(Products!O13&lt;&gt;"","Yes","No")</f>
        <v>Yes</v>
      </c>
      <c r="F152" s="15" t="str">
        <f>Products!AC13</f>
        <v>Content drafted - assets/specs pending</v>
      </c>
      <c r="G152" s="11" t="str">
        <f>Products!G13</f>
        <v>One page per product category</v>
      </c>
      <c r="H152" s="11" t="str">
        <f>IF(Products!AC13="Ready for approval","None",IF(Products!Q13="","Technical specifications; ","")&amp;IF(Products!S13="","primary image; ","")&amp;IF(Products!U13="","datasheet/brochure; ","")&amp;"technical approval")</f>
        <v>datasheet/brochure; technical approval</v>
      </c>
    </row>
    <row r="153" spans="1:8" ht="26" x14ac:dyDescent="0.35">
      <c r="A153" s="11">
        <v>14</v>
      </c>
      <c r="B153" s="11" t="s">
        <v>38</v>
      </c>
      <c r="C153" s="11" t="s">
        <v>1</v>
      </c>
      <c r="D153" s="11" t="s">
        <v>45</v>
      </c>
      <c r="E153" s="19" t="str">
        <f>IF(Products!O14&lt;&gt;"","Yes","No")</f>
        <v>Yes</v>
      </c>
      <c r="F153" s="15" t="str">
        <f>Products!AC14</f>
        <v>Content drafted - assets/specs pending</v>
      </c>
      <c r="G153" s="11" t="str">
        <f>Products!G14</f>
        <v>One page per product category</v>
      </c>
      <c r="H153" s="11" t="str">
        <f>IF(Products!AC14="Ready for approval","None",IF(Products!Q14="","Technical specifications; ","")&amp;IF(Products!S14="","primary image; ","")&amp;IF(Products!U14="","datasheet/brochure; ","")&amp;"technical approval")</f>
        <v>datasheet/brochure; technical approval</v>
      </c>
    </row>
    <row r="154" spans="1:8" ht="26" x14ac:dyDescent="0.35">
      <c r="A154" s="11">
        <v>15</v>
      </c>
      <c r="B154" s="11" t="s">
        <v>38</v>
      </c>
      <c r="C154" s="11" t="s">
        <v>1</v>
      </c>
      <c r="D154" s="11" t="s">
        <v>46</v>
      </c>
      <c r="E154" s="19" t="str">
        <f>IF(Products!O15&lt;&gt;"","Yes","No")</f>
        <v>Yes</v>
      </c>
      <c r="F154" s="15" t="str">
        <f>Products!AC15</f>
        <v>Content drafted - assets/specs pending</v>
      </c>
      <c r="G154" s="11" t="str">
        <f>Products!G15</f>
        <v>One page per product category</v>
      </c>
      <c r="H154" s="11" t="str">
        <f>IF(Products!AC15="Ready for approval","None",IF(Products!Q15="","Technical specifications; ","")&amp;IF(Products!S15="","primary image; ","")&amp;IF(Products!U15="","datasheet/brochure; ","")&amp;"technical approval")</f>
        <v>datasheet/brochure; technical approval</v>
      </c>
    </row>
    <row r="155" spans="1:8" ht="26" x14ac:dyDescent="0.35">
      <c r="A155" s="11">
        <v>16</v>
      </c>
      <c r="B155" s="11" t="s">
        <v>47</v>
      </c>
      <c r="C155" s="11" t="s">
        <v>1</v>
      </c>
      <c r="D155" s="11" t="s">
        <v>48</v>
      </c>
      <c r="E155" s="19" t="str">
        <f>IF(Products!O16&lt;&gt;"","Yes","No")</f>
        <v>Yes</v>
      </c>
      <c r="F155" s="15" t="str">
        <f>Products!AC16</f>
        <v>Content drafted - assets/specs pending</v>
      </c>
      <c r="G155" s="11" t="str">
        <f>Products!G16</f>
        <v>One page per product category</v>
      </c>
      <c r="H155" s="11" t="str">
        <f>IF(Products!AC16="Ready for approval","None",IF(Products!Q16="","Technical specifications; ","")&amp;IF(Products!S16="","primary image; ","")&amp;IF(Products!U16="","datasheet/brochure; ","")&amp;"technical approval")</f>
        <v>datasheet/brochure; technical approval</v>
      </c>
    </row>
    <row r="156" spans="1:8" ht="26" x14ac:dyDescent="0.35">
      <c r="A156" s="11">
        <v>17</v>
      </c>
      <c r="B156" s="11" t="s">
        <v>47</v>
      </c>
      <c r="C156" s="11" t="s">
        <v>1</v>
      </c>
      <c r="D156" s="11" t="s">
        <v>49</v>
      </c>
      <c r="E156" s="19" t="str">
        <f>IF(Products!O17&lt;&gt;"","Yes","No")</f>
        <v>Yes</v>
      </c>
      <c r="F156" s="15" t="str">
        <f>Products!AC17</f>
        <v>Content drafted - assets/specs pending</v>
      </c>
      <c r="G156" s="11" t="str">
        <f>Products!G17</f>
        <v>One page per product category</v>
      </c>
      <c r="H156" s="11" t="str">
        <f>IF(Products!AC17="Ready for approval","None",IF(Products!Q17="","Technical specifications; ","")&amp;IF(Products!S17="","primary image; ","")&amp;IF(Products!U17="","datasheet/brochure; ","")&amp;"technical approval")</f>
        <v>datasheet/brochure; technical approval</v>
      </c>
    </row>
    <row r="157" spans="1:8" ht="26" x14ac:dyDescent="0.35">
      <c r="A157" s="11">
        <v>18</v>
      </c>
      <c r="B157" s="11" t="s">
        <v>47</v>
      </c>
      <c r="C157" s="11" t="s">
        <v>1</v>
      </c>
      <c r="D157" s="11" t="s">
        <v>50</v>
      </c>
      <c r="E157" s="19" t="str">
        <f>IF(Products!O18&lt;&gt;"","Yes","No")</f>
        <v>Yes</v>
      </c>
      <c r="F157" s="15" t="str">
        <f>Products!AC18</f>
        <v>Content drafted - assets/specs pending</v>
      </c>
      <c r="G157" s="11" t="str">
        <f>Products!G18</f>
        <v>One page per product category</v>
      </c>
      <c r="H157" s="11" t="str">
        <f>IF(Products!AC18="Ready for approval","None",IF(Products!Q18="","Technical specifications; ","")&amp;IF(Products!S18="","primary image; ","")&amp;IF(Products!U18="","datasheet/brochure; ","")&amp;"technical approval")</f>
        <v>Technical specifications; datasheet/brochure; technical approval</v>
      </c>
    </row>
    <row r="158" spans="1:8" ht="26" x14ac:dyDescent="0.35">
      <c r="A158" s="11">
        <v>19</v>
      </c>
      <c r="B158" s="11" t="s">
        <v>47</v>
      </c>
      <c r="C158" s="11" t="s">
        <v>1</v>
      </c>
      <c r="D158" s="11" t="s">
        <v>51</v>
      </c>
      <c r="E158" s="19" t="str">
        <f>IF(Products!O19&lt;&gt;"","Yes","No")</f>
        <v>Yes</v>
      </c>
      <c r="F158" s="15" t="str">
        <f>Products!AC19</f>
        <v>Content drafted - assets/specs pending</v>
      </c>
      <c r="G158" s="11" t="str">
        <f>Products!G19</f>
        <v>One page per product category</v>
      </c>
      <c r="H158" s="11" t="str">
        <f>IF(Products!AC19="Ready for approval","None",IF(Products!Q19="","Technical specifications; ","")&amp;IF(Products!S19="","primary image; ","")&amp;IF(Products!U19="","datasheet/brochure; ","")&amp;"technical approval")</f>
        <v>datasheet/brochure; technical approval</v>
      </c>
    </row>
    <row r="159" spans="1:8" ht="26" x14ac:dyDescent="0.35">
      <c r="A159" s="11">
        <v>20</v>
      </c>
      <c r="B159" s="11" t="s">
        <v>47</v>
      </c>
      <c r="C159" s="11" t="s">
        <v>1</v>
      </c>
      <c r="D159" s="11" t="s">
        <v>52</v>
      </c>
      <c r="E159" s="19" t="str">
        <f>IF(Products!O20&lt;&gt;"","Yes","No")</f>
        <v>Yes</v>
      </c>
      <c r="F159" s="15" t="str">
        <f>Products!AC20</f>
        <v>Content drafted - assets/specs pending</v>
      </c>
      <c r="G159" s="11" t="str">
        <f>Products!G20</f>
        <v>One page per product category</v>
      </c>
      <c r="H159" s="11" t="str">
        <f>IF(Products!AC20="Ready for approval","None",IF(Products!Q20="","Technical specifications; ","")&amp;IF(Products!S20="","primary image; ","")&amp;IF(Products!U20="","datasheet/brochure; ","")&amp;"technical approval")</f>
        <v>Technical specifications; datasheet/brochure; technical approval</v>
      </c>
    </row>
    <row r="160" spans="1:8" ht="26" x14ac:dyDescent="0.35">
      <c r="A160" s="11">
        <v>21</v>
      </c>
      <c r="B160" s="11" t="s">
        <v>53</v>
      </c>
      <c r="C160" s="11" t="s">
        <v>1</v>
      </c>
      <c r="D160" s="11" t="s">
        <v>54</v>
      </c>
      <c r="E160" s="19" t="str">
        <f>IF(Products!O21&lt;&gt;"","Yes","No")</f>
        <v>Yes</v>
      </c>
      <c r="F160" s="15" t="str">
        <f>Products!AC21</f>
        <v>Content drafted - assets/specs pending</v>
      </c>
      <c r="G160" s="11" t="str">
        <f>Products!G21</f>
        <v>One page per product category</v>
      </c>
      <c r="H160" s="11" t="str">
        <f>IF(Products!AC21="Ready for approval","None",IF(Products!Q21="","Technical specifications; ","")&amp;IF(Products!S21="","primary image; ","")&amp;IF(Products!U21="","datasheet/brochure; ","")&amp;"technical approval")</f>
        <v>Technical specifications; primary image; datasheet/brochure; technical approval</v>
      </c>
    </row>
    <row r="161" spans="1:8" ht="26" x14ac:dyDescent="0.35">
      <c r="A161" s="11">
        <v>22</v>
      </c>
      <c r="B161" s="11" t="s">
        <v>53</v>
      </c>
      <c r="C161" s="11" t="s">
        <v>1</v>
      </c>
      <c r="D161" s="11" t="s">
        <v>55</v>
      </c>
      <c r="E161" s="19" t="str">
        <f>IF(Products!O22&lt;&gt;"","Yes","No")</f>
        <v>Yes</v>
      </c>
      <c r="F161" s="15" t="str">
        <f>Products!AC22</f>
        <v>Content drafted - assets/specs pending</v>
      </c>
      <c r="G161" s="11" t="str">
        <f>Products!G22</f>
        <v>One page per product category</v>
      </c>
      <c r="H161" s="11" t="str">
        <f>IF(Products!AC22="Ready for approval","None",IF(Products!Q22="","Technical specifications; ","")&amp;IF(Products!S22="","primary image; ","")&amp;IF(Products!U22="","datasheet/brochure; ","")&amp;"technical approval")</f>
        <v>primary image; datasheet/brochure; technical approval</v>
      </c>
    </row>
    <row r="162" spans="1:8" ht="26" x14ac:dyDescent="0.35">
      <c r="A162" s="11">
        <v>23</v>
      </c>
      <c r="B162" s="11" t="s">
        <v>2826</v>
      </c>
      <c r="C162" s="11" t="s">
        <v>3</v>
      </c>
      <c r="D162" s="11" t="s">
        <v>62</v>
      </c>
      <c r="E162" s="19" t="str">
        <f>IF(Products!O23&lt;&gt;"","Yes","No")</f>
        <v>Yes</v>
      </c>
      <c r="F162" s="15" t="str">
        <f>Products!AC23</f>
        <v>Content drafted - assets/specs pending</v>
      </c>
      <c r="G162" s="11" t="str">
        <f>Products!G23</f>
        <v>One page per product category</v>
      </c>
      <c r="H162" s="11" t="str">
        <f>IF(Products!AC23="Ready for approval","None",IF(Products!Q23="","Technical specifications; ","")&amp;IF(Products!S23="","primary image; ","")&amp;IF(Products!U23="","datasheet/brochure; ","")&amp;"technical approval")</f>
        <v>Technical specifications; primary image; datasheet/brochure; technical approval</v>
      </c>
    </row>
    <row r="163" spans="1:8" ht="26" x14ac:dyDescent="0.35">
      <c r="A163" s="11">
        <v>24</v>
      </c>
      <c r="B163" s="11" t="s">
        <v>2826</v>
      </c>
      <c r="C163" s="11" t="s">
        <v>3</v>
      </c>
      <c r="D163" s="11" t="s">
        <v>63</v>
      </c>
      <c r="E163" s="19" t="str">
        <f>IF(Products!O24&lt;&gt;"","Yes","No")</f>
        <v>Yes</v>
      </c>
      <c r="F163" s="15" t="str">
        <f>Products!AC24</f>
        <v>Content drafted - assets/specs pending</v>
      </c>
      <c r="G163" s="11" t="str">
        <f>Products!G24</f>
        <v>One page per product category</v>
      </c>
      <c r="H163" s="11" t="str">
        <f>IF(Products!AC24="Ready for approval","None",IF(Products!Q24="","Technical specifications; ","")&amp;IF(Products!S24="","primary image; ","")&amp;IF(Products!U24="","datasheet/brochure; ","")&amp;"technical approval")</f>
        <v>Technical specifications; primary image; datasheet/brochure; technical approval</v>
      </c>
    </row>
    <row r="164" spans="1:8" ht="26" x14ac:dyDescent="0.35">
      <c r="A164" s="11">
        <v>25</v>
      </c>
      <c r="B164" s="11" t="s">
        <v>2826</v>
      </c>
      <c r="C164" s="11" t="s">
        <v>3</v>
      </c>
      <c r="D164" s="11" t="s">
        <v>64</v>
      </c>
      <c r="E164" s="19" t="str">
        <f>IF(Products!O25&lt;&gt;"","Yes","No")</f>
        <v>Yes</v>
      </c>
      <c r="F164" s="15" t="str">
        <f>Products!AC25</f>
        <v>Content drafted - assets/specs pending</v>
      </c>
      <c r="G164" s="11" t="str">
        <f>Products!G25</f>
        <v>One page per product category</v>
      </c>
      <c r="H164" s="11" t="str">
        <f>IF(Products!AC25="Ready for approval","None",IF(Products!Q25="","Technical specifications; ","")&amp;IF(Products!S25="","primary image; ","")&amp;IF(Products!U25="","datasheet/brochure; ","")&amp;"technical approval")</f>
        <v>Technical specifications; primary image; datasheet/brochure; technical approval</v>
      </c>
    </row>
    <row r="165" spans="1:8" ht="26" x14ac:dyDescent="0.35">
      <c r="A165" s="11">
        <v>26</v>
      </c>
      <c r="B165" s="11" t="s">
        <v>2826</v>
      </c>
      <c r="C165" s="11" t="s">
        <v>3</v>
      </c>
      <c r="D165" s="11" t="s">
        <v>65</v>
      </c>
      <c r="E165" s="19" t="str">
        <f>IF(Products!O26&lt;&gt;"","Yes","No")</f>
        <v>Yes</v>
      </c>
      <c r="F165" s="15" t="str">
        <f>Products!AC26</f>
        <v>Content drafted - assets/specs pending</v>
      </c>
      <c r="G165" s="11" t="str">
        <f>Products!G26</f>
        <v>One page per product category</v>
      </c>
      <c r="H165" s="11" t="str">
        <f>IF(Products!AC26="Ready for approval","None",IF(Products!Q26="","Technical specifications; ","")&amp;IF(Products!S26="","primary image; ","")&amp;IF(Products!U26="","datasheet/brochure; ","")&amp;"technical approval")</f>
        <v>Technical specifications; primary image; datasheet/brochure; technical approval</v>
      </c>
    </row>
    <row r="166" spans="1:8" ht="26" x14ac:dyDescent="0.35">
      <c r="A166" s="11">
        <v>27</v>
      </c>
      <c r="B166" s="11" t="s">
        <v>2826</v>
      </c>
      <c r="C166" s="11" t="s">
        <v>3</v>
      </c>
      <c r="D166" s="11" t="s">
        <v>66</v>
      </c>
      <c r="E166" s="19" t="str">
        <f>IF(Products!O27&lt;&gt;"","Yes","No")</f>
        <v>Yes</v>
      </c>
      <c r="F166" s="15" t="str">
        <f>Products!AC27</f>
        <v>Content drafted - assets/specs pending</v>
      </c>
      <c r="G166" s="11" t="str">
        <f>Products!G27</f>
        <v>One page per product category</v>
      </c>
      <c r="H166" s="11" t="str">
        <f>IF(Products!AC27="Ready for approval","None",IF(Products!Q27="","Technical specifications; ","")&amp;IF(Products!S27="","primary image; ","")&amp;IF(Products!U27="","datasheet/brochure; ","")&amp;"technical approval")</f>
        <v>Technical specifications; primary image; datasheet/brochure; technical approval</v>
      </c>
    </row>
    <row r="167" spans="1:8" ht="26" x14ac:dyDescent="0.35">
      <c r="A167" s="11">
        <v>28</v>
      </c>
      <c r="B167" s="11" t="s">
        <v>2826</v>
      </c>
      <c r="C167" s="11" t="s">
        <v>3</v>
      </c>
      <c r="D167" s="11" t="s">
        <v>67</v>
      </c>
      <c r="E167" s="19" t="str">
        <f>IF(Products!O28&lt;&gt;"","Yes","No")</f>
        <v>Yes</v>
      </c>
      <c r="F167" s="15" t="str">
        <f>Products!AC28</f>
        <v>Content drafted - assets/specs pending</v>
      </c>
      <c r="G167" s="11" t="str">
        <f>Products!G28</f>
        <v>One page per product category</v>
      </c>
      <c r="H167" s="11" t="str">
        <f>IF(Products!AC28="Ready for approval","None",IF(Products!Q28="","Technical specifications; ","")&amp;IF(Products!S28="","primary image; ","")&amp;IF(Products!U28="","datasheet/brochure; ","")&amp;"technical approval")</f>
        <v>Technical specifications; primary image; datasheet/brochure; technical approval</v>
      </c>
    </row>
    <row r="168" spans="1:8" ht="26" x14ac:dyDescent="0.35">
      <c r="A168" s="11">
        <v>29</v>
      </c>
      <c r="B168" s="11" t="s">
        <v>2826</v>
      </c>
      <c r="C168" s="11" t="s">
        <v>3</v>
      </c>
      <c r="D168" s="11" t="s">
        <v>80</v>
      </c>
      <c r="E168" s="19" t="str">
        <f>IF(Products!O29&lt;&gt;"","Yes","No")</f>
        <v>Yes</v>
      </c>
      <c r="F168" s="15" t="str">
        <f>Products!AC29</f>
        <v>Content drafted - assets/specs pending</v>
      </c>
      <c r="G168" s="11" t="str">
        <f>Products!G29</f>
        <v>One page per product category</v>
      </c>
      <c r="H168" s="11" t="str">
        <f>IF(Products!AC29="Ready for approval","None",IF(Products!Q29="","Technical specifications; ","")&amp;IF(Products!S29="","primary image; ","")&amp;IF(Products!U29="","datasheet/brochure; ","")&amp;"technical approval")</f>
        <v>Technical specifications; primary image; datasheet/brochure; technical approval</v>
      </c>
    </row>
    <row r="169" spans="1:8" ht="26" x14ac:dyDescent="0.35">
      <c r="A169" s="11">
        <v>30</v>
      </c>
      <c r="B169" s="11" t="s">
        <v>2826</v>
      </c>
      <c r="C169" s="11" t="s">
        <v>3</v>
      </c>
      <c r="D169" s="11" t="s">
        <v>81</v>
      </c>
      <c r="E169" s="19" t="str">
        <f>IF(Products!O30&lt;&gt;"","Yes","No")</f>
        <v>Yes</v>
      </c>
      <c r="F169" s="15" t="str">
        <f>Products!AC30</f>
        <v>Content drafted - assets/specs pending</v>
      </c>
      <c r="G169" s="11" t="str">
        <f>Products!G30</f>
        <v>One page per product category</v>
      </c>
      <c r="H169" s="11" t="str">
        <f>IF(Products!AC30="Ready for approval","None",IF(Products!Q30="","Technical specifications; ","")&amp;IF(Products!S30="","primary image; ","")&amp;IF(Products!U30="","datasheet/brochure; ","")&amp;"technical approval")</f>
        <v>Technical specifications; primary image; datasheet/brochure; technical approval</v>
      </c>
    </row>
    <row r="170" spans="1:8" ht="26" x14ac:dyDescent="0.35">
      <c r="A170" s="11">
        <v>31</v>
      </c>
      <c r="B170" s="11" t="s">
        <v>2826</v>
      </c>
      <c r="C170" s="11" t="s">
        <v>3</v>
      </c>
      <c r="D170" s="11" t="s">
        <v>82</v>
      </c>
      <c r="E170" s="19" t="str">
        <f>IF(Products!O31&lt;&gt;"","Yes","No")</f>
        <v>Yes</v>
      </c>
      <c r="F170" s="15" t="str">
        <f>Products!AC31</f>
        <v>Content drafted - assets/specs pending</v>
      </c>
      <c r="G170" s="11" t="str">
        <f>Products!G31</f>
        <v>One page per product category</v>
      </c>
      <c r="H170" s="11" t="str">
        <f>IF(Products!AC31="Ready for approval","None",IF(Products!Q31="","Technical specifications; ","")&amp;IF(Products!S31="","primary image; ","")&amp;IF(Products!U31="","datasheet/brochure; ","")&amp;"technical approval")</f>
        <v>Technical specifications; primary image; datasheet/brochure; technical approval</v>
      </c>
    </row>
    <row r="171" spans="1:8" ht="26" x14ac:dyDescent="0.35">
      <c r="A171" s="11">
        <v>32</v>
      </c>
      <c r="B171" s="11" t="s">
        <v>2826</v>
      </c>
      <c r="C171" s="11" t="s">
        <v>3</v>
      </c>
      <c r="D171" s="11" t="s">
        <v>83</v>
      </c>
      <c r="E171" s="19" t="str">
        <f>IF(Products!O32&lt;&gt;"","Yes","No")</f>
        <v>Yes</v>
      </c>
      <c r="F171" s="15" t="str">
        <f>Products!AC32</f>
        <v>Content drafted - assets/specs pending</v>
      </c>
      <c r="G171" s="11" t="str">
        <f>Products!G32</f>
        <v>One page per product category</v>
      </c>
      <c r="H171" s="11" t="str">
        <f>IF(Products!AC32="Ready for approval","None",IF(Products!Q32="","Technical specifications; ","")&amp;IF(Products!S32="","primary image; ","")&amp;IF(Products!U32="","datasheet/brochure; ","")&amp;"technical approval")</f>
        <v>Technical specifications; primary image; datasheet/brochure; technical approval</v>
      </c>
    </row>
    <row r="172" spans="1:8" ht="26" x14ac:dyDescent="0.35">
      <c r="A172" s="11">
        <v>33</v>
      </c>
      <c r="B172" s="11" t="s">
        <v>2826</v>
      </c>
      <c r="C172" s="11" t="s">
        <v>3</v>
      </c>
      <c r="D172" s="11" t="s">
        <v>84</v>
      </c>
      <c r="E172" s="19" t="str">
        <f>IF(Products!O33&lt;&gt;"","Yes","No")</f>
        <v>Yes</v>
      </c>
      <c r="F172" s="15" t="str">
        <f>Products!AC33</f>
        <v>Content drafted - assets/specs pending</v>
      </c>
      <c r="G172" s="11" t="str">
        <f>Products!G33</f>
        <v>One page per product category</v>
      </c>
      <c r="H172" s="11" t="str">
        <f>IF(Products!AC33="Ready for approval","None",IF(Products!Q33="","Technical specifications; ","")&amp;IF(Products!S33="","primary image; ","")&amp;IF(Products!U33="","datasheet/brochure; ","")&amp;"technical approval")</f>
        <v>Technical specifications; primary image; datasheet/brochure; technical approval</v>
      </c>
    </row>
    <row r="173" spans="1:8" ht="26" x14ac:dyDescent="0.35">
      <c r="A173" s="11">
        <v>34</v>
      </c>
      <c r="B173" s="11" t="s">
        <v>2826</v>
      </c>
      <c r="C173" s="11" t="s">
        <v>3</v>
      </c>
      <c r="D173" s="11" t="s">
        <v>85</v>
      </c>
      <c r="E173" s="19" t="str">
        <f>IF(Products!O34&lt;&gt;"","Yes","No")</f>
        <v>Yes</v>
      </c>
      <c r="F173" s="15" t="str">
        <f>Products!AC34</f>
        <v>Content drafted - assets/specs pending</v>
      </c>
      <c r="G173" s="11" t="str">
        <f>Products!G34</f>
        <v>One page per product category</v>
      </c>
      <c r="H173" s="11" t="str">
        <f>IF(Products!AC34="Ready for approval","None",IF(Products!Q34="","Technical specifications; ","")&amp;IF(Products!S34="","primary image; ","")&amp;IF(Products!U34="","datasheet/brochure; ","")&amp;"technical approval")</f>
        <v>Technical specifications; primary image; datasheet/brochure; technical approval</v>
      </c>
    </row>
    <row r="174" spans="1:8" ht="26" x14ac:dyDescent="0.35">
      <c r="A174" s="11">
        <v>35</v>
      </c>
      <c r="B174" s="11" t="s">
        <v>2826</v>
      </c>
      <c r="C174" s="11" t="s">
        <v>3</v>
      </c>
      <c r="D174" s="11" t="s">
        <v>86</v>
      </c>
      <c r="E174" s="19" t="str">
        <f>IF(Products!O35&lt;&gt;"","Yes","No")</f>
        <v>Yes</v>
      </c>
      <c r="F174" s="15" t="str">
        <f>Products!AC35</f>
        <v>Content drafted - assets/specs pending</v>
      </c>
      <c r="G174" s="11" t="str">
        <f>Products!G35</f>
        <v>One page per product category</v>
      </c>
      <c r="H174" s="11" t="str">
        <f>IF(Products!AC35="Ready for approval","None",IF(Products!Q35="","Technical specifications; ","")&amp;IF(Products!S35="","primary image; ","")&amp;IF(Products!U35="","datasheet/brochure; ","")&amp;"technical approval")</f>
        <v>Technical specifications; primary image; datasheet/brochure; technical approval</v>
      </c>
    </row>
    <row r="175" spans="1:8" ht="26" x14ac:dyDescent="0.35">
      <c r="A175" s="11">
        <v>36</v>
      </c>
      <c r="B175" s="11" t="s">
        <v>2826</v>
      </c>
      <c r="C175" s="11" t="s">
        <v>3</v>
      </c>
      <c r="D175" s="11" t="s">
        <v>99</v>
      </c>
      <c r="E175" s="19" t="str">
        <f>IF(Products!O36&lt;&gt;"","Yes","No")</f>
        <v>Yes</v>
      </c>
      <c r="F175" s="15" t="str">
        <f>Products!AC36</f>
        <v>Content drafted - assets/specs pending</v>
      </c>
      <c r="G175" s="11" t="str">
        <f>Products!G36</f>
        <v>One page per product category</v>
      </c>
      <c r="H175" s="11" t="str">
        <f>IF(Products!AC36="Ready for approval","None",IF(Products!Q36="","Technical specifications; ","")&amp;IF(Products!S36="","primary image; ","")&amp;IF(Products!U36="","datasheet/brochure; ","")&amp;"technical approval")</f>
        <v>Technical specifications; primary image; datasheet/brochure; technical approval</v>
      </c>
    </row>
    <row r="176" spans="1:8" ht="26" x14ac:dyDescent="0.35">
      <c r="A176" s="11">
        <v>37</v>
      </c>
      <c r="B176" s="11" t="s">
        <v>2826</v>
      </c>
      <c r="C176" s="11" t="s">
        <v>3</v>
      </c>
      <c r="D176" s="11" t="s">
        <v>100</v>
      </c>
      <c r="E176" s="19" t="str">
        <f>IF(Products!O37&lt;&gt;"","Yes","No")</f>
        <v>Yes</v>
      </c>
      <c r="F176" s="15" t="str">
        <f>Products!AC37</f>
        <v>Content drafted - assets/specs pending</v>
      </c>
      <c r="G176" s="11" t="str">
        <f>Products!G37</f>
        <v>One page per product category</v>
      </c>
      <c r="H176" s="11" t="str">
        <f>IF(Products!AC37="Ready for approval","None",IF(Products!Q37="","Technical specifications; ","")&amp;IF(Products!S37="","primary image; ","")&amp;IF(Products!U37="","datasheet/brochure; ","")&amp;"technical approval")</f>
        <v>Technical specifications; primary image; datasheet/brochure; technical approval</v>
      </c>
    </row>
    <row r="177" spans="1:8" ht="26" x14ac:dyDescent="0.35">
      <c r="A177" s="11">
        <v>38</v>
      </c>
      <c r="B177" s="11" t="s">
        <v>2826</v>
      </c>
      <c r="C177" s="11" t="s">
        <v>3</v>
      </c>
      <c r="D177" s="11" t="s">
        <v>101</v>
      </c>
      <c r="E177" s="19" t="str">
        <f>IF(Products!O38&lt;&gt;"","Yes","No")</f>
        <v>Yes</v>
      </c>
      <c r="F177" s="15" t="str">
        <f>Products!AC38</f>
        <v>Content drafted - assets/specs pending</v>
      </c>
      <c r="G177" s="11" t="str">
        <f>Products!G38</f>
        <v>One page per product category</v>
      </c>
      <c r="H177" s="11" t="str">
        <f>IF(Products!AC38="Ready for approval","None",IF(Products!Q38="","Technical specifications; ","")&amp;IF(Products!S38="","primary image; ","")&amp;IF(Products!U38="","datasheet/brochure; ","")&amp;"technical approval")</f>
        <v>Technical specifications; primary image; datasheet/brochure; technical approval</v>
      </c>
    </row>
    <row r="178" spans="1:8" ht="26" x14ac:dyDescent="0.35">
      <c r="A178" s="11">
        <v>39</v>
      </c>
      <c r="B178" s="11" t="s">
        <v>2826</v>
      </c>
      <c r="C178" s="11" t="s">
        <v>3</v>
      </c>
      <c r="D178" s="11" t="s">
        <v>102</v>
      </c>
      <c r="E178" s="19" t="str">
        <f>IF(Products!O39&lt;&gt;"","Yes","No")</f>
        <v>Yes</v>
      </c>
      <c r="F178" s="15" t="str">
        <f>Products!AC39</f>
        <v>Content drafted - assets/specs pending</v>
      </c>
      <c r="G178" s="11" t="str">
        <f>Products!G39</f>
        <v>One page per product category</v>
      </c>
      <c r="H178" s="11" t="str">
        <f>IF(Products!AC39="Ready for approval","None",IF(Products!Q39="","Technical specifications; ","")&amp;IF(Products!S39="","primary image; ","")&amp;IF(Products!U39="","datasheet/brochure; ","")&amp;"technical approval")</f>
        <v>Technical specifications; primary image; datasheet/brochure; technical approval</v>
      </c>
    </row>
    <row r="179" spans="1:8" ht="26" x14ac:dyDescent="0.35">
      <c r="A179" s="11">
        <v>40</v>
      </c>
      <c r="B179" s="11" t="s">
        <v>2826</v>
      </c>
      <c r="C179" s="11" t="s">
        <v>3</v>
      </c>
      <c r="D179" s="11" t="s">
        <v>103</v>
      </c>
      <c r="E179" s="19" t="str">
        <f>IF(Products!O40&lt;&gt;"","Yes","No")</f>
        <v>Yes</v>
      </c>
      <c r="F179" s="15" t="str">
        <f>Products!AC40</f>
        <v>Content drafted - assets/specs pending</v>
      </c>
      <c r="G179" s="11" t="str">
        <f>Products!G40</f>
        <v>One page per product category</v>
      </c>
      <c r="H179" s="11" t="str">
        <f>IF(Products!AC40="Ready for approval","None",IF(Products!Q40="","Technical specifications; ","")&amp;IF(Products!S40="","primary image; ","")&amp;IF(Products!U40="","datasheet/brochure; ","")&amp;"technical approval")</f>
        <v>Technical specifications; primary image; datasheet/brochure; technical approval</v>
      </c>
    </row>
    <row r="180" spans="1:8" ht="26" x14ac:dyDescent="0.35">
      <c r="A180" s="11">
        <v>41</v>
      </c>
      <c r="B180" s="11" t="s">
        <v>2826</v>
      </c>
      <c r="C180" s="11" t="s">
        <v>3</v>
      </c>
      <c r="D180" s="11" t="s">
        <v>104</v>
      </c>
      <c r="E180" s="19" t="str">
        <f>IF(Products!O41&lt;&gt;"","Yes","No")</f>
        <v>Yes</v>
      </c>
      <c r="F180" s="15" t="str">
        <f>Products!AC41</f>
        <v>Content drafted - assets/specs pending</v>
      </c>
      <c r="G180" s="11" t="str">
        <f>Products!G41</f>
        <v>One page per product category</v>
      </c>
      <c r="H180" s="11" t="str">
        <f>IF(Products!AC41="Ready for approval","None",IF(Products!Q41="","Technical specifications; ","")&amp;IF(Products!S41="","primary image; ","")&amp;IF(Products!U41="","datasheet/brochure; ","")&amp;"technical approval")</f>
        <v>Technical specifications; primary image; datasheet/brochure; technical approval</v>
      </c>
    </row>
    <row r="181" spans="1:8" ht="26" x14ac:dyDescent="0.35">
      <c r="A181" s="11">
        <v>42</v>
      </c>
      <c r="B181" s="11" t="s">
        <v>2826</v>
      </c>
      <c r="C181" s="11" t="s">
        <v>3</v>
      </c>
      <c r="D181" s="11" t="s">
        <v>105</v>
      </c>
      <c r="E181" s="19" t="str">
        <f>IF(Products!O42&lt;&gt;"","Yes","No")</f>
        <v>Yes</v>
      </c>
      <c r="F181" s="15" t="str">
        <f>Products!AC42</f>
        <v>Content drafted - assets/specs pending</v>
      </c>
      <c r="G181" s="11" t="str">
        <f>Products!G42</f>
        <v>One page per product category</v>
      </c>
      <c r="H181" s="11" t="str">
        <f>IF(Products!AC42="Ready for approval","None",IF(Products!Q42="","Technical specifications; ","")&amp;IF(Products!S42="","primary image; ","")&amp;IF(Products!U42="","datasheet/brochure; ","")&amp;"technical approval")</f>
        <v>Technical specifications; primary image; datasheet/brochure; technical approval</v>
      </c>
    </row>
    <row r="182" spans="1:8" ht="26" x14ac:dyDescent="0.35">
      <c r="A182" s="11">
        <v>43</v>
      </c>
      <c r="B182" s="11" t="s">
        <v>2825</v>
      </c>
      <c r="C182" s="11" t="s">
        <v>3</v>
      </c>
      <c r="D182" s="11" t="s">
        <v>61</v>
      </c>
      <c r="E182" s="19" t="str">
        <f>IF(Products!O43&lt;&gt;"","Yes","No")</f>
        <v>Yes</v>
      </c>
      <c r="F182" s="15" t="str">
        <f>Products!AC43</f>
        <v>Content drafted - assets/specs pending</v>
      </c>
      <c r="G182" s="11" t="str">
        <f>Products!G43</f>
        <v>One page per product category</v>
      </c>
      <c r="H182" s="11" t="str">
        <f>IF(Products!AC43="Ready for approval","None",IF(Products!Q43="","Technical specifications; ","")&amp;IF(Products!S43="","primary image; ","")&amp;IF(Products!U43="","datasheet/brochure; ","")&amp;"technical approval")</f>
        <v>Technical specifications; primary image; datasheet/brochure; technical approval</v>
      </c>
    </row>
    <row r="183" spans="1:8" ht="26" x14ac:dyDescent="0.35">
      <c r="A183" s="11">
        <v>44</v>
      </c>
      <c r="B183" s="11" t="s">
        <v>2825</v>
      </c>
      <c r="C183" s="11" t="s">
        <v>3</v>
      </c>
      <c r="D183" s="11" t="s">
        <v>68</v>
      </c>
      <c r="E183" s="19" t="str">
        <f>IF(Products!O44&lt;&gt;"","Yes","No")</f>
        <v>Yes</v>
      </c>
      <c r="F183" s="15" t="str">
        <f>Products!AC44</f>
        <v>Content drafted - assets/specs pending</v>
      </c>
      <c r="G183" s="11" t="str">
        <f>Products!G44</f>
        <v>One page per product category</v>
      </c>
      <c r="H183" s="11" t="str">
        <f>IF(Products!AC44="Ready for approval","None",IF(Products!Q44="","Technical specifications; ","")&amp;IF(Products!S44="","primary image; ","")&amp;IF(Products!U44="","datasheet/brochure; ","")&amp;"technical approval")</f>
        <v>Technical specifications; primary image; datasheet/brochure; technical approval</v>
      </c>
    </row>
    <row r="184" spans="1:8" ht="26" x14ac:dyDescent="0.35">
      <c r="A184" s="11">
        <v>45</v>
      </c>
      <c r="B184" s="11" t="s">
        <v>2825</v>
      </c>
      <c r="C184" s="11" t="s">
        <v>3</v>
      </c>
      <c r="D184" s="11" t="s">
        <v>69</v>
      </c>
      <c r="E184" s="19" t="str">
        <f>IF(Products!O45&lt;&gt;"","Yes","No")</f>
        <v>Yes</v>
      </c>
      <c r="F184" s="15" t="str">
        <f>Products!AC45</f>
        <v>Content drafted - assets/specs pending</v>
      </c>
      <c r="G184" s="11" t="str">
        <f>Products!G45</f>
        <v>One page per product category</v>
      </c>
      <c r="H184" s="11" t="str">
        <f>IF(Products!AC45="Ready for approval","None",IF(Products!Q45="","Technical specifications; ","")&amp;IF(Products!S45="","primary image; ","")&amp;IF(Products!U45="","datasheet/brochure; ","")&amp;"technical approval")</f>
        <v>Technical specifications; primary image; datasheet/brochure; technical approval</v>
      </c>
    </row>
    <row r="185" spans="1:8" ht="26" x14ac:dyDescent="0.35">
      <c r="A185" s="11">
        <v>46</v>
      </c>
      <c r="B185" s="11" t="s">
        <v>2825</v>
      </c>
      <c r="C185" s="11" t="s">
        <v>3</v>
      </c>
      <c r="D185" s="11" t="s">
        <v>72</v>
      </c>
      <c r="E185" s="19" t="str">
        <f>IF(Products!O46&lt;&gt;"","Yes","No")</f>
        <v>Yes</v>
      </c>
      <c r="F185" s="15" t="str">
        <f>Products!AC46</f>
        <v>Content drafted - assets/specs pending</v>
      </c>
      <c r="G185" s="11" t="str">
        <f>Products!G46</f>
        <v>One page per product category</v>
      </c>
      <c r="H185" s="11" t="str">
        <f>IF(Products!AC46="Ready for approval","None",IF(Products!Q46="","Technical specifications; ","")&amp;IF(Products!S46="","primary image; ","")&amp;IF(Products!U46="","datasheet/brochure; ","")&amp;"technical approval")</f>
        <v>Technical specifications; primary image; datasheet/brochure; technical approval</v>
      </c>
    </row>
    <row r="186" spans="1:8" ht="26" x14ac:dyDescent="0.35">
      <c r="A186" s="11">
        <v>47</v>
      </c>
      <c r="B186" s="11" t="s">
        <v>2825</v>
      </c>
      <c r="C186" s="11" t="s">
        <v>3</v>
      </c>
      <c r="D186" s="11" t="s">
        <v>87</v>
      </c>
      <c r="E186" s="19" t="str">
        <f>IF(Products!O47&lt;&gt;"","Yes","No")</f>
        <v>Yes</v>
      </c>
      <c r="F186" s="15" t="str">
        <f>Products!AC47</f>
        <v>Content drafted - assets/specs pending</v>
      </c>
      <c r="G186" s="11" t="str">
        <f>Products!G47</f>
        <v>One page per product category</v>
      </c>
      <c r="H186" s="11" t="str">
        <f>IF(Products!AC47="Ready for approval","None",IF(Products!Q47="","Technical specifications; ","")&amp;IF(Products!S47="","primary image; ","")&amp;IF(Products!U47="","datasheet/brochure; ","")&amp;"technical approval")</f>
        <v>Technical specifications; primary image; datasheet/brochure; technical approval</v>
      </c>
    </row>
    <row r="187" spans="1:8" ht="26" x14ac:dyDescent="0.35">
      <c r="A187" s="11">
        <v>48</v>
      </c>
      <c r="B187" s="11" t="s">
        <v>2825</v>
      </c>
      <c r="C187" s="11" t="s">
        <v>3</v>
      </c>
      <c r="D187" s="11" t="s">
        <v>88</v>
      </c>
      <c r="E187" s="19" t="str">
        <f>IF(Products!O48&lt;&gt;"","Yes","No")</f>
        <v>Yes</v>
      </c>
      <c r="F187" s="15" t="str">
        <f>Products!AC48</f>
        <v>Content drafted - assets/specs pending</v>
      </c>
      <c r="G187" s="11" t="str">
        <f>Products!G48</f>
        <v>One page per product category</v>
      </c>
      <c r="H187" s="11" t="str">
        <f>IF(Products!AC48="Ready for approval","None",IF(Products!Q48="","Technical specifications; ","")&amp;IF(Products!S48="","primary image; ","")&amp;IF(Products!U48="","datasheet/brochure; ","")&amp;"technical approval")</f>
        <v>Technical specifications; primary image; datasheet/brochure; technical approval</v>
      </c>
    </row>
    <row r="188" spans="1:8" ht="26" x14ac:dyDescent="0.35">
      <c r="A188" s="11">
        <v>49</v>
      </c>
      <c r="B188" s="11" t="s">
        <v>2825</v>
      </c>
      <c r="C188" s="11" t="s">
        <v>3</v>
      </c>
      <c r="D188" s="11" t="s">
        <v>89</v>
      </c>
      <c r="E188" s="19" t="str">
        <f>IF(Products!O49&lt;&gt;"","Yes","No")</f>
        <v>Yes</v>
      </c>
      <c r="F188" s="15" t="str">
        <f>Products!AC49</f>
        <v>Content drafted - assets/specs pending</v>
      </c>
      <c r="G188" s="11" t="str">
        <f>Products!G49</f>
        <v>One page per product category</v>
      </c>
      <c r="H188" s="11" t="str">
        <f>IF(Products!AC49="Ready for approval","None",IF(Products!Q49="","Technical specifications; ","")&amp;IF(Products!S49="","primary image; ","")&amp;IF(Products!U49="","datasheet/brochure; ","")&amp;"technical approval")</f>
        <v>Technical specifications; primary image; datasheet/brochure; technical approval</v>
      </c>
    </row>
    <row r="189" spans="1:8" ht="26" x14ac:dyDescent="0.35">
      <c r="A189" s="11">
        <v>50</v>
      </c>
      <c r="B189" s="11" t="s">
        <v>2825</v>
      </c>
      <c r="C189" s="11" t="s">
        <v>3</v>
      </c>
      <c r="D189" s="11" t="s">
        <v>90</v>
      </c>
      <c r="E189" s="19" t="str">
        <f>IF(Products!O50&lt;&gt;"","Yes","No")</f>
        <v>Yes</v>
      </c>
      <c r="F189" s="15" t="str">
        <f>Products!AC50</f>
        <v>Content drafted - assets/specs pending</v>
      </c>
      <c r="G189" s="11" t="str">
        <f>Products!G50</f>
        <v>One page per product category</v>
      </c>
      <c r="H189" s="11" t="str">
        <f>IF(Products!AC50="Ready for approval","None",IF(Products!Q50="","Technical specifications; ","")&amp;IF(Products!S50="","primary image; ","")&amp;IF(Products!U50="","datasheet/brochure; ","")&amp;"technical approval")</f>
        <v>Technical specifications; primary image; datasheet/brochure; technical approval</v>
      </c>
    </row>
    <row r="190" spans="1:8" ht="26" x14ac:dyDescent="0.35">
      <c r="A190" s="11">
        <v>51</v>
      </c>
      <c r="B190" s="11" t="s">
        <v>2825</v>
      </c>
      <c r="C190" s="11" t="s">
        <v>3</v>
      </c>
      <c r="D190" s="11" t="s">
        <v>91</v>
      </c>
      <c r="E190" s="19" t="str">
        <f>IF(Products!O51&lt;&gt;"","Yes","No")</f>
        <v>Yes</v>
      </c>
      <c r="F190" s="15" t="str">
        <f>Products!AC51</f>
        <v>Content drafted - assets/specs pending</v>
      </c>
      <c r="G190" s="11" t="str">
        <f>Products!G51</f>
        <v>One page per product category</v>
      </c>
      <c r="H190" s="11" t="str">
        <f>IF(Products!AC51="Ready for approval","None",IF(Products!Q51="","Technical specifications; ","")&amp;IF(Products!S51="","primary image; ","")&amp;IF(Products!U51="","datasheet/brochure; ","")&amp;"technical approval")</f>
        <v>Technical specifications; primary image; datasheet/brochure; technical approval</v>
      </c>
    </row>
    <row r="191" spans="1:8" ht="26" x14ac:dyDescent="0.35">
      <c r="A191" s="11">
        <v>52</v>
      </c>
      <c r="B191" s="11" t="s">
        <v>2825</v>
      </c>
      <c r="C191" s="11" t="s">
        <v>3</v>
      </c>
      <c r="D191" s="11" t="s">
        <v>94</v>
      </c>
      <c r="E191" s="19" t="str">
        <f>IF(Products!O52&lt;&gt;"","Yes","No")</f>
        <v>Yes</v>
      </c>
      <c r="F191" s="15" t="str">
        <f>Products!AC52</f>
        <v>Content drafted - assets/specs pending</v>
      </c>
      <c r="G191" s="11" t="str">
        <f>Products!G52</f>
        <v>One page per product category</v>
      </c>
      <c r="H191" s="11" t="str">
        <f>IF(Products!AC52="Ready for approval","None",IF(Products!Q52="","Technical specifications; ","")&amp;IF(Products!S52="","primary image; ","")&amp;IF(Products!U52="","datasheet/brochure; ","")&amp;"technical approval")</f>
        <v>Technical specifications; primary image; datasheet/brochure; technical approval</v>
      </c>
    </row>
    <row r="192" spans="1:8" ht="26" x14ac:dyDescent="0.35">
      <c r="A192" s="11">
        <v>53</v>
      </c>
      <c r="B192" s="11" t="s">
        <v>2831</v>
      </c>
      <c r="C192" s="11" t="s">
        <v>3</v>
      </c>
      <c r="D192" s="11" t="s">
        <v>27</v>
      </c>
      <c r="E192" s="19" t="str">
        <f>IF(Products!O53&lt;&gt;"","Yes","No")</f>
        <v>Yes</v>
      </c>
      <c r="F192" s="15" t="str">
        <f>Products!AC53</f>
        <v>Content drafted - assets/specs pending</v>
      </c>
      <c r="G192" s="11" t="str">
        <f>Products!G53</f>
        <v>One page per product category</v>
      </c>
      <c r="H192" s="11" t="str">
        <f>IF(Products!AC53="Ready for approval","None",IF(Products!Q53="","Technical specifications; ","")&amp;IF(Products!S53="","primary image; ","")&amp;IF(Products!U53="","datasheet/brochure; ","")&amp;"technical approval")</f>
        <v>Technical specifications; primary image; datasheet/brochure; technical approval</v>
      </c>
    </row>
    <row r="193" spans="1:8" ht="26" x14ac:dyDescent="0.35">
      <c r="A193" s="11">
        <v>54</v>
      </c>
      <c r="B193" s="11" t="s">
        <v>2832</v>
      </c>
      <c r="C193" s="11" t="s">
        <v>3</v>
      </c>
      <c r="D193" s="11" t="s">
        <v>96</v>
      </c>
      <c r="E193" s="19" t="str">
        <f>IF(Products!O54&lt;&gt;"","Yes","No")</f>
        <v>Yes</v>
      </c>
      <c r="F193" s="15" t="str">
        <f>Products!AC54</f>
        <v>Content drafted - assets/specs pending</v>
      </c>
      <c r="G193" s="11" t="str">
        <f>Products!G54</f>
        <v>One page per product category</v>
      </c>
      <c r="H193" s="11" t="str">
        <f>IF(Products!AC54="Ready for approval","None",IF(Products!Q54="","Technical specifications; ","")&amp;IF(Products!S54="","primary image; ","")&amp;IF(Products!U54="","datasheet/brochure; ","")&amp;"technical approval")</f>
        <v>Technical specifications; primary image; datasheet/brochure; technical approval</v>
      </c>
    </row>
    <row r="194" spans="1:8" ht="26" x14ac:dyDescent="0.35">
      <c r="A194" s="11">
        <v>55</v>
      </c>
      <c r="B194" s="11" t="s">
        <v>2827</v>
      </c>
      <c r="C194" s="11" t="s">
        <v>3</v>
      </c>
      <c r="D194" s="11" t="s">
        <v>70</v>
      </c>
      <c r="E194" s="19" t="str">
        <f>IF(Products!O55&lt;&gt;"","Yes","No")</f>
        <v>Yes</v>
      </c>
      <c r="F194" s="15" t="str">
        <f>Products!AC55</f>
        <v>Content drafted - assets/specs pending</v>
      </c>
      <c r="G194" s="11" t="str">
        <f>Products!G55</f>
        <v>One page per product category</v>
      </c>
      <c r="H194" s="11" t="str">
        <f>IF(Products!AC55="Ready for approval","None",IF(Products!Q55="","Technical specifications; ","")&amp;IF(Products!S55="","primary image; ","")&amp;IF(Products!U55="","datasheet/brochure; ","")&amp;"technical approval")</f>
        <v>Technical specifications; primary image; datasheet/brochure; technical approval</v>
      </c>
    </row>
    <row r="195" spans="1:8" ht="26" x14ac:dyDescent="0.35">
      <c r="A195" s="11">
        <v>56</v>
      </c>
      <c r="B195" s="11" t="s">
        <v>2822</v>
      </c>
      <c r="C195" s="11" t="s">
        <v>3</v>
      </c>
      <c r="D195" s="11" t="s">
        <v>56</v>
      </c>
      <c r="E195" s="19" t="str">
        <f>IF(Products!O56&lt;&gt;"","Yes","No")</f>
        <v>Yes</v>
      </c>
      <c r="F195" s="15" t="str">
        <f>Products!AC56</f>
        <v>Content drafted - assets/specs pending</v>
      </c>
      <c r="G195" s="11" t="str">
        <f>Products!G56</f>
        <v>One page per product category</v>
      </c>
      <c r="H195" s="11" t="str">
        <f>IF(Products!AC56="Ready for approval","None",IF(Products!Q56="","Technical specifications; ","")&amp;IF(Products!S56="","primary image; ","")&amp;IF(Products!U56="","datasheet/brochure; ","")&amp;"technical approval")</f>
        <v>Technical specifications; primary image; datasheet/brochure; technical approval</v>
      </c>
    </row>
    <row r="196" spans="1:8" ht="26" x14ac:dyDescent="0.35">
      <c r="A196" s="11">
        <v>57</v>
      </c>
      <c r="B196" s="11" t="s">
        <v>2822</v>
      </c>
      <c r="C196" s="11" t="s">
        <v>3</v>
      </c>
      <c r="D196" s="11" t="s">
        <v>57</v>
      </c>
      <c r="E196" s="19" t="str">
        <f>IF(Products!O57&lt;&gt;"","Yes","No")</f>
        <v>Yes</v>
      </c>
      <c r="F196" s="15" t="str">
        <f>Products!AC57</f>
        <v>Content drafted - assets/specs pending</v>
      </c>
      <c r="G196" s="11" t="str">
        <f>Products!G57</f>
        <v>One page per product category</v>
      </c>
      <c r="H196" s="11" t="str">
        <f>IF(Products!AC57="Ready for approval","None",IF(Products!Q57="","Technical specifications; ","")&amp;IF(Products!S57="","primary image; ","")&amp;IF(Products!U57="","datasheet/brochure; ","")&amp;"technical approval")</f>
        <v>Technical specifications; primary image; datasheet/brochure; technical approval</v>
      </c>
    </row>
    <row r="197" spans="1:8" ht="26" x14ac:dyDescent="0.35">
      <c r="A197" s="11">
        <v>58</v>
      </c>
      <c r="B197" s="11" t="s">
        <v>2822</v>
      </c>
      <c r="C197" s="11" t="s">
        <v>3</v>
      </c>
      <c r="D197" s="11" t="s">
        <v>25</v>
      </c>
      <c r="E197" s="19" t="str">
        <f>IF(Products!O58&lt;&gt;"","Yes","No")</f>
        <v>Yes</v>
      </c>
      <c r="F197" s="15" t="str">
        <f>Products!AC58</f>
        <v>Content drafted - assets/specs pending</v>
      </c>
      <c r="G197" s="11" t="str">
        <f>Products!G58</f>
        <v>One page per product category</v>
      </c>
      <c r="H197" s="11" t="str">
        <f>IF(Products!AC58="Ready for approval","None",IF(Products!Q58="","Technical specifications; ","")&amp;IF(Products!S58="","primary image; ","")&amp;IF(Products!U58="","datasheet/brochure; ","")&amp;"technical approval")</f>
        <v>Technical specifications; primary image; datasheet/brochure; technical approval</v>
      </c>
    </row>
    <row r="198" spans="1:8" ht="26" x14ac:dyDescent="0.35">
      <c r="A198" s="11">
        <v>59</v>
      </c>
      <c r="B198" s="11" t="s">
        <v>2822</v>
      </c>
      <c r="C198" s="11" t="s">
        <v>3</v>
      </c>
      <c r="D198" s="11" t="s">
        <v>58</v>
      </c>
      <c r="E198" s="19" t="str">
        <f>IF(Products!O59&lt;&gt;"","Yes","No")</f>
        <v>Yes</v>
      </c>
      <c r="F198" s="15" t="str">
        <f>Products!AC59</f>
        <v>Content drafted - assets/specs pending</v>
      </c>
      <c r="G198" s="11" t="str">
        <f>Products!G59</f>
        <v>One page per product category</v>
      </c>
      <c r="H198" s="11" t="str">
        <f>IF(Products!AC59="Ready for approval","None",IF(Products!Q59="","Technical specifications; ","")&amp;IF(Products!S59="","primary image; ","")&amp;IF(Products!U59="","datasheet/brochure; ","")&amp;"technical approval")</f>
        <v>Technical specifications; primary image; datasheet/brochure; technical approval</v>
      </c>
    </row>
    <row r="199" spans="1:8" ht="26" x14ac:dyDescent="0.35">
      <c r="A199" s="11">
        <v>60</v>
      </c>
      <c r="B199" s="11" t="s">
        <v>2833</v>
      </c>
      <c r="C199" s="11" t="s">
        <v>3</v>
      </c>
      <c r="D199" s="11" t="s">
        <v>2804</v>
      </c>
      <c r="E199" s="19" t="str">
        <f>IF(Products!O60&lt;&gt;"","Yes","No")</f>
        <v>Yes</v>
      </c>
      <c r="F199" s="15" t="str">
        <f>Products!AC60</f>
        <v>Content drafted - assets/specs pending</v>
      </c>
      <c r="G199" s="11" t="str">
        <f>Products!G60</f>
        <v>One page per product category</v>
      </c>
      <c r="H199" s="11" t="str">
        <f>IF(Products!AC60="Ready for approval","None",IF(Products!Q60="","Technical specifications; ","")&amp;IF(Products!S60="","primary image; ","")&amp;IF(Products!U60="","datasheet/brochure; ","")&amp;"technical approval")</f>
        <v>datasheet/brochure; technical approval</v>
      </c>
    </row>
    <row r="200" spans="1:8" ht="26" x14ac:dyDescent="0.35">
      <c r="A200" s="11">
        <v>61</v>
      </c>
      <c r="B200" s="11" t="s">
        <v>2833</v>
      </c>
      <c r="C200" s="11" t="s">
        <v>3</v>
      </c>
      <c r="D200" s="11" t="s">
        <v>2835</v>
      </c>
      <c r="E200" s="19" t="str">
        <f>IF(Products!O61&lt;&gt;"","Yes","No")</f>
        <v>Yes</v>
      </c>
      <c r="F200" s="15" t="str">
        <f>Products!AC61</f>
        <v>Content drafted - assets/specs pending</v>
      </c>
      <c r="G200" s="11" t="str">
        <f>Products!G61</f>
        <v>One page per product category</v>
      </c>
      <c r="H200" s="11" t="str">
        <f>IF(Products!AC61="Ready for approval","None",IF(Products!Q61="","Technical specifications; ","")&amp;IF(Products!S61="","primary image; ","")&amp;IF(Products!U61="","datasheet/brochure; ","")&amp;"technical approval")</f>
        <v>Technical specifications; datasheet/brochure; technical approval</v>
      </c>
    </row>
    <row r="201" spans="1:8" ht="26" x14ac:dyDescent="0.35">
      <c r="A201" s="11">
        <v>62</v>
      </c>
      <c r="B201" s="11" t="s">
        <v>2833</v>
      </c>
      <c r="C201" s="11" t="s">
        <v>3</v>
      </c>
      <c r="D201" s="11" t="s">
        <v>2839</v>
      </c>
      <c r="E201" s="19" t="str">
        <f>IF(Products!O62&lt;&gt;"","Yes","No")</f>
        <v>Yes</v>
      </c>
      <c r="F201" s="15" t="str">
        <f>Products!AC62</f>
        <v>Content drafted - assets/specs pending</v>
      </c>
      <c r="G201" s="11" t="str">
        <f>Products!G62</f>
        <v>One page per product category</v>
      </c>
      <c r="H201" s="11" t="str">
        <f>IF(Products!AC62="Ready for approval","None",IF(Products!Q62="","Technical specifications; ","")&amp;IF(Products!S62="","primary image; ","")&amp;IF(Products!U62="","datasheet/brochure; ","")&amp;"technical approval")</f>
        <v>Technical specifications; datasheet/brochure; technical approval</v>
      </c>
    </row>
    <row r="202" spans="1:8" ht="26" x14ac:dyDescent="0.35">
      <c r="A202" s="11">
        <v>63</v>
      </c>
      <c r="B202" s="11" t="s">
        <v>2833</v>
      </c>
      <c r="C202" s="11" t="s">
        <v>3</v>
      </c>
      <c r="D202" s="11" t="s">
        <v>2843</v>
      </c>
      <c r="E202" s="19" t="str">
        <f>IF(Products!O63&lt;&gt;"","Yes","No")</f>
        <v>Yes</v>
      </c>
      <c r="F202" s="15" t="str">
        <f>Products!AC63</f>
        <v>Content drafted - assets/specs pending</v>
      </c>
      <c r="G202" s="11" t="str">
        <f>Products!G63</f>
        <v>One page per product category</v>
      </c>
      <c r="H202" s="11" t="str">
        <f>IF(Products!AC63="Ready for approval","None",IF(Products!Q63="","Technical specifications; ","")&amp;IF(Products!S63="","primary image; ","")&amp;IF(Products!U63="","datasheet/brochure; ","")&amp;"technical approval")</f>
        <v>Technical specifications; datasheet/brochure; technical approval</v>
      </c>
    </row>
    <row r="203" spans="1:8" ht="26" x14ac:dyDescent="0.35">
      <c r="A203" s="11">
        <v>64</v>
      </c>
      <c r="B203" s="11" t="s">
        <v>2833</v>
      </c>
      <c r="C203" s="11" t="s">
        <v>3</v>
      </c>
      <c r="D203" s="11" t="s">
        <v>2847</v>
      </c>
      <c r="E203" s="19" t="str">
        <f>IF(Products!O64&lt;&gt;"","Yes","No")</f>
        <v>Yes</v>
      </c>
      <c r="F203" s="15" t="str">
        <f>Products!AC64</f>
        <v>Content drafted - assets/specs pending</v>
      </c>
      <c r="G203" s="11" t="str">
        <f>Products!G64</f>
        <v>One page per product category</v>
      </c>
      <c r="H203" s="11" t="str">
        <f>IF(Products!AC64="Ready for approval","None",IF(Products!Q64="","Technical specifications; ","")&amp;IF(Products!S64="","primary image; ","")&amp;IF(Products!U64="","datasheet/brochure; ","")&amp;"technical approval")</f>
        <v>Technical specifications; datasheet/brochure; technical approval</v>
      </c>
    </row>
    <row r="204" spans="1:8" ht="26" x14ac:dyDescent="0.35">
      <c r="A204" s="11">
        <v>65</v>
      </c>
      <c r="B204" s="11" t="s">
        <v>2828</v>
      </c>
      <c r="C204" s="11" t="s">
        <v>3</v>
      </c>
      <c r="D204" s="11" t="s">
        <v>74</v>
      </c>
      <c r="E204" s="19" t="str">
        <f>IF(Products!O65&lt;&gt;"","Yes","No")</f>
        <v>Yes</v>
      </c>
      <c r="F204" s="15" t="str">
        <f>Products!AC65</f>
        <v>Content drafted - assets/specs pending</v>
      </c>
      <c r="G204" s="11" t="str">
        <f>Products!G65</f>
        <v>One page per product category</v>
      </c>
      <c r="H204" s="11" t="str">
        <f>IF(Products!AC65="Ready for approval","None",IF(Products!Q65="","Technical specifications; ","")&amp;IF(Products!S65="","primary image; ","")&amp;IF(Products!U65="","datasheet/brochure; ","")&amp;"technical approval")</f>
        <v>Technical specifications; primary image; datasheet/brochure; technical approval</v>
      </c>
    </row>
    <row r="205" spans="1:8" ht="26" x14ac:dyDescent="0.35">
      <c r="A205" s="11">
        <v>66</v>
      </c>
      <c r="B205" s="11" t="s">
        <v>2828</v>
      </c>
      <c r="C205" s="11" t="s">
        <v>3</v>
      </c>
      <c r="D205" s="11" t="s">
        <v>78</v>
      </c>
      <c r="E205" s="19" t="str">
        <f>IF(Products!O66&lt;&gt;"","Yes","No")</f>
        <v>Yes</v>
      </c>
      <c r="F205" s="15" t="str">
        <f>Products!AC66</f>
        <v>Content drafted - assets/specs pending</v>
      </c>
      <c r="G205" s="11" t="str">
        <f>Products!G66</f>
        <v>One page per product category</v>
      </c>
      <c r="H205" s="11" t="str">
        <f>IF(Products!AC66="Ready for approval","None",IF(Products!Q66="","Technical specifications; ","")&amp;IF(Products!S66="","primary image; ","")&amp;IF(Products!U66="","datasheet/brochure; ","")&amp;"technical approval")</f>
        <v>Technical specifications; primary image; datasheet/brochure; technical approval</v>
      </c>
    </row>
    <row r="206" spans="1:8" ht="26" x14ac:dyDescent="0.35">
      <c r="A206" s="11">
        <v>67</v>
      </c>
      <c r="B206" s="11" t="s">
        <v>2823</v>
      </c>
      <c r="C206" s="11" t="s">
        <v>3</v>
      </c>
      <c r="D206" s="11" t="s">
        <v>23</v>
      </c>
      <c r="E206" s="19" t="str">
        <f>IF(Products!O67&lt;&gt;"","Yes","No")</f>
        <v>Yes</v>
      </c>
      <c r="F206" s="15" t="str">
        <f>Products!AC67</f>
        <v>Content drafted - assets/specs pending</v>
      </c>
      <c r="G206" s="11" t="str">
        <f>Products!G67</f>
        <v>One page per product category</v>
      </c>
      <c r="H206" s="11" t="str">
        <f>IF(Products!AC67="Ready for approval","None",IF(Products!Q67="","Technical specifications; ","")&amp;IF(Products!S67="","primary image; ","")&amp;IF(Products!U67="","datasheet/brochure; ","")&amp;"technical approval")</f>
        <v>Technical specifications; primary image; datasheet/brochure; technical approval</v>
      </c>
    </row>
    <row r="207" spans="1:8" ht="26" x14ac:dyDescent="0.35">
      <c r="A207" s="11">
        <v>68</v>
      </c>
      <c r="B207" s="11" t="s">
        <v>2823</v>
      </c>
      <c r="C207" s="11" t="s">
        <v>3</v>
      </c>
      <c r="D207" s="11" t="s">
        <v>24</v>
      </c>
      <c r="E207" s="19" t="str">
        <f>IF(Products!O68&lt;&gt;"","Yes","No")</f>
        <v>Yes</v>
      </c>
      <c r="F207" s="15" t="str">
        <f>Products!AC68</f>
        <v>Content drafted - assets/specs pending</v>
      </c>
      <c r="G207" s="11" t="str">
        <f>Products!G68</f>
        <v>One page per product category</v>
      </c>
      <c r="H207" s="11" t="str">
        <f>IF(Products!AC68="Ready for approval","None",IF(Products!Q68="","Technical specifications; ","")&amp;IF(Products!S68="","primary image; ","")&amp;IF(Products!U68="","datasheet/brochure; ","")&amp;"technical approval")</f>
        <v>Technical specifications; primary image; datasheet/brochure; technical approval</v>
      </c>
    </row>
    <row r="208" spans="1:8" ht="26" x14ac:dyDescent="0.35">
      <c r="A208" s="11">
        <v>69</v>
      </c>
      <c r="B208" s="11" t="s">
        <v>2823</v>
      </c>
      <c r="C208" s="11" t="s">
        <v>3</v>
      </c>
      <c r="D208" s="11" t="s">
        <v>97</v>
      </c>
      <c r="E208" s="19" t="str">
        <f>IF(Products!O69&lt;&gt;"","Yes","No")</f>
        <v>Yes</v>
      </c>
      <c r="F208" s="15" t="str">
        <f>Products!AC69</f>
        <v>Content drafted - assets/specs pending</v>
      </c>
      <c r="G208" s="11" t="str">
        <f>Products!G69</f>
        <v>One page per product category</v>
      </c>
      <c r="H208" s="11" t="str">
        <f>IF(Products!AC69="Ready for approval","None",IF(Products!Q69="","Technical specifications; ","")&amp;IF(Products!S69="","primary image; ","")&amp;IF(Products!U69="","datasheet/brochure; ","")&amp;"technical approval")</f>
        <v>Technical specifications; primary image; datasheet/brochure; technical approval</v>
      </c>
    </row>
    <row r="209" spans="1:8" ht="26" x14ac:dyDescent="0.35">
      <c r="A209" s="11">
        <v>70</v>
      </c>
      <c r="B209" s="11" t="s">
        <v>2823</v>
      </c>
      <c r="C209" s="11" t="s">
        <v>3</v>
      </c>
      <c r="D209" s="11" t="s">
        <v>98</v>
      </c>
      <c r="E209" s="19" t="str">
        <f>IF(Products!O70&lt;&gt;"","Yes","No")</f>
        <v>Yes</v>
      </c>
      <c r="F209" s="15" t="str">
        <f>Products!AC70</f>
        <v>Content drafted - assets/specs pending</v>
      </c>
      <c r="G209" s="11" t="str">
        <f>Products!G70</f>
        <v>One page per product category</v>
      </c>
      <c r="H209" s="11" t="str">
        <f>IF(Products!AC70="Ready for approval","None",IF(Products!Q70="","Technical specifications; ","")&amp;IF(Products!S70="","primary image; ","")&amp;IF(Products!U70="","datasheet/brochure; ","")&amp;"technical approval")</f>
        <v>Technical specifications; primary image; datasheet/brochure; technical approval</v>
      </c>
    </row>
    <row r="210" spans="1:8" ht="26" x14ac:dyDescent="0.35">
      <c r="A210" s="11">
        <v>71</v>
      </c>
      <c r="B210" s="11" t="s">
        <v>2834</v>
      </c>
      <c r="C210" s="11" t="s">
        <v>3</v>
      </c>
      <c r="D210" s="11" t="s">
        <v>2807</v>
      </c>
      <c r="E210" s="19" t="str">
        <f>IF(Products!O71&lt;&gt;"","Yes","No")</f>
        <v>Yes</v>
      </c>
      <c r="F210" s="15" t="str">
        <f>Products!AC71</f>
        <v>Content drafted - assets/specs pending</v>
      </c>
      <c r="G210" s="11" t="str">
        <f>Products!G71</f>
        <v>One page per product category</v>
      </c>
      <c r="H210" s="11" t="str">
        <f>IF(Products!AC71="Ready for approval","None",IF(Products!Q71="","Technical specifications; ","")&amp;IF(Products!S71="","primary image; ","")&amp;IF(Products!U71="","datasheet/brochure; ","")&amp;"technical approval")</f>
        <v>datasheet/brochure; technical approval</v>
      </c>
    </row>
    <row r="211" spans="1:8" ht="26" x14ac:dyDescent="0.35">
      <c r="A211" s="11">
        <v>72</v>
      </c>
      <c r="B211" s="11" t="s">
        <v>2834</v>
      </c>
      <c r="C211" s="11" t="s">
        <v>3</v>
      </c>
      <c r="D211" s="11" t="s">
        <v>2851</v>
      </c>
      <c r="E211" s="19" t="str">
        <f>IF(Products!O72&lt;&gt;"","Yes","No")</f>
        <v>Yes</v>
      </c>
      <c r="F211" s="15" t="str">
        <f>Products!AC72</f>
        <v>Content drafted - assets/specs pending</v>
      </c>
      <c r="G211" s="11" t="str">
        <f>Products!G72</f>
        <v>One page per product category</v>
      </c>
      <c r="H211" s="11" t="str">
        <f>IF(Products!AC72="Ready for approval","None",IF(Products!Q72="","Technical specifications; ","")&amp;IF(Products!S72="","primary image; ","")&amp;IF(Products!U72="","datasheet/brochure; ","")&amp;"technical approval")</f>
        <v>Technical specifications; primary image; datasheet/brochure; technical approval</v>
      </c>
    </row>
    <row r="212" spans="1:8" ht="26" x14ac:dyDescent="0.35">
      <c r="A212" s="11">
        <v>73</v>
      </c>
      <c r="B212" s="11" t="s">
        <v>2829</v>
      </c>
      <c r="C212" s="11" t="s">
        <v>3</v>
      </c>
      <c r="D212" s="11" t="s">
        <v>75</v>
      </c>
      <c r="E212" s="19" t="str">
        <f>IF(Products!O73&lt;&gt;"","Yes","No")</f>
        <v>Yes</v>
      </c>
      <c r="F212" s="15" t="str">
        <f>Products!AC73</f>
        <v>Content drafted - assets/specs pending</v>
      </c>
      <c r="G212" s="11" t="str">
        <f>Products!G73</f>
        <v>One page per product category</v>
      </c>
      <c r="H212" s="11" t="str">
        <f>IF(Products!AC73="Ready for approval","None",IF(Products!Q73="","Technical specifications; ","")&amp;IF(Products!S73="","primary image; ","")&amp;IF(Products!U73="","datasheet/brochure; ","")&amp;"technical approval")</f>
        <v>Technical specifications; primary image; datasheet/brochure; technical approval</v>
      </c>
    </row>
    <row r="213" spans="1:8" ht="39" x14ac:dyDescent="0.35">
      <c r="A213" s="11">
        <v>74</v>
      </c>
      <c r="B213" s="11" t="s">
        <v>2829</v>
      </c>
      <c r="C213" s="11" t="s">
        <v>3</v>
      </c>
      <c r="D213" s="11" t="s">
        <v>76</v>
      </c>
      <c r="E213" s="19" t="str">
        <f>IF(Products!O74&lt;&gt;"","Yes","No")</f>
        <v>Yes</v>
      </c>
      <c r="F213" s="15" t="str">
        <f>Products!AC74</f>
        <v>Content drafted - assets/specs pending</v>
      </c>
      <c r="G213" s="11" t="str">
        <f>Products!G74</f>
        <v>One page per product category</v>
      </c>
      <c r="H213" s="11" t="str">
        <f>IF(Products!AC74="Ready for approval","None",IF(Products!Q74="","Technical specifications; ","")&amp;IF(Products!S74="","primary image; ","")&amp;IF(Products!U74="","datasheet/brochure; ","")&amp;"technical approval")</f>
        <v>Technical specifications; primary image; datasheet/brochure; technical approval</v>
      </c>
    </row>
    <row r="214" spans="1:8" ht="26" x14ac:dyDescent="0.35">
      <c r="A214" s="11">
        <v>75</v>
      </c>
      <c r="B214" s="11" t="s">
        <v>2855</v>
      </c>
      <c r="C214" s="11" t="s">
        <v>3</v>
      </c>
      <c r="D214" s="11" t="s">
        <v>2856</v>
      </c>
      <c r="E214" s="19" t="str">
        <f>IF(Products!O75&lt;&gt;"","Yes","No")</f>
        <v>Yes</v>
      </c>
      <c r="F214" s="15" t="str">
        <f>Products!AC75</f>
        <v>Content drafted - assets/specs pending</v>
      </c>
      <c r="G214" s="11" t="str">
        <f>Products!G75</f>
        <v>One page per product category</v>
      </c>
      <c r="H214" s="11" t="str">
        <f>IF(Products!AC75="Ready for approval","None",IF(Products!Q75="","Technical specifications; ","")&amp;IF(Products!S75="","primary image; ","")&amp;IF(Products!U75="","datasheet/brochure; ","")&amp;"technical approval")</f>
        <v>Technical specifications; datasheet/brochure; technical approval</v>
      </c>
    </row>
    <row r="215" spans="1:8" ht="26" x14ac:dyDescent="0.35">
      <c r="A215" s="11">
        <v>76</v>
      </c>
      <c r="B215" s="11" t="s">
        <v>2830</v>
      </c>
      <c r="C215" s="11" t="s">
        <v>3</v>
      </c>
      <c r="D215" s="11" t="s">
        <v>92</v>
      </c>
      <c r="E215" s="19" t="str">
        <f>IF(Products!O76&lt;&gt;"","Yes","No")</f>
        <v>Yes</v>
      </c>
      <c r="F215" s="15" t="str">
        <f>Products!AC76</f>
        <v>Content drafted - assets/specs pending</v>
      </c>
      <c r="G215" s="11" t="str">
        <f>Products!G76</f>
        <v>One page per product category</v>
      </c>
      <c r="H215" s="11" t="str">
        <f>IF(Products!AC76="Ready for approval","None",IF(Products!Q76="","Technical specifications; ","")&amp;IF(Products!S76="","primary image; ","")&amp;IF(Products!U76="","datasheet/brochure; ","")&amp;"technical approval")</f>
        <v>Technical specifications; primary image; datasheet/brochure; technical approval</v>
      </c>
    </row>
    <row r="216" spans="1:8" ht="26" x14ac:dyDescent="0.35">
      <c r="A216" s="11">
        <v>77</v>
      </c>
      <c r="B216" s="11" t="s">
        <v>2830</v>
      </c>
      <c r="C216" s="11" t="s">
        <v>3</v>
      </c>
      <c r="D216" s="11" t="s">
        <v>93</v>
      </c>
      <c r="E216" s="19" t="str">
        <f>IF(Products!O77&lt;&gt;"","Yes","No")</f>
        <v>Yes</v>
      </c>
      <c r="F216" s="15" t="str">
        <f>Products!AC77</f>
        <v>Content drafted - assets/specs pending</v>
      </c>
      <c r="G216" s="11" t="str">
        <f>Products!G77</f>
        <v>One page per product category</v>
      </c>
      <c r="H216" s="11" t="str">
        <f>IF(Products!AC77="Ready for approval","None",IF(Products!Q77="","Technical specifications; ","")&amp;IF(Products!S77="","primary image; ","")&amp;IF(Products!U77="","datasheet/brochure; ","")&amp;"technical approval")</f>
        <v>Technical specifications; primary image; datasheet/brochure; technical approval</v>
      </c>
    </row>
    <row r="217" spans="1:8" ht="26" x14ac:dyDescent="0.35">
      <c r="A217" s="11">
        <v>78</v>
      </c>
      <c r="B217" s="11" t="s">
        <v>2830</v>
      </c>
      <c r="C217" s="11" t="s">
        <v>3</v>
      </c>
      <c r="D217" s="11" t="s">
        <v>95</v>
      </c>
      <c r="E217" s="19" t="str">
        <f>IF(Products!O78&lt;&gt;"","Yes","No")</f>
        <v>Yes</v>
      </c>
      <c r="F217" s="15" t="str">
        <f>Products!AC78</f>
        <v>Content drafted - assets/specs pending</v>
      </c>
      <c r="G217" s="11" t="str">
        <f>Products!G78</f>
        <v>One page per product category</v>
      </c>
      <c r="H217" s="11" t="str">
        <f>IF(Products!AC78="Ready for approval","None",IF(Products!Q78="","Technical specifications; ","")&amp;IF(Products!S78="","primary image; ","")&amp;IF(Products!U78="","datasheet/brochure; ","")&amp;"technical approval")</f>
        <v>Technical specifications; primary image; datasheet/brochure; technical approval</v>
      </c>
    </row>
    <row r="218" spans="1:8" ht="26" x14ac:dyDescent="0.35">
      <c r="A218" s="11">
        <v>79</v>
      </c>
      <c r="B218" s="11" t="s">
        <v>2824</v>
      </c>
      <c r="C218" s="11" t="s">
        <v>3</v>
      </c>
      <c r="D218" s="11" t="s">
        <v>59</v>
      </c>
      <c r="E218" s="19" t="str">
        <f>IF(Products!O79&lt;&gt;"","Yes","No")</f>
        <v>Yes</v>
      </c>
      <c r="F218" s="15" t="str">
        <f>Products!AC79</f>
        <v>Content drafted - assets/specs pending</v>
      </c>
      <c r="G218" s="11" t="str">
        <f>Products!G79</f>
        <v>One page per product category</v>
      </c>
      <c r="H218" s="11" t="str">
        <f>IF(Products!AC79="Ready for approval","None",IF(Products!Q79="","Technical specifications; ","")&amp;IF(Products!S79="","primary image; ","")&amp;IF(Products!U79="","datasheet/brochure; ","")&amp;"technical approval")</f>
        <v>Technical specifications; primary image; datasheet/brochure; technical approval</v>
      </c>
    </row>
    <row r="219" spans="1:8" ht="26" x14ac:dyDescent="0.35">
      <c r="A219" s="11">
        <v>80</v>
      </c>
      <c r="B219" s="11" t="s">
        <v>2824</v>
      </c>
      <c r="C219" s="11" t="s">
        <v>3</v>
      </c>
      <c r="D219" s="11" t="s">
        <v>60</v>
      </c>
      <c r="E219" s="19" t="str">
        <f>IF(Products!O80&lt;&gt;"","Yes","No")</f>
        <v>Yes</v>
      </c>
      <c r="F219" s="15" t="str">
        <f>Products!AC80</f>
        <v>Content drafted - assets/specs pending</v>
      </c>
      <c r="G219" s="11" t="str">
        <f>Products!G80</f>
        <v>One page per product category</v>
      </c>
      <c r="H219" s="11" t="str">
        <f>IF(Products!AC80="Ready for approval","None",IF(Products!Q80="","Technical specifications; ","")&amp;IF(Products!S80="","primary image; ","")&amp;IF(Products!U80="","datasheet/brochure; ","")&amp;"technical approval")</f>
        <v>Technical specifications; primary image; datasheet/brochure; technical approval</v>
      </c>
    </row>
    <row r="220" spans="1:8" ht="26" x14ac:dyDescent="0.35">
      <c r="A220" s="11">
        <v>81</v>
      </c>
      <c r="B220" s="11" t="s">
        <v>2824</v>
      </c>
      <c r="C220" s="11" t="s">
        <v>3</v>
      </c>
      <c r="D220" s="11" t="s">
        <v>71</v>
      </c>
      <c r="E220" s="19" t="str">
        <f>IF(Products!O81&lt;&gt;"","Yes","No")</f>
        <v>Yes</v>
      </c>
      <c r="F220" s="15" t="str">
        <f>Products!AC81</f>
        <v>Content drafted - assets/specs pending</v>
      </c>
      <c r="G220" s="11" t="str">
        <f>Products!G81</f>
        <v>One page per product category</v>
      </c>
      <c r="H220" s="11" t="str">
        <f>IF(Products!AC81="Ready for approval","None",IF(Products!Q81="","Technical specifications; ","")&amp;IF(Products!S81="","primary image; ","")&amp;IF(Products!U81="","datasheet/brochure; ","")&amp;"technical approval")</f>
        <v>Technical specifications; primary image; datasheet/brochure; technical approval</v>
      </c>
    </row>
    <row r="221" spans="1:8" ht="26" x14ac:dyDescent="0.35">
      <c r="A221" s="11">
        <v>82</v>
      </c>
      <c r="B221" s="11" t="s">
        <v>2824</v>
      </c>
      <c r="C221" s="11" t="s">
        <v>3</v>
      </c>
      <c r="D221" s="11" t="s">
        <v>73</v>
      </c>
      <c r="E221" s="19" t="str">
        <f>IF(Products!O82&lt;&gt;"","Yes","No")</f>
        <v>Yes</v>
      </c>
      <c r="F221" s="15" t="str">
        <f>Products!AC82</f>
        <v>Content drafted - assets/specs pending</v>
      </c>
      <c r="G221" s="11" t="str">
        <f>Products!G82</f>
        <v>One page per product category</v>
      </c>
      <c r="H221" s="11" t="str">
        <f>IF(Products!AC82="Ready for approval","None",IF(Products!Q82="","Technical specifications; ","")&amp;IF(Products!S82="","primary image; ","")&amp;IF(Products!U82="","datasheet/brochure; ","")&amp;"technical approval")</f>
        <v>Technical specifications; primary image; datasheet/brochure; technical approval</v>
      </c>
    </row>
    <row r="222" spans="1:8" ht="26" x14ac:dyDescent="0.35">
      <c r="A222" s="11">
        <v>83</v>
      </c>
      <c r="B222" s="11" t="s">
        <v>2824</v>
      </c>
      <c r="C222" s="11" t="s">
        <v>3</v>
      </c>
      <c r="D222" s="11" t="s">
        <v>77</v>
      </c>
      <c r="E222" s="19" t="str">
        <f>IF(Products!O83&lt;&gt;"","Yes","No")</f>
        <v>Yes</v>
      </c>
      <c r="F222" s="15" t="str">
        <f>Products!AC83</f>
        <v>Content drafted - assets/specs pending</v>
      </c>
      <c r="G222" s="11" t="str">
        <f>Products!G83</f>
        <v>One page per product category</v>
      </c>
      <c r="H222" s="11" t="str">
        <f>IF(Products!AC83="Ready for approval","None",IF(Products!Q83="","Technical specifications; ","")&amp;IF(Products!S83="","primary image; ","")&amp;IF(Products!U83="","datasheet/brochure; ","")&amp;"technical approval")</f>
        <v>Technical specifications; primary image; datasheet/brochure; technical approval</v>
      </c>
    </row>
    <row r="223" spans="1:8" ht="26" x14ac:dyDescent="0.35">
      <c r="A223" s="11">
        <v>84</v>
      </c>
      <c r="B223" s="11" t="s">
        <v>2824</v>
      </c>
      <c r="C223" s="11" t="s">
        <v>3</v>
      </c>
      <c r="D223" s="11" t="s">
        <v>79</v>
      </c>
      <c r="E223" s="19" t="str">
        <f>IF(Products!O84&lt;&gt;"","Yes","No")</f>
        <v>Yes</v>
      </c>
      <c r="F223" s="15" t="str">
        <f>Products!AC84</f>
        <v>Content drafted - assets/specs pending</v>
      </c>
      <c r="G223" s="11" t="str">
        <f>Products!G84</f>
        <v>One page per product category</v>
      </c>
      <c r="H223" s="11" t="str">
        <f>IF(Products!AC84="Ready for approval","None",IF(Products!Q84="","Technical specifications; ","")&amp;IF(Products!S84="","primary image; ","")&amp;IF(Products!U84="","datasheet/brochure; ","")&amp;"technical approval")</f>
        <v>Technical specifications; primary image; datasheet/brochure; technical approval</v>
      </c>
    </row>
    <row r="224" spans="1:8" ht="26" x14ac:dyDescent="0.35">
      <c r="A224" s="11">
        <v>85</v>
      </c>
      <c r="B224" s="11" t="s">
        <v>106</v>
      </c>
      <c r="C224" s="11" t="s">
        <v>5</v>
      </c>
      <c r="D224" s="11" t="s">
        <v>107</v>
      </c>
      <c r="E224" s="19" t="str">
        <f>IF(Products!O85&lt;&gt;"","Yes","No")</f>
        <v>Yes</v>
      </c>
      <c r="F224" s="15" t="str">
        <f>Products!AC85</f>
        <v>Content drafted - assets/specs pending</v>
      </c>
      <c r="G224" s="11" t="str">
        <f>Products!G85</f>
        <v>One page per product category</v>
      </c>
      <c r="H224" s="11" t="str">
        <f>IF(Products!AC85="Ready for approval","None",IF(Products!Q85="","Technical specifications; ","")&amp;IF(Products!S85="","primary image; ","")&amp;IF(Products!U85="","datasheet/brochure; ","")&amp;"technical approval")</f>
        <v>Technical specifications; primary image; datasheet/brochure; technical approval</v>
      </c>
    </row>
    <row r="225" spans="1:8" ht="26" x14ac:dyDescent="0.35">
      <c r="A225" s="11">
        <v>86</v>
      </c>
      <c r="B225" s="11" t="s">
        <v>106</v>
      </c>
      <c r="C225" s="11" t="s">
        <v>5</v>
      </c>
      <c r="D225" s="11" t="s">
        <v>108</v>
      </c>
      <c r="E225" s="19" t="str">
        <f>IF(Products!O86&lt;&gt;"","Yes","No")</f>
        <v>Yes</v>
      </c>
      <c r="F225" s="15" t="str">
        <f>Products!AC86</f>
        <v>Content drafted - assets/specs pending</v>
      </c>
      <c r="G225" s="11" t="str">
        <f>Products!G86</f>
        <v>One page per product category</v>
      </c>
      <c r="H225" s="11" t="str">
        <f>IF(Products!AC86="Ready for approval","None",IF(Products!Q86="","Technical specifications; ","")&amp;IF(Products!S86="","primary image; ","")&amp;IF(Products!U86="","datasheet/brochure; ","")&amp;"technical approval")</f>
        <v>Technical specifications; primary image; datasheet/brochure; technical approval</v>
      </c>
    </row>
    <row r="226" spans="1:8" ht="26" x14ac:dyDescent="0.35">
      <c r="A226" s="11">
        <v>87</v>
      </c>
      <c r="B226" s="11" t="s">
        <v>106</v>
      </c>
      <c r="C226" s="11" t="s">
        <v>5</v>
      </c>
      <c r="D226" s="11" t="s">
        <v>109</v>
      </c>
      <c r="E226" s="19" t="str">
        <f>IF(Products!O87&lt;&gt;"","Yes","No")</f>
        <v>Yes</v>
      </c>
      <c r="F226" s="15" t="str">
        <f>Products!AC87</f>
        <v>Content drafted - assets/specs pending</v>
      </c>
      <c r="G226" s="11" t="str">
        <f>Products!G87</f>
        <v>One page per product category</v>
      </c>
      <c r="H226" s="11" t="str">
        <f>IF(Products!AC87="Ready for approval","None",IF(Products!Q87="","Technical specifications; ","")&amp;IF(Products!S87="","primary image; ","")&amp;IF(Products!U87="","datasheet/brochure; ","")&amp;"technical approval")</f>
        <v>Technical specifications; primary image; datasheet/brochure; technical approval</v>
      </c>
    </row>
    <row r="227" spans="1:8" ht="26" x14ac:dyDescent="0.35">
      <c r="A227" s="11">
        <v>88</v>
      </c>
      <c r="B227" s="11" t="s">
        <v>106</v>
      </c>
      <c r="C227" s="11" t="s">
        <v>5</v>
      </c>
      <c r="D227" s="11" t="s">
        <v>110</v>
      </c>
      <c r="E227" s="19" t="str">
        <f>IF(Products!O88&lt;&gt;"","Yes","No")</f>
        <v>Yes</v>
      </c>
      <c r="F227" s="15" t="str">
        <f>Products!AC88</f>
        <v>Content drafted - assets/specs pending</v>
      </c>
      <c r="G227" s="11" t="str">
        <f>Products!G88</f>
        <v>One page per product category</v>
      </c>
      <c r="H227" s="11" t="str">
        <f>IF(Products!AC88="Ready for approval","None",IF(Products!Q88="","Technical specifications; ","")&amp;IF(Products!S88="","primary image; ","")&amp;IF(Products!U88="","datasheet/brochure; ","")&amp;"technical approval")</f>
        <v>Technical specifications; primary image; datasheet/brochure; technical approval</v>
      </c>
    </row>
    <row r="228" spans="1:8" ht="26" x14ac:dyDescent="0.35">
      <c r="A228" s="11">
        <v>89</v>
      </c>
      <c r="B228" s="11" t="s">
        <v>111</v>
      </c>
      <c r="C228" s="11" t="s">
        <v>5</v>
      </c>
      <c r="D228" s="11" t="s">
        <v>112</v>
      </c>
      <c r="E228" s="19" t="str">
        <f>IF(Products!O89&lt;&gt;"","Yes","No")</f>
        <v>Yes</v>
      </c>
      <c r="F228" s="15" t="str">
        <f>Products!AC89</f>
        <v>Content drafted - assets/specs pending</v>
      </c>
      <c r="G228" s="11" t="str">
        <f>Products!G89</f>
        <v>One page per product category</v>
      </c>
      <c r="H228" s="11" t="str">
        <f>IF(Products!AC89="Ready for approval","None",IF(Products!Q89="","Technical specifications; ","")&amp;IF(Products!S89="","primary image; ","")&amp;IF(Products!U89="","datasheet/brochure; ","")&amp;"technical approval")</f>
        <v>Technical specifications; primary image; datasheet/brochure; technical approval</v>
      </c>
    </row>
    <row r="229" spans="1:8" ht="26" x14ac:dyDescent="0.35">
      <c r="A229" s="11">
        <v>90</v>
      </c>
      <c r="B229" s="11" t="s">
        <v>111</v>
      </c>
      <c r="C229" s="11" t="s">
        <v>5</v>
      </c>
      <c r="D229" s="11" t="s">
        <v>113</v>
      </c>
      <c r="E229" s="19" t="str">
        <f>IF(Products!O90&lt;&gt;"","Yes","No")</f>
        <v>Yes</v>
      </c>
      <c r="F229" s="15" t="str">
        <f>Products!AC90</f>
        <v>Content drafted - assets/specs pending</v>
      </c>
      <c r="G229" s="11" t="str">
        <f>Products!G90</f>
        <v>One page per product category</v>
      </c>
      <c r="H229" s="11" t="str">
        <f>IF(Products!AC90="Ready for approval","None",IF(Products!Q90="","Technical specifications; ","")&amp;IF(Products!S90="","primary image; ","")&amp;IF(Products!U90="","datasheet/brochure; ","")&amp;"technical approval")</f>
        <v>Technical specifications; primary image; datasheet/brochure; technical approval</v>
      </c>
    </row>
    <row r="230" spans="1:8" ht="26" x14ac:dyDescent="0.35">
      <c r="A230" s="11">
        <v>91</v>
      </c>
      <c r="B230" s="11" t="s">
        <v>111</v>
      </c>
      <c r="C230" s="11" t="s">
        <v>5</v>
      </c>
      <c r="D230" s="11" t="s">
        <v>114</v>
      </c>
      <c r="E230" s="19" t="str">
        <f>IF(Products!O91&lt;&gt;"","Yes","No")</f>
        <v>Yes</v>
      </c>
      <c r="F230" s="15" t="str">
        <f>Products!AC91</f>
        <v>Content drafted - assets/specs pending</v>
      </c>
      <c r="G230" s="11" t="str">
        <f>Products!G91</f>
        <v>One page per product category</v>
      </c>
      <c r="H230" s="11" t="str">
        <f>IF(Products!AC91="Ready for approval","None",IF(Products!Q91="","Technical specifications; ","")&amp;IF(Products!S91="","primary image; ","")&amp;IF(Products!U91="","datasheet/brochure; ","")&amp;"technical approval")</f>
        <v>Technical specifications; primary image; datasheet/brochure; technical approval</v>
      </c>
    </row>
    <row r="231" spans="1:8" ht="26" x14ac:dyDescent="0.35">
      <c r="A231" s="11">
        <v>92</v>
      </c>
      <c r="B231" s="11" t="s">
        <v>115</v>
      </c>
      <c r="C231" s="11" t="s">
        <v>5</v>
      </c>
      <c r="D231" s="11" t="s">
        <v>116</v>
      </c>
      <c r="E231" s="19" t="str">
        <f>IF(Products!O92&lt;&gt;"","Yes","No")</f>
        <v>Yes</v>
      </c>
      <c r="F231" s="15" t="str">
        <f>Products!AC92</f>
        <v>Content drafted - assets/specs pending</v>
      </c>
      <c r="G231" s="11" t="str">
        <f>Products!G92</f>
        <v>One page per product category</v>
      </c>
      <c r="H231" s="11" t="str">
        <f>IF(Products!AC92="Ready for approval","None",IF(Products!Q92="","Technical specifications; ","")&amp;IF(Products!S92="","primary image; ","")&amp;IF(Products!U92="","datasheet/brochure; ","")&amp;"technical approval")</f>
        <v>Technical specifications; primary image; datasheet/brochure; technical approval</v>
      </c>
    </row>
    <row r="232" spans="1:8" ht="26" x14ac:dyDescent="0.35">
      <c r="A232" s="11">
        <v>93</v>
      </c>
      <c r="B232" s="11" t="s">
        <v>115</v>
      </c>
      <c r="C232" s="11" t="s">
        <v>5</v>
      </c>
      <c r="D232" s="11" t="s">
        <v>117</v>
      </c>
      <c r="E232" s="19" t="str">
        <f>IF(Products!O93&lt;&gt;"","Yes","No")</f>
        <v>Yes</v>
      </c>
      <c r="F232" s="15" t="str">
        <f>Products!AC93</f>
        <v>Content drafted - assets/specs pending</v>
      </c>
      <c r="G232" s="11" t="str">
        <f>Products!G93</f>
        <v>One page per product category</v>
      </c>
      <c r="H232" s="11" t="str">
        <f>IF(Products!AC93="Ready for approval","None",IF(Products!Q93="","Technical specifications; ","")&amp;IF(Products!S93="","primary image; ","")&amp;IF(Products!U93="","datasheet/brochure; ","")&amp;"technical approval")</f>
        <v>Technical specifications; primary image; datasheet/brochure; technical approval</v>
      </c>
    </row>
    <row r="233" spans="1:8" ht="26" x14ac:dyDescent="0.35">
      <c r="A233" s="11">
        <v>94</v>
      </c>
      <c r="B233" s="11" t="s">
        <v>115</v>
      </c>
      <c r="C233" s="11" t="s">
        <v>5</v>
      </c>
      <c r="D233" s="11" t="s">
        <v>118</v>
      </c>
      <c r="E233" s="19" t="str">
        <f>IF(Products!O94&lt;&gt;"","Yes","No")</f>
        <v>Yes</v>
      </c>
      <c r="F233" s="15" t="str">
        <f>Products!AC94</f>
        <v>Content drafted - assets/specs pending</v>
      </c>
      <c r="G233" s="11" t="str">
        <f>Products!G94</f>
        <v>One page per product category</v>
      </c>
      <c r="H233" s="11" t="str">
        <f>IF(Products!AC94="Ready for approval","None",IF(Products!Q94="","Technical specifications; ","")&amp;IF(Products!S94="","primary image; ","")&amp;IF(Products!U94="","datasheet/brochure; ","")&amp;"technical approval")</f>
        <v>Technical specifications; primary image; datasheet/brochure; technical approval</v>
      </c>
    </row>
    <row r="234" spans="1:8" ht="26" x14ac:dyDescent="0.35">
      <c r="A234" s="11">
        <v>95</v>
      </c>
      <c r="B234" s="11" t="s">
        <v>119</v>
      </c>
      <c r="C234" s="11" t="s">
        <v>5</v>
      </c>
      <c r="D234" s="11" t="s">
        <v>120</v>
      </c>
      <c r="E234" s="19" t="str">
        <f>IF(Products!O95&lt;&gt;"","Yes","No")</f>
        <v>Yes</v>
      </c>
      <c r="F234" s="15" t="str">
        <f>Products!AC95</f>
        <v>Content drafted - assets/specs pending</v>
      </c>
      <c r="G234" s="11" t="str">
        <f>Products!G95</f>
        <v>One page per product category</v>
      </c>
      <c r="H234" s="11" t="str">
        <f>IF(Products!AC95="Ready for approval","None",IF(Products!Q95="","Technical specifications; ","")&amp;IF(Products!S95="","primary image; ","")&amp;IF(Products!U95="","datasheet/brochure; ","")&amp;"technical approval")</f>
        <v>Technical specifications; primary image; datasheet/brochure; technical approval</v>
      </c>
    </row>
    <row r="235" spans="1:8" ht="26" x14ac:dyDescent="0.35">
      <c r="A235" s="11">
        <v>96</v>
      </c>
      <c r="B235" s="11" t="s">
        <v>119</v>
      </c>
      <c r="C235" s="11" t="s">
        <v>5</v>
      </c>
      <c r="D235" s="11" t="s">
        <v>121</v>
      </c>
      <c r="E235" s="19" t="str">
        <f>IF(Products!O96&lt;&gt;"","Yes","No")</f>
        <v>Yes</v>
      </c>
      <c r="F235" s="15" t="str">
        <f>Products!AC96</f>
        <v>Content drafted - assets/specs pending</v>
      </c>
      <c r="G235" s="11" t="str">
        <f>Products!G96</f>
        <v>One page per product category</v>
      </c>
      <c r="H235" s="11" t="str">
        <f>IF(Products!AC96="Ready for approval","None",IF(Products!Q96="","Technical specifications; ","")&amp;IF(Products!S96="","primary image; ","")&amp;IF(Products!U96="","datasheet/brochure; ","")&amp;"technical approval")</f>
        <v>Technical specifications; primary image; datasheet/brochure; technical approval</v>
      </c>
    </row>
    <row r="236" spans="1:8" ht="26" x14ac:dyDescent="0.35">
      <c r="A236" s="11">
        <v>97</v>
      </c>
      <c r="B236" s="11" t="s">
        <v>119</v>
      </c>
      <c r="C236" s="11" t="s">
        <v>5</v>
      </c>
      <c r="D236" s="11" t="s">
        <v>122</v>
      </c>
      <c r="E236" s="19" t="str">
        <f>IF(Products!O97&lt;&gt;"","Yes","No")</f>
        <v>Yes</v>
      </c>
      <c r="F236" s="15" t="str">
        <f>Products!AC97</f>
        <v>Content drafted - assets/specs pending</v>
      </c>
      <c r="G236" s="11" t="str">
        <f>Products!G97</f>
        <v>One page per product category</v>
      </c>
      <c r="H236" s="11" t="str">
        <f>IF(Products!AC97="Ready for approval","None",IF(Products!Q97="","Technical specifications; ","")&amp;IF(Products!S97="","primary image; ","")&amp;IF(Products!U97="","datasheet/brochure; ","")&amp;"technical approval")</f>
        <v>Technical specifications; primary image; datasheet/brochure; technical approval</v>
      </c>
    </row>
    <row r="237" spans="1:8" ht="26" x14ac:dyDescent="0.35">
      <c r="A237" s="11">
        <v>98</v>
      </c>
      <c r="B237" s="11" t="s">
        <v>119</v>
      </c>
      <c r="C237" s="11" t="s">
        <v>5</v>
      </c>
      <c r="D237" s="11" t="s">
        <v>123</v>
      </c>
      <c r="E237" s="19" t="str">
        <f>IF(Products!O98&lt;&gt;"","Yes","No")</f>
        <v>Yes</v>
      </c>
      <c r="F237" s="15" t="str">
        <f>Products!AC98</f>
        <v>Content drafted - assets/specs pending</v>
      </c>
      <c r="G237" s="11" t="str">
        <f>Products!G98</f>
        <v>One page per product category</v>
      </c>
      <c r="H237" s="11" t="str">
        <f>IF(Products!AC98="Ready for approval","None",IF(Products!Q98="","Technical specifications; ","")&amp;IF(Products!S98="","primary image; ","")&amp;IF(Products!U98="","datasheet/brochure; ","")&amp;"technical approval")</f>
        <v>Technical specifications; primary image; datasheet/brochure; technical approval</v>
      </c>
    </row>
    <row r="238" spans="1:8" ht="26" x14ac:dyDescent="0.35">
      <c r="A238" s="11">
        <v>99</v>
      </c>
      <c r="B238" s="11" t="s">
        <v>124</v>
      </c>
      <c r="C238" s="11" t="s">
        <v>5</v>
      </c>
      <c r="D238" s="11" t="s">
        <v>125</v>
      </c>
      <c r="E238" s="19" t="str">
        <f>IF(Products!O99&lt;&gt;"","Yes","No")</f>
        <v>Yes</v>
      </c>
      <c r="F238" s="15" t="str">
        <f>Products!AC99</f>
        <v>Content drafted - assets/specs pending</v>
      </c>
      <c r="G238" s="11" t="str">
        <f>Products!G99</f>
        <v>One page per product category</v>
      </c>
      <c r="H238" s="11" t="str">
        <f>IF(Products!AC99="Ready for approval","None",IF(Products!Q99="","Technical specifications; ","")&amp;IF(Products!S99="","primary image; ","")&amp;IF(Products!U99="","datasheet/brochure; ","")&amp;"technical approval")</f>
        <v>Technical specifications; primary image; datasheet/brochure; technical approval</v>
      </c>
    </row>
    <row r="239" spans="1:8" ht="26" x14ac:dyDescent="0.35">
      <c r="A239" s="11">
        <v>100</v>
      </c>
      <c r="B239" s="11" t="s">
        <v>124</v>
      </c>
      <c r="C239" s="11" t="s">
        <v>5</v>
      </c>
      <c r="D239" s="11" t="s">
        <v>126</v>
      </c>
      <c r="E239" s="19" t="str">
        <f>IF(Products!O100&lt;&gt;"","Yes","No")</f>
        <v>Yes</v>
      </c>
      <c r="F239" s="15" t="str">
        <f>Products!AC100</f>
        <v>Content drafted - assets/specs pending</v>
      </c>
      <c r="G239" s="11" t="str">
        <f>Products!G100</f>
        <v>One page per product category</v>
      </c>
      <c r="H239" s="11" t="str">
        <f>IF(Products!AC100="Ready for approval","None",IF(Products!Q100="","Technical specifications; ","")&amp;IF(Products!S100="","primary image; ","")&amp;IF(Products!U100="","datasheet/brochure; ","")&amp;"technical approval")</f>
        <v>Technical specifications; primary image; datasheet/brochure; technical approval</v>
      </c>
    </row>
    <row r="240" spans="1:8" ht="26" x14ac:dyDescent="0.35">
      <c r="A240" s="11">
        <v>101</v>
      </c>
      <c r="B240" s="11" t="s">
        <v>124</v>
      </c>
      <c r="C240" s="11" t="s">
        <v>5</v>
      </c>
      <c r="D240" s="11" t="s">
        <v>127</v>
      </c>
      <c r="E240" s="19" t="str">
        <f>IF(Products!O101&lt;&gt;"","Yes","No")</f>
        <v>Yes</v>
      </c>
      <c r="F240" s="15" t="str">
        <f>Products!AC101</f>
        <v>Content drafted - assets/specs pending</v>
      </c>
      <c r="G240" s="11" t="str">
        <f>Products!G101</f>
        <v>One page per product category</v>
      </c>
      <c r="H240" s="11" t="str">
        <f>IF(Products!AC101="Ready for approval","None",IF(Products!Q101="","Technical specifications; ","")&amp;IF(Products!S101="","primary image; ","")&amp;IF(Products!U101="","datasheet/brochure; ","")&amp;"technical approval")</f>
        <v>Technical specifications; primary image; datasheet/brochure; technical approval</v>
      </c>
    </row>
    <row r="241" spans="1:8" ht="26" x14ac:dyDescent="0.35">
      <c r="A241" s="11">
        <v>102</v>
      </c>
      <c r="B241" s="11" t="s">
        <v>124</v>
      </c>
      <c r="C241" s="11" t="s">
        <v>5</v>
      </c>
      <c r="D241" s="11" t="s">
        <v>128</v>
      </c>
      <c r="E241" s="19" t="str">
        <f>IF(Products!O102&lt;&gt;"","Yes","No")</f>
        <v>Yes</v>
      </c>
      <c r="F241" s="15" t="str">
        <f>Products!AC102</f>
        <v>Content drafted - assets/specs pending</v>
      </c>
      <c r="G241" s="11" t="str">
        <f>Products!G102</f>
        <v>One page per product category</v>
      </c>
      <c r="H241" s="11" t="str">
        <f>IF(Products!AC102="Ready for approval","None",IF(Products!Q102="","Technical specifications; ","")&amp;IF(Products!S102="","primary image; ","")&amp;IF(Products!U102="","datasheet/brochure; ","")&amp;"technical approval")</f>
        <v>Technical specifications; primary image; datasheet/brochure; technical approval</v>
      </c>
    </row>
    <row r="242" spans="1:8" ht="26" x14ac:dyDescent="0.35">
      <c r="A242" s="11">
        <v>103</v>
      </c>
      <c r="B242" s="11" t="s">
        <v>129</v>
      </c>
      <c r="C242" s="11" t="s">
        <v>5</v>
      </c>
      <c r="D242" s="11" t="s">
        <v>130</v>
      </c>
      <c r="E242" s="19" t="str">
        <f>IF(Products!O103&lt;&gt;"","Yes","No")</f>
        <v>Yes</v>
      </c>
      <c r="F242" s="15" t="str">
        <f>Products!AC103</f>
        <v>Content drafted - assets/specs pending</v>
      </c>
      <c r="G242" s="11" t="str">
        <f>Products!G103</f>
        <v>One page per product category</v>
      </c>
      <c r="H242" s="11" t="str">
        <f>IF(Products!AC103="Ready for approval","None",IF(Products!Q103="","Technical specifications; ","")&amp;IF(Products!S103="","primary image; ","")&amp;IF(Products!U103="","datasheet/brochure; ","")&amp;"technical approval")</f>
        <v>Technical specifications; primary image; datasheet/brochure; technical approval</v>
      </c>
    </row>
    <row r="243" spans="1:8" ht="26" x14ac:dyDescent="0.35">
      <c r="A243" s="11">
        <v>104</v>
      </c>
      <c r="B243" s="11" t="s">
        <v>129</v>
      </c>
      <c r="C243" s="11" t="s">
        <v>5</v>
      </c>
      <c r="D243" s="11" t="s">
        <v>131</v>
      </c>
      <c r="E243" s="19" t="str">
        <f>IF(Products!O104&lt;&gt;"","Yes","No")</f>
        <v>Yes</v>
      </c>
      <c r="F243" s="15" t="str">
        <f>Products!AC104</f>
        <v>Content drafted - assets/specs pending</v>
      </c>
      <c r="G243" s="11" t="str">
        <f>Products!G104</f>
        <v>One page per product category</v>
      </c>
      <c r="H243" s="11" t="str">
        <f>IF(Products!AC104="Ready for approval","None",IF(Products!Q104="","Technical specifications; ","")&amp;IF(Products!S104="","primary image; ","")&amp;IF(Products!U104="","datasheet/brochure; ","")&amp;"technical approval")</f>
        <v>Technical specifications; primary image; datasheet/brochure; technical approval</v>
      </c>
    </row>
    <row r="244" spans="1:8" ht="26" x14ac:dyDescent="0.35">
      <c r="A244" s="11">
        <v>105</v>
      </c>
      <c r="B244" s="11" t="s">
        <v>129</v>
      </c>
      <c r="C244" s="11" t="s">
        <v>5</v>
      </c>
      <c r="D244" s="11" t="s">
        <v>132</v>
      </c>
      <c r="E244" s="19" t="str">
        <f>IF(Products!O105&lt;&gt;"","Yes","No")</f>
        <v>Yes</v>
      </c>
      <c r="F244" s="15" t="str">
        <f>Products!AC105</f>
        <v>Content drafted - assets/specs pending</v>
      </c>
      <c r="G244" s="11" t="str">
        <f>Products!G105</f>
        <v>One page per product category</v>
      </c>
      <c r="H244" s="11" t="str">
        <f>IF(Products!AC105="Ready for approval","None",IF(Products!Q105="","Technical specifications; ","")&amp;IF(Products!S105="","primary image; ","")&amp;IF(Products!U105="","datasheet/brochure; ","")&amp;"technical approval")</f>
        <v>Technical specifications; primary image; datasheet/brochure; technical approval</v>
      </c>
    </row>
    <row r="245" spans="1:8" ht="26" x14ac:dyDescent="0.35">
      <c r="A245" s="11">
        <v>106</v>
      </c>
      <c r="B245" s="11" t="s">
        <v>129</v>
      </c>
      <c r="C245" s="11" t="s">
        <v>5</v>
      </c>
      <c r="D245" s="11" t="s">
        <v>133</v>
      </c>
      <c r="E245" s="19" t="str">
        <f>IF(Products!O106&lt;&gt;"","Yes","No")</f>
        <v>Yes</v>
      </c>
      <c r="F245" s="15" t="str">
        <f>Products!AC106</f>
        <v>Content drafted - assets/specs pending</v>
      </c>
      <c r="G245" s="11" t="str">
        <f>Products!G106</f>
        <v>One page per product category</v>
      </c>
      <c r="H245" s="11" t="str">
        <f>IF(Products!AC106="Ready for approval","None",IF(Products!Q106="","Technical specifications; ","")&amp;IF(Products!S106="","primary image; ","")&amp;IF(Products!U106="","datasheet/brochure; ","")&amp;"technical approval")</f>
        <v>Technical specifications; primary image; datasheet/brochure; technical approval</v>
      </c>
    </row>
    <row r="246" spans="1:8" ht="26" x14ac:dyDescent="0.35">
      <c r="A246" s="11">
        <v>107</v>
      </c>
      <c r="B246" s="11" t="s">
        <v>134</v>
      </c>
      <c r="C246" s="11" t="s">
        <v>5</v>
      </c>
      <c r="D246" s="11" t="s">
        <v>135</v>
      </c>
      <c r="E246" s="19" t="str">
        <f>IF(Products!O107&lt;&gt;"","Yes","No")</f>
        <v>Yes</v>
      </c>
      <c r="F246" s="15" t="str">
        <f>Products!AC107</f>
        <v>Content drafted - assets/specs pending</v>
      </c>
      <c r="G246" s="11" t="str">
        <f>Products!G107</f>
        <v>One page per product category</v>
      </c>
      <c r="H246" s="11" t="str">
        <f>IF(Products!AC107="Ready for approval","None",IF(Products!Q107="","Technical specifications; ","")&amp;IF(Products!S107="","primary image; ","")&amp;IF(Products!U107="","datasheet/brochure; ","")&amp;"technical approval")</f>
        <v>Technical specifications; primary image; datasheet/brochure; technical approval</v>
      </c>
    </row>
    <row r="247" spans="1:8" ht="26" x14ac:dyDescent="0.35">
      <c r="A247" s="11">
        <v>108</v>
      </c>
      <c r="B247" s="11" t="s">
        <v>134</v>
      </c>
      <c r="C247" s="11" t="s">
        <v>5</v>
      </c>
      <c r="D247" s="11" t="s">
        <v>136</v>
      </c>
      <c r="E247" s="19" t="str">
        <f>IF(Products!O108&lt;&gt;"","Yes","No")</f>
        <v>Yes</v>
      </c>
      <c r="F247" s="15" t="str">
        <f>Products!AC108</f>
        <v>Content drafted - assets/specs pending</v>
      </c>
      <c r="G247" s="11" t="str">
        <f>Products!G108</f>
        <v>One page per product category</v>
      </c>
      <c r="H247" s="11" t="str">
        <f>IF(Products!AC108="Ready for approval","None",IF(Products!Q108="","Technical specifications; ","")&amp;IF(Products!S108="","primary image; ","")&amp;IF(Products!U108="","datasheet/brochure; ","")&amp;"technical approval")</f>
        <v>Technical specifications; primary image; datasheet/brochure; technical approval</v>
      </c>
    </row>
    <row r="248" spans="1:8" ht="26" x14ac:dyDescent="0.35">
      <c r="A248" s="11">
        <v>109</v>
      </c>
      <c r="B248" s="11" t="s">
        <v>134</v>
      </c>
      <c r="C248" s="11" t="s">
        <v>5</v>
      </c>
      <c r="D248" s="11" t="s">
        <v>137</v>
      </c>
      <c r="E248" s="19" t="str">
        <f>IF(Products!O109&lt;&gt;"","Yes","No")</f>
        <v>Yes</v>
      </c>
      <c r="F248" s="15" t="str">
        <f>Products!AC109</f>
        <v>Content drafted - assets/specs pending</v>
      </c>
      <c r="G248" s="11" t="str">
        <f>Products!G109</f>
        <v>One page per product category</v>
      </c>
      <c r="H248" s="11" t="str">
        <f>IF(Products!AC109="Ready for approval","None",IF(Products!Q109="","Technical specifications; ","")&amp;IF(Products!S109="","primary image; ","")&amp;IF(Products!U109="","datasheet/brochure; ","")&amp;"technical approval")</f>
        <v>Technical specifications; primary image; datasheet/brochure; technical approval</v>
      </c>
    </row>
    <row r="249" spans="1:8" ht="26" x14ac:dyDescent="0.35">
      <c r="A249" s="11">
        <v>110</v>
      </c>
      <c r="B249" s="11" t="s">
        <v>134</v>
      </c>
      <c r="C249" s="11" t="s">
        <v>5</v>
      </c>
      <c r="D249" s="11" t="s">
        <v>138</v>
      </c>
      <c r="E249" s="19" t="str">
        <f>IF(Products!O110&lt;&gt;"","Yes","No")</f>
        <v>Yes</v>
      </c>
      <c r="F249" s="15" t="str">
        <f>Products!AC110</f>
        <v>Content drafted - assets/specs pending</v>
      </c>
      <c r="G249" s="11" t="str">
        <f>Products!G110</f>
        <v>One page per product category</v>
      </c>
      <c r="H249" s="11" t="str">
        <f>IF(Products!AC110="Ready for approval","None",IF(Products!Q110="","Technical specifications; ","")&amp;IF(Products!S110="","primary image; ","")&amp;IF(Products!U110="","datasheet/brochure; ","")&amp;"technical approval")</f>
        <v>Technical specifications; primary image; datasheet/brochure; technical approval</v>
      </c>
    </row>
    <row r="250" spans="1:8" ht="26" x14ac:dyDescent="0.35">
      <c r="A250" s="11">
        <v>111</v>
      </c>
      <c r="B250" s="11" t="s">
        <v>134</v>
      </c>
      <c r="C250" s="11" t="s">
        <v>5</v>
      </c>
      <c r="D250" s="11" t="s">
        <v>139</v>
      </c>
      <c r="E250" s="19" t="str">
        <f>IF(Products!O111&lt;&gt;"","Yes","No")</f>
        <v>Yes</v>
      </c>
      <c r="F250" s="15" t="str">
        <f>Products!AC111</f>
        <v>Content drafted - assets/specs pending</v>
      </c>
      <c r="G250" s="11" t="str">
        <f>Products!G111</f>
        <v>One page per product category</v>
      </c>
      <c r="H250" s="11" t="str">
        <f>IF(Products!AC111="Ready for approval","None",IF(Products!Q111="","Technical specifications; ","")&amp;IF(Products!S111="","primary image; ","")&amp;IF(Products!U111="","datasheet/brochure; ","")&amp;"technical approval")</f>
        <v>Technical specifications; primary image; datasheet/brochure; technical approval</v>
      </c>
    </row>
    <row r="251" spans="1:8" ht="26" x14ac:dyDescent="0.35">
      <c r="A251" s="11">
        <v>112</v>
      </c>
      <c r="B251" s="11" t="s">
        <v>140</v>
      </c>
      <c r="C251" s="11" t="s">
        <v>5</v>
      </c>
      <c r="D251" s="11" t="s">
        <v>141</v>
      </c>
      <c r="E251" s="19" t="str">
        <f>IF(Products!O112&lt;&gt;"","Yes","No")</f>
        <v>Yes</v>
      </c>
      <c r="F251" s="15" t="str">
        <f>Products!AC112</f>
        <v>Content drafted - assets/specs pending</v>
      </c>
      <c r="G251" s="11" t="str">
        <f>Products!G112</f>
        <v>One page per product category</v>
      </c>
      <c r="H251" s="11" t="str">
        <f>IF(Products!AC112="Ready for approval","None",IF(Products!Q112="","Technical specifications; ","")&amp;IF(Products!S112="","primary image; ","")&amp;IF(Products!U112="","datasheet/brochure; ","")&amp;"technical approval")</f>
        <v>Technical specifications; primary image; datasheet/brochure; technical approval</v>
      </c>
    </row>
    <row r="252" spans="1:8" ht="26" x14ac:dyDescent="0.35">
      <c r="A252" s="11">
        <v>113</v>
      </c>
      <c r="B252" s="11" t="s">
        <v>140</v>
      </c>
      <c r="C252" s="11" t="s">
        <v>5</v>
      </c>
      <c r="D252" s="11" t="s">
        <v>142</v>
      </c>
      <c r="E252" s="19" t="str">
        <f>IF(Products!O113&lt;&gt;"","Yes","No")</f>
        <v>Yes</v>
      </c>
      <c r="F252" s="15" t="str">
        <f>Products!AC113</f>
        <v>Content drafted - assets/specs pending</v>
      </c>
      <c r="G252" s="11" t="str">
        <f>Products!G113</f>
        <v>One page per product category</v>
      </c>
      <c r="H252" s="11" t="str">
        <f>IF(Products!AC113="Ready for approval","None",IF(Products!Q113="","Technical specifications; ","")&amp;IF(Products!S113="","primary image; ","")&amp;IF(Products!U113="","datasheet/brochure; ","")&amp;"technical approval")</f>
        <v>Technical specifications; primary image; datasheet/brochure; technical approval</v>
      </c>
    </row>
    <row r="253" spans="1:8" ht="26" x14ac:dyDescent="0.35">
      <c r="A253" s="11">
        <v>114</v>
      </c>
      <c r="B253" s="11" t="s">
        <v>143</v>
      </c>
      <c r="C253" s="11" t="s">
        <v>5</v>
      </c>
      <c r="D253" s="11" t="s">
        <v>144</v>
      </c>
      <c r="E253" s="19" t="str">
        <f>IF(Products!O114&lt;&gt;"","Yes","No")</f>
        <v>Yes</v>
      </c>
      <c r="F253" s="15" t="str">
        <f>Products!AC114</f>
        <v>Content drafted - assets/specs pending</v>
      </c>
      <c r="G253" s="11" t="str">
        <f>Products!G114</f>
        <v>One page per product category</v>
      </c>
      <c r="H253" s="11" t="str">
        <f>IF(Products!AC114="Ready for approval","None",IF(Products!Q114="","Technical specifications; ","")&amp;IF(Products!S114="","primary image; ","")&amp;IF(Products!U114="","datasheet/brochure; ","")&amp;"technical approval")</f>
        <v>Technical specifications; primary image; datasheet/brochure; technical approval</v>
      </c>
    </row>
    <row r="254" spans="1:8" ht="26" x14ac:dyDescent="0.35">
      <c r="A254" s="11">
        <v>115</v>
      </c>
      <c r="B254" s="11" t="s">
        <v>143</v>
      </c>
      <c r="C254" s="11" t="s">
        <v>5</v>
      </c>
      <c r="D254" s="11" t="s">
        <v>145</v>
      </c>
      <c r="E254" s="19" t="str">
        <f>IF(Products!O115&lt;&gt;"","Yes","No")</f>
        <v>Yes</v>
      </c>
      <c r="F254" s="15" t="str">
        <f>Products!AC115</f>
        <v>Content drafted - assets/specs pending</v>
      </c>
      <c r="G254" s="11" t="str">
        <f>Products!G115</f>
        <v>One page per product category</v>
      </c>
      <c r="H254" s="11" t="str">
        <f>IF(Products!AC115="Ready for approval","None",IF(Products!Q115="","Technical specifications; ","")&amp;IF(Products!S115="","primary image; ","")&amp;IF(Products!U115="","datasheet/brochure; ","")&amp;"technical approval")</f>
        <v>Technical specifications; primary image; datasheet/brochure; technical approval</v>
      </c>
    </row>
    <row r="255" spans="1:8" ht="26" x14ac:dyDescent="0.35">
      <c r="A255" s="11">
        <v>116</v>
      </c>
      <c r="B255" s="11" t="s">
        <v>146</v>
      </c>
      <c r="C255" s="11" t="s">
        <v>5</v>
      </c>
      <c r="D255" s="11" t="s">
        <v>147</v>
      </c>
      <c r="E255" s="19" t="str">
        <f>IF(Products!O116&lt;&gt;"","Yes","No")</f>
        <v>Yes</v>
      </c>
      <c r="F255" s="15" t="str">
        <f>Products!AC116</f>
        <v>Content drafted - assets/specs pending</v>
      </c>
      <c r="G255" s="11" t="str">
        <f>Products!G116</f>
        <v>One page per product category</v>
      </c>
      <c r="H255" s="11" t="str">
        <f>IF(Products!AC116="Ready for approval","None",IF(Products!Q116="","Technical specifications; ","")&amp;IF(Products!S116="","primary image; ","")&amp;IF(Products!U116="","datasheet/brochure; ","")&amp;"technical approval")</f>
        <v>Technical specifications; primary image; datasheet/brochure; technical approval</v>
      </c>
    </row>
    <row r="256" spans="1:8" ht="26" x14ac:dyDescent="0.35">
      <c r="A256" s="11">
        <v>117</v>
      </c>
      <c r="B256" s="11" t="s">
        <v>146</v>
      </c>
      <c r="C256" s="11" t="s">
        <v>5</v>
      </c>
      <c r="D256" s="11" t="s">
        <v>148</v>
      </c>
      <c r="E256" s="19" t="str">
        <f>IF(Products!O117&lt;&gt;"","Yes","No")</f>
        <v>Yes</v>
      </c>
      <c r="F256" s="15" t="str">
        <f>Products!AC117</f>
        <v>Content drafted - assets/specs pending</v>
      </c>
      <c r="G256" s="11" t="str">
        <f>Products!G117</f>
        <v>One page per product category</v>
      </c>
      <c r="H256" s="11" t="str">
        <f>IF(Products!AC117="Ready for approval","None",IF(Products!Q117="","Technical specifications; ","")&amp;IF(Products!S117="","primary image; ","")&amp;IF(Products!U117="","datasheet/brochure; ","")&amp;"technical approval")</f>
        <v>Technical specifications; primary image; datasheet/brochure; technical approval</v>
      </c>
    </row>
    <row r="257" spans="1:8" ht="26" x14ac:dyDescent="0.35">
      <c r="A257" s="11">
        <v>118</v>
      </c>
      <c r="B257" s="11" t="s">
        <v>146</v>
      </c>
      <c r="C257" s="11" t="s">
        <v>5</v>
      </c>
      <c r="D257" s="11" t="s">
        <v>149</v>
      </c>
      <c r="E257" s="19" t="str">
        <f>IF(Products!O118&lt;&gt;"","Yes","No")</f>
        <v>Yes</v>
      </c>
      <c r="F257" s="15" t="str">
        <f>Products!AC118</f>
        <v>Content drafted - assets/specs pending</v>
      </c>
      <c r="G257" s="11" t="str">
        <f>Products!G118</f>
        <v>One page per product category</v>
      </c>
      <c r="H257" s="11" t="str">
        <f>IF(Products!AC118="Ready for approval","None",IF(Products!Q118="","Technical specifications; ","")&amp;IF(Products!S118="","primary image; ","")&amp;IF(Products!U118="","datasheet/brochure; ","")&amp;"technical approval")</f>
        <v>Technical specifications; primary image; datasheet/brochure; technical approval</v>
      </c>
    </row>
    <row r="258" spans="1:8" ht="26" x14ac:dyDescent="0.35">
      <c r="A258" s="11">
        <v>119</v>
      </c>
      <c r="B258" s="11" t="s">
        <v>146</v>
      </c>
      <c r="C258" s="11" t="s">
        <v>5</v>
      </c>
      <c r="D258" s="11" t="s">
        <v>150</v>
      </c>
      <c r="E258" s="19" t="str">
        <f>IF(Products!O119&lt;&gt;"","Yes","No")</f>
        <v>Yes</v>
      </c>
      <c r="F258" s="15" t="str">
        <f>Products!AC119</f>
        <v>Content drafted - assets/specs pending</v>
      </c>
      <c r="G258" s="11" t="str">
        <f>Products!G119</f>
        <v>One page per product category</v>
      </c>
      <c r="H258" s="11" t="str">
        <f>IF(Products!AC119="Ready for approval","None",IF(Products!Q119="","Technical specifications; ","")&amp;IF(Products!S119="","primary image; ","")&amp;IF(Products!U119="","datasheet/brochure; ","")&amp;"technical approval")</f>
        <v>Technical specifications; primary image; datasheet/brochure; technical approval</v>
      </c>
    </row>
    <row r="259" spans="1:8" ht="26" x14ac:dyDescent="0.35">
      <c r="A259" s="11">
        <v>120</v>
      </c>
      <c r="B259" s="11" t="s">
        <v>146</v>
      </c>
      <c r="C259" s="11" t="s">
        <v>5</v>
      </c>
      <c r="D259" s="11" t="s">
        <v>151</v>
      </c>
      <c r="E259" s="19" t="str">
        <f>IF(Products!O120&lt;&gt;"","Yes","No")</f>
        <v>Yes</v>
      </c>
      <c r="F259" s="15" t="str">
        <f>Products!AC120</f>
        <v>Content drafted - assets/specs pending</v>
      </c>
      <c r="G259" s="11" t="str">
        <f>Products!G120</f>
        <v>One page per product category</v>
      </c>
      <c r="H259" s="11" t="str">
        <f>IF(Products!AC120="Ready for approval","None",IF(Products!Q120="","Technical specifications; ","")&amp;IF(Products!S120="","primary image; ","")&amp;IF(Products!U120="","datasheet/brochure; ","")&amp;"technical approval")</f>
        <v>Technical specifications; primary image; datasheet/brochure; technical approval</v>
      </c>
    </row>
    <row r="260" spans="1:8" ht="26" x14ac:dyDescent="0.35">
      <c r="A260" s="11">
        <v>121</v>
      </c>
      <c r="B260" s="11" t="s">
        <v>152</v>
      </c>
      <c r="C260" s="11" t="s">
        <v>7</v>
      </c>
      <c r="D260" s="11" t="s">
        <v>153</v>
      </c>
      <c r="E260" s="19" t="str">
        <f>IF(Products!O121&lt;&gt;"","Yes","No")</f>
        <v>Yes</v>
      </c>
      <c r="F260" s="15" t="str">
        <f>Products!AC121</f>
        <v>Content drafted - assets/specs pending</v>
      </c>
      <c r="G260" s="11" t="str">
        <f>Products!G121</f>
        <v>One page per product category</v>
      </c>
      <c r="H260" s="11" t="str">
        <f>IF(Products!AC121="Ready for approval","None",IF(Products!Q121="","Technical specifications; ","")&amp;IF(Products!S121="","primary image; ","")&amp;IF(Products!U121="","datasheet/brochure; ","")&amp;"technical approval")</f>
        <v>Technical specifications; primary image; datasheet/brochure; technical approval</v>
      </c>
    </row>
    <row r="261" spans="1:8" ht="26" x14ac:dyDescent="0.35">
      <c r="A261" s="11">
        <v>122</v>
      </c>
      <c r="B261" s="11" t="s">
        <v>152</v>
      </c>
      <c r="C261" s="11" t="s">
        <v>7</v>
      </c>
      <c r="D261" s="11" t="s">
        <v>154</v>
      </c>
      <c r="E261" s="19" t="str">
        <f>IF(Products!O122&lt;&gt;"","Yes","No")</f>
        <v>Yes</v>
      </c>
      <c r="F261" s="15" t="str">
        <f>Products!AC122</f>
        <v>Content drafted - assets/specs pending</v>
      </c>
      <c r="G261" s="11" t="str">
        <f>Products!G122</f>
        <v>One page per product category</v>
      </c>
      <c r="H261" s="11" t="str">
        <f>IF(Products!AC122="Ready for approval","None",IF(Products!Q122="","Technical specifications; ","")&amp;IF(Products!S122="","primary image; ","")&amp;IF(Products!U122="","datasheet/brochure; ","")&amp;"technical approval")</f>
        <v>Technical specifications; primary image; datasheet/brochure; technical approval</v>
      </c>
    </row>
    <row r="262" spans="1:8" ht="26" x14ac:dyDescent="0.35">
      <c r="A262" s="11">
        <v>123</v>
      </c>
      <c r="B262" s="11" t="s">
        <v>152</v>
      </c>
      <c r="C262" s="11" t="s">
        <v>7</v>
      </c>
      <c r="D262" s="11" t="s">
        <v>155</v>
      </c>
      <c r="E262" s="19" t="str">
        <f>IF(Products!O123&lt;&gt;"","Yes","No")</f>
        <v>Yes</v>
      </c>
      <c r="F262" s="15" t="str">
        <f>Products!AC123</f>
        <v>Content drafted - assets/specs pending</v>
      </c>
      <c r="G262" s="11" t="str">
        <f>Products!G123</f>
        <v>One page per product category</v>
      </c>
      <c r="H262" s="11" t="str">
        <f>IF(Products!AC123="Ready for approval","None",IF(Products!Q123="","Technical specifications; ","")&amp;IF(Products!S123="","primary image; ","")&amp;IF(Products!U123="","datasheet/brochure; ","")&amp;"technical approval")</f>
        <v>Technical specifications; primary image; datasheet/brochure; technical approval</v>
      </c>
    </row>
    <row r="263" spans="1:8" ht="26" x14ac:dyDescent="0.35">
      <c r="A263" s="11">
        <v>124</v>
      </c>
      <c r="B263" s="11" t="s">
        <v>152</v>
      </c>
      <c r="C263" s="11" t="s">
        <v>7</v>
      </c>
      <c r="D263" s="11" t="s">
        <v>156</v>
      </c>
      <c r="E263" s="19" t="str">
        <f>IF(Products!O124&lt;&gt;"","Yes","No")</f>
        <v>Yes</v>
      </c>
      <c r="F263" s="15" t="str">
        <f>Products!AC124</f>
        <v>Content drafted - assets/specs pending</v>
      </c>
      <c r="G263" s="11" t="str">
        <f>Products!G124</f>
        <v>One page per product category</v>
      </c>
      <c r="H263" s="11" t="str">
        <f>IF(Products!AC124="Ready for approval","None",IF(Products!Q124="","Technical specifications; ","")&amp;IF(Products!S124="","primary image; ","")&amp;IF(Products!U124="","datasheet/brochure; ","")&amp;"technical approval")</f>
        <v>Technical specifications; primary image; datasheet/brochure; technical approval</v>
      </c>
    </row>
    <row r="264" spans="1:8" ht="26" x14ac:dyDescent="0.35">
      <c r="A264" s="11">
        <v>125</v>
      </c>
      <c r="B264" s="11" t="s">
        <v>152</v>
      </c>
      <c r="C264" s="11" t="s">
        <v>7</v>
      </c>
      <c r="D264" s="11" t="s">
        <v>157</v>
      </c>
      <c r="E264" s="19" t="str">
        <f>IF(Products!O125&lt;&gt;"","Yes","No")</f>
        <v>Yes</v>
      </c>
      <c r="F264" s="15" t="str">
        <f>Products!AC125</f>
        <v>Content drafted - assets/specs pending</v>
      </c>
      <c r="G264" s="11" t="str">
        <f>Products!G125</f>
        <v>One page per product category</v>
      </c>
      <c r="H264" s="11" t="str">
        <f>IF(Products!AC125="Ready for approval","None",IF(Products!Q125="","Technical specifications; ","")&amp;IF(Products!S125="","primary image; ","")&amp;IF(Products!U125="","datasheet/brochure; ","")&amp;"technical approval")</f>
        <v>Technical specifications; primary image; datasheet/brochure; technical approval</v>
      </c>
    </row>
    <row r="265" spans="1:8" ht="26" x14ac:dyDescent="0.35">
      <c r="A265" s="11">
        <v>126</v>
      </c>
      <c r="B265" s="11" t="s">
        <v>158</v>
      </c>
      <c r="C265" s="11" t="s">
        <v>7</v>
      </c>
      <c r="D265" s="11" t="s">
        <v>159</v>
      </c>
      <c r="E265" s="19" t="str">
        <f>IF(Products!O126&lt;&gt;"","Yes","No")</f>
        <v>Yes</v>
      </c>
      <c r="F265" s="15" t="str">
        <f>Products!AC126</f>
        <v>Content drafted - assets/specs pending</v>
      </c>
      <c r="G265" s="11" t="str">
        <f>Products!G126</f>
        <v>One page per product category</v>
      </c>
      <c r="H265" s="11" t="str">
        <f>IF(Products!AC126="Ready for approval","None",IF(Products!Q126="","Technical specifications; ","")&amp;IF(Products!S126="","primary image; ","")&amp;IF(Products!U126="","datasheet/brochure; ","")&amp;"technical approval")</f>
        <v>Technical specifications; primary image; datasheet/brochure; technical approval</v>
      </c>
    </row>
    <row r="266" spans="1:8" ht="26" x14ac:dyDescent="0.35">
      <c r="A266" s="11">
        <v>127</v>
      </c>
      <c r="B266" s="11" t="s">
        <v>158</v>
      </c>
      <c r="C266" s="11" t="s">
        <v>7</v>
      </c>
      <c r="D266" s="11" t="s">
        <v>160</v>
      </c>
      <c r="E266" s="19" t="str">
        <f>IF(Products!O127&lt;&gt;"","Yes","No")</f>
        <v>Yes</v>
      </c>
      <c r="F266" s="15" t="str">
        <f>Products!AC127</f>
        <v>Content drafted - assets/specs pending</v>
      </c>
      <c r="G266" s="11" t="str">
        <f>Products!G127</f>
        <v>One page per product category</v>
      </c>
      <c r="H266" s="11" t="str">
        <f>IF(Products!AC127="Ready for approval","None",IF(Products!Q127="","Technical specifications; ","")&amp;IF(Products!S127="","primary image; ","")&amp;IF(Products!U127="","datasheet/brochure; ","")&amp;"technical approval")</f>
        <v>Technical specifications; primary image; datasheet/brochure; technical approval</v>
      </c>
    </row>
    <row r="267" spans="1:8" ht="26" x14ac:dyDescent="0.35">
      <c r="A267" s="11">
        <v>128</v>
      </c>
      <c r="B267" s="11" t="s">
        <v>158</v>
      </c>
      <c r="C267" s="11" t="s">
        <v>7</v>
      </c>
      <c r="D267" s="11" t="s">
        <v>161</v>
      </c>
      <c r="E267" s="19" t="str">
        <f>IF(Products!O128&lt;&gt;"","Yes","No")</f>
        <v>Yes</v>
      </c>
      <c r="F267" s="15" t="str">
        <f>Products!AC128</f>
        <v>Content drafted - assets/specs pending</v>
      </c>
      <c r="G267" s="11" t="str">
        <f>Products!G128</f>
        <v>One page per product category</v>
      </c>
      <c r="H267" s="11" t="str">
        <f>IF(Products!AC128="Ready for approval","None",IF(Products!Q128="","Technical specifications; ","")&amp;IF(Products!S128="","primary image; ","")&amp;IF(Products!U128="","datasheet/brochure; ","")&amp;"technical approval")</f>
        <v>Technical specifications; primary image; datasheet/brochure; technical approval</v>
      </c>
    </row>
    <row r="268" spans="1:8" ht="26" x14ac:dyDescent="0.35">
      <c r="A268" s="11">
        <v>129</v>
      </c>
      <c r="B268" s="11" t="s">
        <v>158</v>
      </c>
      <c r="C268" s="11" t="s">
        <v>7</v>
      </c>
      <c r="D268" s="11" t="s">
        <v>162</v>
      </c>
      <c r="E268" s="19" t="str">
        <f>IF(Products!O129&lt;&gt;"","Yes","No")</f>
        <v>Yes</v>
      </c>
      <c r="F268" s="15" t="str">
        <f>Products!AC129</f>
        <v>Content drafted - assets/specs pending</v>
      </c>
      <c r="G268" s="11" t="str">
        <f>Products!G129</f>
        <v>One page per product category</v>
      </c>
      <c r="H268" s="11" t="str">
        <f>IF(Products!AC129="Ready for approval","None",IF(Products!Q129="","Technical specifications; ","")&amp;IF(Products!S129="","primary image; ","")&amp;IF(Products!U129="","datasheet/brochure; ","")&amp;"technical approval")</f>
        <v>Technical specifications; primary image; datasheet/brochure; technical approval</v>
      </c>
    </row>
    <row r="269" spans="1:8" ht="26" x14ac:dyDescent="0.35">
      <c r="A269" s="11">
        <v>130</v>
      </c>
      <c r="B269" s="11" t="s">
        <v>158</v>
      </c>
      <c r="C269" s="11" t="s">
        <v>7</v>
      </c>
      <c r="D269" s="11" t="s">
        <v>163</v>
      </c>
      <c r="E269" s="19" t="str">
        <f>IF(Products!O130&lt;&gt;"","Yes","No")</f>
        <v>Yes</v>
      </c>
      <c r="F269" s="15" t="str">
        <f>Products!AC130</f>
        <v>Content drafted - assets/specs pending</v>
      </c>
      <c r="G269" s="11" t="str">
        <f>Products!G130</f>
        <v>One page per product category</v>
      </c>
      <c r="H269" s="11" t="str">
        <f>IF(Products!AC130="Ready for approval","None",IF(Products!Q130="","Technical specifications; ","")&amp;IF(Products!S130="","primary image; ","")&amp;IF(Products!U130="","datasheet/brochure; ","")&amp;"technical approval")</f>
        <v>Technical specifications; primary image; datasheet/brochure; technical approval</v>
      </c>
    </row>
    <row r="270" spans="1:8" ht="26" x14ac:dyDescent="0.35">
      <c r="A270" s="11">
        <v>131</v>
      </c>
      <c r="B270" s="11" t="s">
        <v>164</v>
      </c>
      <c r="C270" s="11" t="s">
        <v>7</v>
      </c>
      <c r="D270" s="11" t="s">
        <v>165</v>
      </c>
      <c r="E270" s="19" t="str">
        <f>IF(Products!O131&lt;&gt;"","Yes","No")</f>
        <v>Yes</v>
      </c>
      <c r="F270" s="15" t="str">
        <f>Products!AC131</f>
        <v>Content drafted - assets/specs pending</v>
      </c>
      <c r="G270" s="11" t="str">
        <f>Products!G131</f>
        <v>One page per product category</v>
      </c>
      <c r="H270" s="11" t="str">
        <f>IF(Products!AC131="Ready for approval","None",IF(Products!Q131="","Technical specifications; ","")&amp;IF(Products!S131="","primary image; ","")&amp;IF(Products!U131="","datasheet/brochure; ","")&amp;"technical approval")</f>
        <v>Technical specifications; primary image; datasheet/brochure; technical approval</v>
      </c>
    </row>
    <row r="271" spans="1:8" ht="26" x14ac:dyDescent="0.35">
      <c r="A271" s="11">
        <v>132</v>
      </c>
      <c r="B271" s="11" t="s">
        <v>164</v>
      </c>
      <c r="C271" s="11" t="s">
        <v>7</v>
      </c>
      <c r="D271" s="11" t="s">
        <v>166</v>
      </c>
      <c r="E271" s="19" t="str">
        <f>IF(Products!O132&lt;&gt;"","Yes","No")</f>
        <v>Yes</v>
      </c>
      <c r="F271" s="15" t="str">
        <f>Products!AC132</f>
        <v>Content drafted - assets/specs pending</v>
      </c>
      <c r="G271" s="11" t="str">
        <f>Products!G132</f>
        <v>One page per product category</v>
      </c>
      <c r="H271" s="11" t="str">
        <f>IF(Products!AC132="Ready for approval","None",IF(Products!Q132="","Technical specifications; ","")&amp;IF(Products!S132="","primary image; ","")&amp;IF(Products!U132="","datasheet/brochure; ","")&amp;"technical approval")</f>
        <v>Technical specifications; primary image; datasheet/brochure; technical approval</v>
      </c>
    </row>
    <row r="272" spans="1:8" ht="26" x14ac:dyDescent="0.35">
      <c r="A272" s="11">
        <v>133</v>
      </c>
      <c r="B272" s="11" t="s">
        <v>164</v>
      </c>
      <c r="C272" s="11" t="s">
        <v>7</v>
      </c>
      <c r="D272" s="11" t="s">
        <v>167</v>
      </c>
      <c r="E272" s="19" t="str">
        <f>IF(Products!O133&lt;&gt;"","Yes","No")</f>
        <v>Yes</v>
      </c>
      <c r="F272" s="15" t="str">
        <f>Products!AC133</f>
        <v>Content drafted - assets/specs pending</v>
      </c>
      <c r="G272" s="11" t="str">
        <f>Products!G133</f>
        <v>One page per product category</v>
      </c>
      <c r="H272" s="11" t="str">
        <f>IF(Products!AC133="Ready for approval","None",IF(Products!Q133="","Technical specifications; ","")&amp;IF(Products!S133="","primary image; ","")&amp;IF(Products!U133="","datasheet/brochure; ","")&amp;"technical approval")</f>
        <v>Technical specifications; primary image; datasheet/brochure; technical approval</v>
      </c>
    </row>
    <row r="273" spans="1:8" ht="26" x14ac:dyDescent="0.35">
      <c r="A273" s="11">
        <v>134</v>
      </c>
      <c r="B273" s="11" t="s">
        <v>164</v>
      </c>
      <c r="C273" s="11" t="s">
        <v>7</v>
      </c>
      <c r="D273" s="11" t="s">
        <v>168</v>
      </c>
      <c r="E273" s="19" t="str">
        <f>IF(Products!O134&lt;&gt;"","Yes","No")</f>
        <v>Yes</v>
      </c>
      <c r="F273" s="15" t="str">
        <f>Products!AC134</f>
        <v>Content drafted - assets/specs pending</v>
      </c>
      <c r="G273" s="11" t="str">
        <f>Products!G134</f>
        <v>One page per product category</v>
      </c>
      <c r="H273" s="11" t="str">
        <f>IF(Products!AC134="Ready for approval","None",IF(Products!Q134="","Technical specifications; ","")&amp;IF(Products!S134="","primary image; ","")&amp;IF(Products!U134="","datasheet/brochure; ","")&amp;"technical approval")</f>
        <v>Technical specifications; primary image; datasheet/brochure; technical approval</v>
      </c>
    </row>
    <row r="274" spans="1:8" ht="26" x14ac:dyDescent="0.35">
      <c r="A274" s="11">
        <v>135</v>
      </c>
      <c r="B274" s="11" t="s">
        <v>169</v>
      </c>
      <c r="C274" s="11" t="s">
        <v>9</v>
      </c>
      <c r="D274" s="11" t="s">
        <v>170</v>
      </c>
      <c r="E274" s="19" t="str">
        <f>IF(Products!O135&lt;&gt;"","Yes","No")</f>
        <v>Yes</v>
      </c>
      <c r="F274" s="15" t="str">
        <f>Products!AC135</f>
        <v>Content drafted - assets/specs pending</v>
      </c>
      <c r="G274" s="11" t="str">
        <f>Products!G135</f>
        <v>One page per product category</v>
      </c>
      <c r="H274" s="11" t="str">
        <f>IF(Products!AC135="Ready for approval","None",IF(Products!Q135="","Technical specifications; ","")&amp;IF(Products!S135="","primary image; ","")&amp;IF(Products!U135="","datasheet/brochure; ","")&amp;"technical approval")</f>
        <v>Technical specifications; datasheet/brochure; technical approval</v>
      </c>
    </row>
    <row r="275" spans="1:8" ht="26" x14ac:dyDescent="0.35">
      <c r="A275" s="11">
        <v>136</v>
      </c>
      <c r="B275" s="11" t="s">
        <v>171</v>
      </c>
      <c r="C275" s="11" t="s">
        <v>9</v>
      </c>
      <c r="D275" s="11" t="s">
        <v>172</v>
      </c>
      <c r="E275" s="19" t="str">
        <f>IF(Products!O136&lt;&gt;"","Yes","No")</f>
        <v>Yes</v>
      </c>
      <c r="F275" s="15" t="str">
        <f>Products!AC136</f>
        <v>Content drafted - assets/specs pending</v>
      </c>
      <c r="G275" s="11" t="str">
        <f>Products!G136</f>
        <v>One page per product category</v>
      </c>
      <c r="H275" s="11" t="str">
        <f>IF(Products!AC136="Ready for approval","None",IF(Products!Q136="","Technical specifications; ","")&amp;IF(Products!S136="","primary image; ","")&amp;IF(Products!U136="","datasheet/brochure; ","")&amp;"technical approval")</f>
        <v>Technical specifications; datasheet/brochure; technical approval</v>
      </c>
    </row>
    <row r="276" spans="1:8" ht="26" x14ac:dyDescent="0.35">
      <c r="A276" s="11">
        <v>137</v>
      </c>
      <c r="B276" s="11" t="s">
        <v>171</v>
      </c>
      <c r="C276" s="11" t="s">
        <v>9</v>
      </c>
      <c r="D276" s="11" t="s">
        <v>173</v>
      </c>
      <c r="E276" s="19" t="str">
        <f>IF(Products!O137&lt;&gt;"","Yes","No")</f>
        <v>Yes</v>
      </c>
      <c r="F276" s="15" t="str">
        <f>Products!AC137</f>
        <v>Content drafted - assets/specs pending</v>
      </c>
      <c r="G276" s="11" t="str">
        <f>Products!G137</f>
        <v>One page per product category</v>
      </c>
      <c r="H276" s="11" t="str">
        <f>IF(Products!AC137="Ready for approval","None",IF(Products!Q137="","Technical specifications; ","")&amp;IF(Products!S137="","primary image; ","")&amp;IF(Products!U137="","datasheet/brochure; ","")&amp;"technical approval")</f>
        <v>Technical specifications; datasheet/brochure; technical approval</v>
      </c>
    </row>
    <row r="277" spans="1:8" ht="26" x14ac:dyDescent="0.35">
      <c r="A277" s="11">
        <v>138</v>
      </c>
      <c r="B277" s="11" t="s">
        <v>174</v>
      </c>
      <c r="C277" s="11" t="s">
        <v>9</v>
      </c>
      <c r="D277" s="11" t="s">
        <v>175</v>
      </c>
      <c r="E277" s="19" t="str">
        <f>IF(Products!O138&lt;&gt;"","Yes","No")</f>
        <v>Yes</v>
      </c>
      <c r="F277" s="15" t="str">
        <f>Products!AC138</f>
        <v>Content drafted - assets/specs pending</v>
      </c>
      <c r="G277" s="11" t="str">
        <f>Products!G138</f>
        <v>One page per product category</v>
      </c>
      <c r="H277" s="11" t="str">
        <f>IF(Products!AC138="Ready for approval","None",IF(Products!Q138="","Technical specifications; ","")&amp;IF(Products!S138="","primary image; ","")&amp;IF(Products!U138="","datasheet/brochure; ","")&amp;"technical approval")</f>
        <v>Technical specifications; datasheet/brochure; technical approval</v>
      </c>
    </row>
    <row r="278" spans="1:8" ht="26" x14ac:dyDescent="0.35">
      <c r="A278" s="11">
        <v>139</v>
      </c>
      <c r="B278" s="11" t="s">
        <v>146</v>
      </c>
      <c r="C278" s="11" t="s">
        <v>9</v>
      </c>
      <c r="D278" s="11" t="s">
        <v>176</v>
      </c>
      <c r="E278" s="19" t="str">
        <f>IF(Products!O139&lt;&gt;"","Yes","No")</f>
        <v>Yes</v>
      </c>
      <c r="F278" s="15" t="str">
        <f>Products!AC139</f>
        <v>Content drafted - assets/specs pending</v>
      </c>
      <c r="G278" s="11" t="str">
        <f>Products!G139</f>
        <v>One page per product category</v>
      </c>
      <c r="H278" s="11" t="str">
        <f>IF(Products!AC139="Ready for approval","None",IF(Products!Q139="","Technical specifications; ","")&amp;IF(Products!S139="","primary image; ","")&amp;IF(Products!U139="","datasheet/brochure; ","")&amp;"technical approval")</f>
        <v>Technical specifications; datasheet/brochure; technical approval</v>
      </c>
    </row>
    <row r="279" spans="1:8" ht="26" x14ac:dyDescent="0.35">
      <c r="A279" s="11">
        <v>140</v>
      </c>
      <c r="B279" s="11" t="s">
        <v>177</v>
      </c>
      <c r="C279" s="11" t="s">
        <v>9</v>
      </c>
      <c r="D279" s="11" t="s">
        <v>178</v>
      </c>
      <c r="E279" s="19" t="str">
        <f>IF(Products!O140&lt;&gt;"","Yes","No")</f>
        <v>Yes</v>
      </c>
      <c r="F279" s="15" t="str">
        <f>Products!AC140</f>
        <v>Content drafted - assets/specs pending</v>
      </c>
      <c r="G279" s="11" t="str">
        <f>Products!G140</f>
        <v>One page per product category</v>
      </c>
      <c r="H279" s="11" t="str">
        <f>IF(Products!AC140="Ready for approval","None",IF(Products!Q140="","Technical specifications; ","")&amp;IF(Products!S140="","primary image; ","")&amp;IF(Products!U140="","datasheet/brochure; ","")&amp;"technical approval")</f>
        <v>Technical specifications; datasheet/brochure; technical approval</v>
      </c>
    </row>
    <row r="280" spans="1:8" ht="26" x14ac:dyDescent="0.35">
      <c r="A280" s="11">
        <v>141</v>
      </c>
      <c r="B280" s="11" t="s">
        <v>177</v>
      </c>
      <c r="C280" s="11" t="s">
        <v>9</v>
      </c>
      <c r="D280" s="11" t="s">
        <v>179</v>
      </c>
      <c r="E280" s="19" t="str">
        <f>IF(Products!O141&lt;&gt;"","Yes","No")</f>
        <v>Yes</v>
      </c>
      <c r="F280" s="15" t="str">
        <f>Products!AC141</f>
        <v>Content drafted - assets/specs pending</v>
      </c>
      <c r="G280" s="11" t="str">
        <f>Products!G141</f>
        <v>One page per product category</v>
      </c>
      <c r="H280" s="11" t="str">
        <f>IF(Products!AC141="Ready for approval","None",IF(Products!Q141="","Technical specifications; ","")&amp;IF(Products!S141="","primary image; ","")&amp;IF(Products!U141="","datasheet/brochure; ","")&amp;"technical approval")</f>
        <v>Technical specifications; datasheet/brochure; technical approval</v>
      </c>
    </row>
    <row r="281" spans="1:8" ht="26" x14ac:dyDescent="0.35">
      <c r="A281" s="11">
        <v>142</v>
      </c>
      <c r="B281" s="11" t="s">
        <v>180</v>
      </c>
      <c r="C281" s="11" t="s">
        <v>11</v>
      </c>
      <c r="D281" s="11" t="s">
        <v>181</v>
      </c>
      <c r="E281" s="19" t="str">
        <f>IF(Products!O142&lt;&gt;"","Yes","No")</f>
        <v>Yes</v>
      </c>
      <c r="F281" s="15" t="str">
        <f>Products!AC142</f>
        <v>Content drafted - assets/specs pending</v>
      </c>
      <c r="G281" s="11" t="str">
        <f>Products!G142</f>
        <v>One page per product category</v>
      </c>
      <c r="H281" s="11" t="str">
        <f>IF(Products!AC142="Ready for approval","None",IF(Products!Q142="","Technical specifications; ","")&amp;IF(Products!S142="","primary image; ","")&amp;IF(Products!U142="","datasheet/brochure; ","")&amp;"technical approval")</f>
        <v>Technical specifications; primary image; datasheet/brochure; technical approval</v>
      </c>
    </row>
    <row r="282" spans="1:8" ht="26" x14ac:dyDescent="0.35">
      <c r="A282" s="11">
        <v>143</v>
      </c>
      <c r="B282" s="11" t="s">
        <v>180</v>
      </c>
      <c r="C282" s="11" t="s">
        <v>11</v>
      </c>
      <c r="D282" s="11" t="s">
        <v>182</v>
      </c>
      <c r="E282" s="19" t="str">
        <f>IF(Products!O143&lt;&gt;"","Yes","No")</f>
        <v>Yes</v>
      </c>
      <c r="F282" s="15" t="str">
        <f>Products!AC143</f>
        <v>Content drafted - assets/specs pending</v>
      </c>
      <c r="G282" s="11" t="str">
        <f>Products!G143</f>
        <v>One page per product category</v>
      </c>
      <c r="H282" s="11" t="str">
        <f>IF(Products!AC143="Ready for approval","None",IF(Products!Q143="","Technical specifications; ","")&amp;IF(Products!S143="","primary image; ","")&amp;IF(Products!U143="","datasheet/brochure; ","")&amp;"technical approval")</f>
        <v>Technical specifications; primary image; datasheet/brochure; technical approval</v>
      </c>
    </row>
    <row r="283" spans="1:8" ht="26" x14ac:dyDescent="0.35">
      <c r="A283" s="11">
        <v>144</v>
      </c>
      <c r="B283" s="11" t="s">
        <v>180</v>
      </c>
      <c r="C283" s="11" t="s">
        <v>11</v>
      </c>
      <c r="D283" s="11" t="s">
        <v>183</v>
      </c>
      <c r="E283" s="19" t="str">
        <f>IF(Products!O144&lt;&gt;"","Yes","No")</f>
        <v>Yes</v>
      </c>
      <c r="F283" s="15" t="str">
        <f>Products!AC144</f>
        <v>Content drafted - assets/specs pending</v>
      </c>
      <c r="G283" s="11" t="str">
        <f>Products!G144</f>
        <v>One page per product category</v>
      </c>
      <c r="H283" s="11" t="str">
        <f>IF(Products!AC144="Ready for approval","None",IF(Products!Q144="","Technical specifications; ","")&amp;IF(Products!S144="","primary image; ","")&amp;IF(Products!U144="","datasheet/brochure; ","")&amp;"technical approval")</f>
        <v>Technical specifications; primary image; datasheet/brochure; technical approval</v>
      </c>
    </row>
    <row r="284" spans="1:8" ht="26" x14ac:dyDescent="0.35">
      <c r="A284" s="11">
        <v>145</v>
      </c>
      <c r="B284" s="11" t="s">
        <v>180</v>
      </c>
      <c r="C284" s="11" t="s">
        <v>11</v>
      </c>
      <c r="D284" s="11" t="s">
        <v>184</v>
      </c>
      <c r="E284" s="19" t="str">
        <f>IF(Products!O145&lt;&gt;"","Yes","No")</f>
        <v>Yes</v>
      </c>
      <c r="F284" s="15" t="str">
        <f>Products!AC145</f>
        <v>Content drafted - assets/specs pending</v>
      </c>
      <c r="G284" s="11" t="str">
        <f>Products!G145</f>
        <v>One page per product category</v>
      </c>
      <c r="H284" s="11" t="str">
        <f>IF(Products!AC145="Ready for approval","None",IF(Products!Q145="","Technical specifications; ","")&amp;IF(Products!S145="","primary image; ","")&amp;IF(Products!U145="","datasheet/brochure; ","")&amp;"technical approval")</f>
        <v>Technical specifications; primary image; datasheet/brochure; technical approval</v>
      </c>
    </row>
    <row r="285" spans="1:8" ht="26" x14ac:dyDescent="0.35">
      <c r="A285" s="11">
        <v>146</v>
      </c>
      <c r="B285" s="11" t="s">
        <v>180</v>
      </c>
      <c r="C285" s="11" t="s">
        <v>11</v>
      </c>
      <c r="D285" s="11" t="s">
        <v>185</v>
      </c>
      <c r="E285" s="19" t="str">
        <f>IF(Products!O146&lt;&gt;"","Yes","No")</f>
        <v>Yes</v>
      </c>
      <c r="F285" s="15" t="str">
        <f>Products!AC146</f>
        <v>Content drafted - assets/specs pending</v>
      </c>
      <c r="G285" s="11" t="str">
        <f>Products!G146</f>
        <v>One page per product category</v>
      </c>
      <c r="H285" s="11" t="str">
        <f>IF(Products!AC146="Ready for approval","None",IF(Products!Q146="","Technical specifications; ","")&amp;IF(Products!S146="","primary image; ","")&amp;IF(Products!U146="","datasheet/brochure; ","")&amp;"technical approval")</f>
        <v>Technical specifications; primary image; datasheet/brochure; technical approval</v>
      </c>
    </row>
    <row r="286" spans="1:8" ht="26" x14ac:dyDescent="0.35">
      <c r="A286" s="11">
        <v>147</v>
      </c>
      <c r="B286" s="11" t="s">
        <v>180</v>
      </c>
      <c r="C286" s="11" t="s">
        <v>11</v>
      </c>
      <c r="D286" s="11" t="s">
        <v>186</v>
      </c>
      <c r="E286" s="19" t="str">
        <f>IF(Products!O147&lt;&gt;"","Yes","No")</f>
        <v>Yes</v>
      </c>
      <c r="F286" s="15" t="str">
        <f>Products!AC147</f>
        <v>Content drafted - assets/specs pending</v>
      </c>
      <c r="G286" s="11" t="str">
        <f>Products!G147</f>
        <v>One page per product category</v>
      </c>
      <c r="H286" s="11" t="str">
        <f>IF(Products!AC147="Ready for approval","None",IF(Products!Q147="","Technical specifications; ","")&amp;IF(Products!S147="","primary image; ","")&amp;IF(Products!U147="","datasheet/brochure; ","")&amp;"technical approval")</f>
        <v>Technical specifications; primary image; datasheet/brochure; technical approval</v>
      </c>
    </row>
    <row r="287" spans="1:8" ht="26" x14ac:dyDescent="0.35">
      <c r="A287" s="11">
        <v>148</v>
      </c>
      <c r="B287" s="11" t="s">
        <v>180</v>
      </c>
      <c r="C287" s="11" t="s">
        <v>11</v>
      </c>
      <c r="D287" s="11" t="s">
        <v>187</v>
      </c>
      <c r="E287" s="19" t="str">
        <f>IF(Products!O148&lt;&gt;"","Yes","No")</f>
        <v>Yes</v>
      </c>
      <c r="F287" s="15" t="str">
        <f>Products!AC148</f>
        <v>Content drafted - assets/specs pending</v>
      </c>
      <c r="G287" s="11" t="str">
        <f>Products!G148</f>
        <v>One page per product category</v>
      </c>
      <c r="H287" s="11" t="str">
        <f>IF(Products!AC148="Ready for approval","None",IF(Products!Q148="","Technical specifications; ","")&amp;IF(Products!S148="","primary image; ","")&amp;IF(Products!U148="","datasheet/brochure; ","")&amp;"technical approval")</f>
        <v>Technical specifications; primary image; datasheet/brochure; technical approval</v>
      </c>
    </row>
    <row r="288" spans="1:8" ht="26" x14ac:dyDescent="0.35">
      <c r="A288" s="11">
        <v>149</v>
      </c>
      <c r="B288" s="11" t="s">
        <v>180</v>
      </c>
      <c r="C288" s="11" t="s">
        <v>11</v>
      </c>
      <c r="D288" s="11" t="s">
        <v>188</v>
      </c>
      <c r="E288" s="19" t="str">
        <f>IF(Products!O149&lt;&gt;"","Yes","No")</f>
        <v>Yes</v>
      </c>
      <c r="F288" s="15" t="str">
        <f>Products!AC149</f>
        <v>Content drafted - assets/specs pending</v>
      </c>
      <c r="G288" s="11" t="str">
        <f>Products!G149</f>
        <v>One page per product category</v>
      </c>
      <c r="H288" s="11" t="str">
        <f>IF(Products!AC149="Ready for approval","None",IF(Products!Q149="","Technical specifications; ","")&amp;IF(Products!S149="","primary image; ","")&amp;IF(Products!U149="","datasheet/brochure; ","")&amp;"technical approval")</f>
        <v>Technical specifications; primary image; datasheet/brochure; technical approval</v>
      </c>
    </row>
    <row r="289" spans="1:8" ht="26" x14ac:dyDescent="0.35">
      <c r="A289" s="11">
        <v>150</v>
      </c>
      <c r="B289" s="11" t="s">
        <v>189</v>
      </c>
      <c r="C289" s="11" t="s">
        <v>11</v>
      </c>
      <c r="D289" s="11" t="s">
        <v>190</v>
      </c>
      <c r="E289" s="19" t="str">
        <f>IF(Products!O150&lt;&gt;"","Yes","No")</f>
        <v>Yes</v>
      </c>
      <c r="F289" s="15" t="str">
        <f>Products!AC150</f>
        <v>Content drafted - assets/specs pending</v>
      </c>
      <c r="G289" s="11" t="str">
        <f>Products!G150</f>
        <v>One page per product category</v>
      </c>
      <c r="H289" s="11" t="str">
        <f>IF(Products!AC150="Ready for approval","None",IF(Products!Q150="","Technical specifications; ","")&amp;IF(Products!S150="","primary image; ","")&amp;IF(Products!U150="","datasheet/brochure; ","")&amp;"technical approval")</f>
        <v>Technical specifications; primary image; datasheet/brochure; technical approval</v>
      </c>
    </row>
    <row r="290" spans="1:8" ht="26" x14ac:dyDescent="0.35">
      <c r="A290" s="11">
        <v>151</v>
      </c>
      <c r="B290" s="11" t="s">
        <v>189</v>
      </c>
      <c r="C290" s="11" t="s">
        <v>11</v>
      </c>
      <c r="D290" s="11" t="s">
        <v>191</v>
      </c>
      <c r="E290" s="19" t="str">
        <f>IF(Products!O151&lt;&gt;"","Yes","No")</f>
        <v>Yes</v>
      </c>
      <c r="F290" s="15" t="str">
        <f>Products!AC151</f>
        <v>Content drafted - assets/specs pending</v>
      </c>
      <c r="G290" s="11" t="str">
        <f>Products!G151</f>
        <v>One page per product category</v>
      </c>
      <c r="H290" s="11" t="str">
        <f>IF(Products!AC151="Ready for approval","None",IF(Products!Q151="","Technical specifications; ","")&amp;IF(Products!S151="","primary image; ","")&amp;IF(Products!U151="","datasheet/brochure; ","")&amp;"technical approval")</f>
        <v>Technical specifications; primary image; datasheet/brochure; technical approval</v>
      </c>
    </row>
    <row r="291" spans="1:8" ht="26" x14ac:dyDescent="0.35">
      <c r="A291" s="11">
        <v>152</v>
      </c>
      <c r="B291" s="11" t="s">
        <v>189</v>
      </c>
      <c r="C291" s="11" t="s">
        <v>11</v>
      </c>
      <c r="D291" s="11" t="s">
        <v>192</v>
      </c>
      <c r="E291" s="19" t="str">
        <f>IF(Products!O152&lt;&gt;"","Yes","No")</f>
        <v>Yes</v>
      </c>
      <c r="F291" s="15" t="str">
        <f>Products!AC152</f>
        <v>Content drafted - assets/specs pending</v>
      </c>
      <c r="G291" s="11" t="str">
        <f>Products!G152</f>
        <v>One page per product category</v>
      </c>
      <c r="H291" s="11" t="str">
        <f>IF(Products!AC152="Ready for approval","None",IF(Products!Q152="","Technical specifications; ","")&amp;IF(Products!S152="","primary image; ","")&amp;IF(Products!U152="","datasheet/brochure; ","")&amp;"technical approval")</f>
        <v>Technical specifications; primary image; datasheet/brochure; technical approval</v>
      </c>
    </row>
    <row r="292" spans="1:8" ht="26" x14ac:dyDescent="0.35">
      <c r="A292" s="11">
        <v>153</v>
      </c>
      <c r="B292" s="11" t="s">
        <v>189</v>
      </c>
      <c r="C292" s="11" t="s">
        <v>11</v>
      </c>
      <c r="D292" s="11" t="s">
        <v>193</v>
      </c>
      <c r="E292" s="19" t="str">
        <f>IF(Products!O153&lt;&gt;"","Yes","No")</f>
        <v>Yes</v>
      </c>
      <c r="F292" s="15" t="str">
        <f>Products!AC153</f>
        <v>Content drafted - assets/specs pending</v>
      </c>
      <c r="G292" s="11" t="str">
        <f>Products!G153</f>
        <v>One page per product category</v>
      </c>
      <c r="H292" s="11" t="str">
        <f>IF(Products!AC153="Ready for approval","None",IF(Products!Q153="","Technical specifications; ","")&amp;IF(Products!S153="","primary image; ","")&amp;IF(Products!U153="","datasheet/brochure; ","")&amp;"technical approval")</f>
        <v>Technical specifications; primary image; datasheet/brochure; technical approval</v>
      </c>
    </row>
    <row r="293" spans="1:8" ht="26" x14ac:dyDescent="0.35">
      <c r="A293" s="11">
        <v>154</v>
      </c>
      <c r="B293" s="11" t="s">
        <v>189</v>
      </c>
      <c r="C293" s="11" t="s">
        <v>11</v>
      </c>
      <c r="D293" s="11" t="s">
        <v>194</v>
      </c>
      <c r="E293" s="19" t="str">
        <f>IF(Products!O154&lt;&gt;"","Yes","No")</f>
        <v>Yes</v>
      </c>
      <c r="F293" s="15" t="str">
        <f>Products!AC154</f>
        <v>Content drafted - assets/specs pending</v>
      </c>
      <c r="G293" s="11" t="str">
        <f>Products!G154</f>
        <v>One page per product category</v>
      </c>
      <c r="H293" s="11" t="str">
        <f>IF(Products!AC154="Ready for approval","None",IF(Products!Q154="","Technical specifications; ","")&amp;IF(Products!S154="","primary image; ","")&amp;IF(Products!U154="","datasheet/brochure; ","")&amp;"technical approval")</f>
        <v>Technical specifications; primary image; datasheet/brochure; technical approval</v>
      </c>
    </row>
    <row r="294" spans="1:8" ht="26" x14ac:dyDescent="0.35">
      <c r="A294" s="11">
        <v>155</v>
      </c>
      <c r="B294" s="11" t="s">
        <v>189</v>
      </c>
      <c r="C294" s="11" t="s">
        <v>11</v>
      </c>
      <c r="D294" s="11" t="s">
        <v>195</v>
      </c>
      <c r="E294" s="19" t="str">
        <f>IF(Products!O155&lt;&gt;"","Yes","No")</f>
        <v>Yes</v>
      </c>
      <c r="F294" s="15" t="str">
        <f>Products!AC155</f>
        <v>Content drafted - assets/specs pending</v>
      </c>
      <c r="G294" s="11" t="str">
        <f>Products!G155</f>
        <v>One page per product category</v>
      </c>
      <c r="H294" s="11" t="str">
        <f>IF(Products!AC155="Ready for approval","None",IF(Products!Q155="","Technical specifications; ","")&amp;IF(Products!S155="","primary image; ","")&amp;IF(Products!U155="","datasheet/brochure; ","")&amp;"technical approval")</f>
        <v>Technical specifications; primary image; datasheet/brochure; technical approval</v>
      </c>
    </row>
    <row r="295" spans="1:8" ht="26" x14ac:dyDescent="0.35">
      <c r="A295" s="11">
        <v>156</v>
      </c>
      <c r="B295" s="11" t="s">
        <v>189</v>
      </c>
      <c r="C295" s="11" t="s">
        <v>11</v>
      </c>
      <c r="D295" s="11" t="s">
        <v>196</v>
      </c>
      <c r="E295" s="19" t="str">
        <f>IF(Products!O156&lt;&gt;"","Yes","No")</f>
        <v>Yes</v>
      </c>
      <c r="F295" s="15" t="str">
        <f>Products!AC156</f>
        <v>Content drafted - assets/specs pending</v>
      </c>
      <c r="G295" s="11" t="str">
        <f>Products!G156</f>
        <v>One page per product category</v>
      </c>
      <c r="H295" s="11" t="str">
        <f>IF(Products!AC156="Ready for approval","None",IF(Products!Q156="","Technical specifications; ","")&amp;IF(Products!S156="","primary image; ","")&amp;IF(Products!U156="","datasheet/brochure; ","")&amp;"technical approval")</f>
        <v>Technical specifications; primary image; datasheet/brochure; technical approval</v>
      </c>
    </row>
    <row r="296" spans="1:8" ht="26" x14ac:dyDescent="0.35">
      <c r="A296" s="11">
        <v>157</v>
      </c>
      <c r="B296" s="11" t="s">
        <v>189</v>
      </c>
      <c r="C296" s="11" t="s">
        <v>11</v>
      </c>
      <c r="D296" s="11" t="s">
        <v>197</v>
      </c>
      <c r="E296" s="19" t="str">
        <f>IF(Products!O157&lt;&gt;"","Yes","No")</f>
        <v>Yes</v>
      </c>
      <c r="F296" s="15" t="str">
        <f>Products!AC157</f>
        <v>Content drafted - assets/specs pending</v>
      </c>
      <c r="G296" s="11" t="str">
        <f>Products!G157</f>
        <v>One page per product category</v>
      </c>
      <c r="H296" s="11" t="str">
        <f>IF(Products!AC157="Ready for approval","None",IF(Products!Q157="","Technical specifications; ","")&amp;IF(Products!S157="","primary image; ","")&amp;IF(Products!U157="","datasheet/brochure; ","")&amp;"technical approval")</f>
        <v>Technical specifications; primary image; datasheet/brochure; technical approval</v>
      </c>
    </row>
    <row r="297" spans="1:8" ht="26" x14ac:dyDescent="0.35">
      <c r="A297" s="11">
        <v>158</v>
      </c>
      <c r="B297" s="11" t="s">
        <v>189</v>
      </c>
      <c r="C297" s="11" t="s">
        <v>11</v>
      </c>
      <c r="D297" s="11" t="s">
        <v>198</v>
      </c>
      <c r="E297" s="19" t="str">
        <f>IF(Products!O158&lt;&gt;"","Yes","No")</f>
        <v>Yes</v>
      </c>
      <c r="F297" s="15" t="str">
        <f>Products!AC158</f>
        <v>Content drafted - assets/specs pending</v>
      </c>
      <c r="G297" s="11" t="str">
        <f>Products!G158</f>
        <v>One page per product category</v>
      </c>
      <c r="H297" s="11" t="str">
        <f>IF(Products!AC158="Ready for approval","None",IF(Products!Q158="","Technical specifications; ","")&amp;IF(Products!S158="","primary image; ","")&amp;IF(Products!U158="","datasheet/brochure; ","")&amp;"technical approval")</f>
        <v>Technical specifications; primary image; datasheet/brochure; technical approval</v>
      </c>
    </row>
    <row r="298" spans="1:8" ht="26" x14ac:dyDescent="0.35">
      <c r="A298" s="11">
        <v>159</v>
      </c>
      <c r="B298" s="11" t="s">
        <v>199</v>
      </c>
      <c r="C298" s="11" t="s">
        <v>11</v>
      </c>
      <c r="D298" s="11" t="s">
        <v>200</v>
      </c>
      <c r="E298" s="19" t="str">
        <f>IF(Products!O159&lt;&gt;"","Yes","No")</f>
        <v>Yes</v>
      </c>
      <c r="F298" s="15" t="str">
        <f>Products!AC159</f>
        <v>Content drafted - assets/specs pending</v>
      </c>
      <c r="G298" s="11" t="str">
        <f>Products!G159</f>
        <v>One page per product category</v>
      </c>
      <c r="H298" s="11" t="str">
        <f>IF(Products!AC159="Ready for approval","None",IF(Products!Q159="","Technical specifications; ","")&amp;IF(Products!S159="","primary image; ","")&amp;IF(Products!U159="","datasheet/brochure; ","")&amp;"technical approval")</f>
        <v>Technical specifications; primary image; datasheet/brochure; technical approval</v>
      </c>
    </row>
    <row r="299" spans="1:8" ht="26" x14ac:dyDescent="0.35">
      <c r="A299" s="11">
        <v>160</v>
      </c>
      <c r="B299" s="11" t="s">
        <v>199</v>
      </c>
      <c r="C299" s="11" t="s">
        <v>11</v>
      </c>
      <c r="D299" s="11" t="s">
        <v>201</v>
      </c>
      <c r="E299" s="19" t="str">
        <f>IF(Products!O160&lt;&gt;"","Yes","No")</f>
        <v>Yes</v>
      </c>
      <c r="F299" s="15" t="str">
        <f>Products!AC160</f>
        <v>Content drafted - assets/specs pending</v>
      </c>
      <c r="G299" s="11" t="str">
        <f>Products!G160</f>
        <v>One page per product category</v>
      </c>
      <c r="H299" s="11" t="str">
        <f>IF(Products!AC160="Ready for approval","None",IF(Products!Q160="","Technical specifications; ","")&amp;IF(Products!S160="","primary image; ","")&amp;IF(Products!U160="","datasheet/brochure; ","")&amp;"technical approval")</f>
        <v>Technical specifications; primary image; datasheet/brochure; technical approval</v>
      </c>
    </row>
    <row r="300" spans="1:8" ht="26" x14ac:dyDescent="0.35">
      <c r="A300" s="11">
        <v>161</v>
      </c>
      <c r="B300" s="11" t="s">
        <v>202</v>
      </c>
      <c r="C300" s="11" t="s">
        <v>11</v>
      </c>
      <c r="D300" s="11" t="s">
        <v>203</v>
      </c>
      <c r="E300" s="19" t="str">
        <f>IF(Products!O161&lt;&gt;"","Yes","No")</f>
        <v>Yes</v>
      </c>
      <c r="F300" s="15" t="str">
        <f>Products!AC161</f>
        <v>Content drafted - assets/specs pending</v>
      </c>
      <c r="G300" s="11" t="str">
        <f>Products!G161</f>
        <v>One page per product category</v>
      </c>
      <c r="H300" s="11" t="str">
        <f>IF(Products!AC161="Ready for approval","None",IF(Products!Q161="","Technical specifications; ","")&amp;IF(Products!S161="","primary image; ","")&amp;IF(Products!U161="","datasheet/brochure; ","")&amp;"technical approval")</f>
        <v>Technical specifications; primary image; datasheet/brochure; technical approval</v>
      </c>
    </row>
    <row r="301" spans="1:8" ht="26" x14ac:dyDescent="0.35">
      <c r="A301" s="11">
        <v>162</v>
      </c>
      <c r="B301" s="11" t="s">
        <v>202</v>
      </c>
      <c r="C301" s="11" t="s">
        <v>11</v>
      </c>
      <c r="D301" s="11" t="s">
        <v>204</v>
      </c>
      <c r="E301" s="19" t="str">
        <f>IF(Products!O162&lt;&gt;"","Yes","No")</f>
        <v>Yes</v>
      </c>
      <c r="F301" s="15" t="str">
        <f>Products!AC162</f>
        <v>Content drafted - assets/specs pending</v>
      </c>
      <c r="G301" s="11" t="str">
        <f>Products!G162</f>
        <v>One page per product category</v>
      </c>
      <c r="H301" s="11" t="str">
        <f>IF(Products!AC162="Ready for approval","None",IF(Products!Q162="","Technical specifications; ","")&amp;IF(Products!S162="","primary image; ","")&amp;IF(Products!U162="","datasheet/brochure; ","")&amp;"technical approval")</f>
        <v>Technical specifications; primary image; datasheet/brochure; technical approval</v>
      </c>
    </row>
    <row r="302" spans="1:8" ht="26" x14ac:dyDescent="0.35">
      <c r="A302" s="11">
        <v>163</v>
      </c>
      <c r="B302" s="11" t="s">
        <v>202</v>
      </c>
      <c r="C302" s="11" t="s">
        <v>11</v>
      </c>
      <c r="D302" s="11" t="s">
        <v>205</v>
      </c>
      <c r="E302" s="19" t="str">
        <f>IF(Products!O163&lt;&gt;"","Yes","No")</f>
        <v>Yes</v>
      </c>
      <c r="F302" s="15" t="str">
        <f>Products!AC163</f>
        <v>Content drafted - assets/specs pending</v>
      </c>
      <c r="G302" s="11" t="str">
        <f>Products!G163</f>
        <v>One page per product category</v>
      </c>
      <c r="H302" s="11" t="str">
        <f>IF(Products!AC163="Ready for approval","None",IF(Products!Q163="","Technical specifications; ","")&amp;IF(Products!S163="","primary image; ","")&amp;IF(Products!U163="","datasheet/brochure; ","")&amp;"technical approval")</f>
        <v>Technical specifications; primary image; datasheet/brochure; technical approval</v>
      </c>
    </row>
    <row r="303" spans="1:8" ht="26" x14ac:dyDescent="0.35">
      <c r="A303" s="11">
        <v>164</v>
      </c>
      <c r="B303" s="11" t="s">
        <v>206</v>
      </c>
      <c r="C303" s="11" t="s">
        <v>11</v>
      </c>
      <c r="D303" s="11" t="s">
        <v>207</v>
      </c>
      <c r="E303" s="19" t="str">
        <f>IF(Products!O164&lt;&gt;"","Yes","No")</f>
        <v>Yes</v>
      </c>
      <c r="F303" s="15" t="str">
        <f>Products!AC164</f>
        <v>Content drafted - assets/specs pending</v>
      </c>
      <c r="G303" s="11" t="str">
        <f>Products!G164</f>
        <v>One page per product category</v>
      </c>
      <c r="H303" s="11" t="str">
        <f>IF(Products!AC164="Ready for approval","None",IF(Products!Q164="","Technical specifications; ","")&amp;IF(Products!S164="","primary image; ","")&amp;IF(Products!U164="","datasheet/brochure; ","")&amp;"technical approval")</f>
        <v>Technical specifications; primary image; datasheet/brochure; technical approval</v>
      </c>
    </row>
    <row r="304" spans="1:8" ht="26" x14ac:dyDescent="0.35">
      <c r="A304" s="11">
        <v>165</v>
      </c>
      <c r="B304" s="11" t="s">
        <v>206</v>
      </c>
      <c r="C304" s="11" t="s">
        <v>11</v>
      </c>
      <c r="D304" s="11" t="s">
        <v>208</v>
      </c>
      <c r="E304" s="19" t="str">
        <f>IF(Products!O165&lt;&gt;"","Yes","No")</f>
        <v>Yes</v>
      </c>
      <c r="F304" s="15" t="str">
        <f>Products!AC165</f>
        <v>Content drafted - assets/specs pending</v>
      </c>
      <c r="G304" s="11" t="str">
        <f>Products!G165</f>
        <v>One page per product category</v>
      </c>
      <c r="H304" s="11" t="str">
        <f>IF(Products!AC165="Ready for approval","None",IF(Products!Q165="","Technical specifications; ","")&amp;IF(Products!S165="","primary image; ","")&amp;IF(Products!U165="","datasheet/brochure; ","")&amp;"technical approval")</f>
        <v>Technical specifications; primary image; datasheet/brochure; technical approval</v>
      </c>
    </row>
    <row r="305" spans="1:8" ht="26" x14ac:dyDescent="0.35">
      <c r="A305" s="11">
        <v>166</v>
      </c>
      <c r="B305" s="11" t="s">
        <v>206</v>
      </c>
      <c r="C305" s="11" t="s">
        <v>11</v>
      </c>
      <c r="D305" s="11" t="s">
        <v>209</v>
      </c>
      <c r="E305" s="19" t="str">
        <f>IF(Products!O166&lt;&gt;"","Yes","No")</f>
        <v>Yes</v>
      </c>
      <c r="F305" s="15" t="str">
        <f>Products!AC166</f>
        <v>Content drafted - assets/specs pending</v>
      </c>
      <c r="G305" s="11" t="str">
        <f>Products!G166</f>
        <v>One page per product category</v>
      </c>
      <c r="H305" s="11" t="str">
        <f>IF(Products!AC166="Ready for approval","None",IF(Products!Q166="","Technical specifications; ","")&amp;IF(Products!S166="","primary image; ","")&amp;IF(Products!U166="","datasheet/brochure; ","")&amp;"technical approval")</f>
        <v>Technical specifications; primary image; datasheet/brochure; technical approval</v>
      </c>
    </row>
    <row r="306" spans="1:8" ht="26" x14ac:dyDescent="0.35">
      <c r="A306" s="11">
        <v>167</v>
      </c>
      <c r="B306" s="11" t="s">
        <v>210</v>
      </c>
      <c r="C306" s="11" t="s">
        <v>11</v>
      </c>
      <c r="D306" s="11" t="s">
        <v>211</v>
      </c>
      <c r="E306" s="19" t="str">
        <f>IF(Products!O167&lt;&gt;"","Yes","No")</f>
        <v>Yes</v>
      </c>
      <c r="F306" s="15" t="str">
        <f>Products!AC167</f>
        <v>Content drafted - assets/specs pending</v>
      </c>
      <c r="G306" s="11" t="str">
        <f>Products!G167</f>
        <v>One page per product category</v>
      </c>
      <c r="H306" s="11" t="str">
        <f>IF(Products!AC167="Ready for approval","None",IF(Products!Q167="","Technical specifications; ","")&amp;IF(Products!S167="","primary image; ","")&amp;IF(Products!U167="","datasheet/brochure; ","")&amp;"technical approval")</f>
        <v>Technical specifications; primary image; datasheet/brochure; technical approval</v>
      </c>
    </row>
    <row r="307" spans="1:8" ht="26" x14ac:dyDescent="0.35">
      <c r="A307" s="11">
        <v>168</v>
      </c>
      <c r="B307" s="11" t="s">
        <v>210</v>
      </c>
      <c r="C307" s="11" t="s">
        <v>11</v>
      </c>
      <c r="D307" s="11" t="s">
        <v>212</v>
      </c>
      <c r="E307" s="19" t="str">
        <f>IF(Products!O168&lt;&gt;"","Yes","No")</f>
        <v>Yes</v>
      </c>
      <c r="F307" s="15" t="str">
        <f>Products!AC168</f>
        <v>Content drafted - assets/specs pending</v>
      </c>
      <c r="G307" s="11" t="str">
        <f>Products!G168</f>
        <v>One page per product category</v>
      </c>
      <c r="H307" s="11" t="str">
        <f>IF(Products!AC168="Ready for approval","None",IF(Products!Q168="","Technical specifications; ","")&amp;IF(Products!S168="","primary image; ","")&amp;IF(Products!U168="","datasheet/brochure; ","")&amp;"technical approval")</f>
        <v>Technical specifications; primary image; datasheet/brochure; technical approval</v>
      </c>
    </row>
    <row r="308" spans="1:8" ht="26" x14ac:dyDescent="0.35">
      <c r="A308" s="11">
        <v>169</v>
      </c>
      <c r="B308" s="11" t="s">
        <v>210</v>
      </c>
      <c r="C308" s="11" t="s">
        <v>11</v>
      </c>
      <c r="D308" s="11" t="s">
        <v>213</v>
      </c>
      <c r="E308" s="19" t="str">
        <f>IF(Products!O169&lt;&gt;"","Yes","No")</f>
        <v>Yes</v>
      </c>
      <c r="F308" s="15" t="str">
        <f>Products!AC169</f>
        <v>Content drafted - assets/specs pending</v>
      </c>
      <c r="G308" s="11" t="str">
        <f>Products!G169</f>
        <v>One page per product category</v>
      </c>
      <c r="H308" s="11" t="str">
        <f>IF(Products!AC169="Ready for approval","None",IF(Products!Q169="","Technical specifications; ","")&amp;IF(Products!S169="","primary image; ","")&amp;IF(Products!U169="","datasheet/brochure; ","")&amp;"technical approval")</f>
        <v>Technical specifications; primary image; datasheet/brochure; technical approval</v>
      </c>
    </row>
    <row r="309" spans="1:8" ht="26" x14ac:dyDescent="0.35">
      <c r="A309" s="11">
        <v>170</v>
      </c>
      <c r="B309" s="11" t="s">
        <v>214</v>
      </c>
      <c r="C309" s="11" t="s">
        <v>11</v>
      </c>
      <c r="D309" s="11" t="s">
        <v>215</v>
      </c>
      <c r="E309" s="19" t="str">
        <f>IF(Products!O170&lt;&gt;"","Yes","No")</f>
        <v>Yes</v>
      </c>
      <c r="F309" s="15" t="str">
        <f>Products!AC170</f>
        <v>Content drafted - assets/specs pending</v>
      </c>
      <c r="G309" s="11" t="str">
        <f>Products!G170</f>
        <v>One page per product category</v>
      </c>
      <c r="H309" s="11" t="str">
        <f>IF(Products!AC170="Ready for approval","None",IF(Products!Q170="","Technical specifications; ","")&amp;IF(Products!S170="","primary image; ","")&amp;IF(Products!U170="","datasheet/brochure; ","")&amp;"technical approval")</f>
        <v>Technical specifications; primary image; datasheet/brochure; technical approval</v>
      </c>
    </row>
    <row r="310" spans="1:8" ht="26" x14ac:dyDescent="0.35">
      <c r="A310" s="11">
        <v>171</v>
      </c>
      <c r="B310" s="11" t="s">
        <v>214</v>
      </c>
      <c r="C310" s="11" t="s">
        <v>11</v>
      </c>
      <c r="D310" s="11" t="s">
        <v>216</v>
      </c>
      <c r="E310" s="19" t="str">
        <f>IF(Products!O171&lt;&gt;"","Yes","No")</f>
        <v>Yes</v>
      </c>
      <c r="F310" s="15" t="str">
        <f>Products!AC171</f>
        <v>Content drafted - assets/specs pending</v>
      </c>
      <c r="G310" s="11" t="str">
        <f>Products!G171</f>
        <v>One page per product category</v>
      </c>
      <c r="H310" s="11" t="str">
        <f>IF(Products!AC171="Ready for approval","None",IF(Products!Q171="","Technical specifications; ","")&amp;IF(Products!S171="","primary image; ","")&amp;IF(Products!U171="","datasheet/brochure; ","")&amp;"technical approval")</f>
        <v>Technical specifications; primary image; datasheet/brochure; technical approval</v>
      </c>
    </row>
    <row r="311" spans="1:8" ht="26" x14ac:dyDescent="0.35">
      <c r="A311" s="11">
        <v>172</v>
      </c>
      <c r="B311" s="11" t="s">
        <v>214</v>
      </c>
      <c r="C311" s="11" t="s">
        <v>11</v>
      </c>
      <c r="D311" s="11" t="s">
        <v>217</v>
      </c>
      <c r="E311" s="19" t="str">
        <f>IF(Products!O172&lt;&gt;"","Yes","No")</f>
        <v>Yes</v>
      </c>
      <c r="F311" s="15" t="str">
        <f>Products!AC172</f>
        <v>Content drafted - assets/specs pending</v>
      </c>
      <c r="G311" s="11" t="str">
        <f>Products!G172</f>
        <v>One page per product category</v>
      </c>
      <c r="H311" s="11" t="str">
        <f>IF(Products!AC172="Ready for approval","None",IF(Products!Q172="","Technical specifications; ","")&amp;IF(Products!S172="","primary image; ","")&amp;IF(Products!U172="","datasheet/brochure; ","")&amp;"technical approval")</f>
        <v>Technical specifications; primary image; datasheet/brochure; technical approval</v>
      </c>
    </row>
    <row r="312" spans="1:8" ht="26" x14ac:dyDescent="0.35">
      <c r="A312" s="11">
        <v>173</v>
      </c>
      <c r="B312" s="11" t="s">
        <v>214</v>
      </c>
      <c r="C312" s="11" t="s">
        <v>11</v>
      </c>
      <c r="D312" s="11" t="s">
        <v>218</v>
      </c>
      <c r="E312" s="19" t="str">
        <f>IF(Products!O173&lt;&gt;"","Yes","No")</f>
        <v>Yes</v>
      </c>
      <c r="F312" s="15" t="str">
        <f>Products!AC173</f>
        <v>Content drafted - assets/specs pending</v>
      </c>
      <c r="G312" s="11" t="str">
        <f>Products!G173</f>
        <v>One page per product category</v>
      </c>
      <c r="H312" s="11" t="str">
        <f>IF(Products!AC173="Ready for approval","None",IF(Products!Q173="","Technical specifications; ","")&amp;IF(Products!S173="","primary image; ","")&amp;IF(Products!U173="","datasheet/brochure; ","")&amp;"technical approval")</f>
        <v>Technical specifications; primary image; datasheet/brochure; technical approval</v>
      </c>
    </row>
    <row r="313" spans="1:8" ht="26" x14ac:dyDescent="0.35">
      <c r="A313" s="11">
        <v>174</v>
      </c>
      <c r="B313" s="11" t="s">
        <v>214</v>
      </c>
      <c r="C313" s="11" t="s">
        <v>11</v>
      </c>
      <c r="D313" s="11" t="s">
        <v>219</v>
      </c>
      <c r="E313" s="19" t="str">
        <f>IF(Products!O174&lt;&gt;"","Yes","No")</f>
        <v>Yes</v>
      </c>
      <c r="F313" s="15" t="str">
        <f>Products!AC174</f>
        <v>Content drafted - assets/specs pending</v>
      </c>
      <c r="G313" s="11" t="str">
        <f>Products!G174</f>
        <v>One page per product category</v>
      </c>
      <c r="H313" s="11" t="str">
        <f>IF(Products!AC174="Ready for approval","None",IF(Products!Q174="","Technical specifications; ","")&amp;IF(Products!S174="","primary image; ","")&amp;IF(Products!U174="","datasheet/brochure; ","")&amp;"technical approval")</f>
        <v>Technical specifications; primary image; datasheet/brochure; technical approval</v>
      </c>
    </row>
    <row r="314" spans="1:8" ht="26" x14ac:dyDescent="0.35">
      <c r="A314" s="11">
        <v>175</v>
      </c>
      <c r="B314" s="11" t="s">
        <v>214</v>
      </c>
      <c r="C314" s="11" t="s">
        <v>11</v>
      </c>
      <c r="D314" s="11" t="s">
        <v>220</v>
      </c>
      <c r="E314" s="19" t="str">
        <f>IF(Products!O175&lt;&gt;"","Yes","No")</f>
        <v>Yes</v>
      </c>
      <c r="F314" s="15" t="str">
        <f>Products!AC175</f>
        <v>Content drafted - assets/specs pending</v>
      </c>
      <c r="G314" s="11" t="str">
        <f>Products!G175</f>
        <v>One page per product category</v>
      </c>
      <c r="H314" s="11" t="str">
        <f>IF(Products!AC175="Ready for approval","None",IF(Products!Q175="","Technical specifications; ","")&amp;IF(Products!S175="","primary image; ","")&amp;IF(Products!U175="","datasheet/brochure; ","")&amp;"technical approval")</f>
        <v>Technical specifications; primary image; datasheet/brochure; technical approval</v>
      </c>
    </row>
    <row r="315" spans="1:8" ht="26" x14ac:dyDescent="0.35">
      <c r="A315" s="11">
        <v>176</v>
      </c>
      <c r="B315" s="11" t="s">
        <v>214</v>
      </c>
      <c r="C315" s="11" t="s">
        <v>11</v>
      </c>
      <c r="D315" s="11" t="s">
        <v>221</v>
      </c>
      <c r="E315" s="19" t="str">
        <f>IF(Products!O176&lt;&gt;"","Yes","No")</f>
        <v>Yes</v>
      </c>
      <c r="F315" s="15" t="str">
        <f>Products!AC176</f>
        <v>Content drafted - assets/specs pending</v>
      </c>
      <c r="G315" s="11" t="str">
        <f>Products!G176</f>
        <v>One page per product category</v>
      </c>
      <c r="H315" s="11" t="str">
        <f>IF(Products!AC176="Ready for approval","None",IF(Products!Q176="","Technical specifications; ","")&amp;IF(Products!S176="","primary image; ","")&amp;IF(Products!U176="","datasheet/brochure; ","")&amp;"technical approval")</f>
        <v>Technical specifications; primary image; datasheet/brochure; technical approval</v>
      </c>
    </row>
    <row r="316" spans="1:8" ht="26" x14ac:dyDescent="0.35">
      <c r="A316" s="11">
        <v>177</v>
      </c>
      <c r="B316" s="11" t="s">
        <v>222</v>
      </c>
      <c r="C316" s="11" t="s">
        <v>11</v>
      </c>
      <c r="D316" s="11" t="s">
        <v>223</v>
      </c>
      <c r="E316" s="19" t="str">
        <f>IF(Products!O177&lt;&gt;"","Yes","No")</f>
        <v>Yes</v>
      </c>
      <c r="F316" s="15" t="str">
        <f>Products!AC177</f>
        <v>Content drafted - assets/specs pending</v>
      </c>
      <c r="G316" s="11" t="str">
        <f>Products!G177</f>
        <v>One page per product category</v>
      </c>
      <c r="H316" s="11" t="str">
        <f>IF(Products!AC177="Ready for approval","None",IF(Products!Q177="","Technical specifications; ","")&amp;IF(Products!S177="","primary image; ","")&amp;IF(Products!U177="","datasheet/brochure; ","")&amp;"technical approval")</f>
        <v>Technical specifications; primary image; datasheet/brochure; technical approval</v>
      </c>
    </row>
    <row r="317" spans="1:8" ht="26" x14ac:dyDescent="0.35">
      <c r="A317" s="11">
        <v>178</v>
      </c>
      <c r="B317" s="11" t="s">
        <v>222</v>
      </c>
      <c r="C317" s="11" t="s">
        <v>11</v>
      </c>
      <c r="D317" s="11" t="s">
        <v>224</v>
      </c>
      <c r="E317" s="19" t="str">
        <f>IF(Products!O178&lt;&gt;"","Yes","No")</f>
        <v>Yes</v>
      </c>
      <c r="F317" s="15" t="str">
        <f>Products!AC178</f>
        <v>Content drafted - assets/specs pending</v>
      </c>
      <c r="G317" s="11" t="str">
        <f>Products!G178</f>
        <v>One page per product category</v>
      </c>
      <c r="H317" s="11" t="str">
        <f>IF(Products!AC178="Ready for approval","None",IF(Products!Q178="","Technical specifications; ","")&amp;IF(Products!S178="","primary image; ","")&amp;IF(Products!U178="","datasheet/brochure; ","")&amp;"technical approval")</f>
        <v>Technical specifications; primary image; datasheet/brochure; technical approval</v>
      </c>
    </row>
    <row r="318" spans="1:8" ht="26" x14ac:dyDescent="0.35">
      <c r="A318" s="11">
        <v>179</v>
      </c>
      <c r="B318" s="11" t="s">
        <v>222</v>
      </c>
      <c r="C318" s="11" t="s">
        <v>11</v>
      </c>
      <c r="D318" s="11" t="s">
        <v>225</v>
      </c>
      <c r="E318" s="19" t="str">
        <f>IF(Products!O179&lt;&gt;"","Yes","No")</f>
        <v>Yes</v>
      </c>
      <c r="F318" s="15" t="str">
        <f>Products!AC179</f>
        <v>Content drafted - assets/specs pending</v>
      </c>
      <c r="G318" s="11" t="str">
        <f>Products!G179</f>
        <v>One page per product category</v>
      </c>
      <c r="H318" s="11" t="str">
        <f>IF(Products!AC179="Ready for approval","None",IF(Products!Q179="","Technical specifications; ","")&amp;IF(Products!S179="","primary image; ","")&amp;IF(Products!U179="","datasheet/brochure; ","")&amp;"technical approval")</f>
        <v>Technical specifications; primary image; datasheet/brochure; technical approval</v>
      </c>
    </row>
    <row r="319" spans="1:8" ht="26" x14ac:dyDescent="0.35">
      <c r="A319" s="11">
        <v>180</v>
      </c>
      <c r="B319" s="11" t="s">
        <v>222</v>
      </c>
      <c r="C319" s="11" t="s">
        <v>11</v>
      </c>
      <c r="D319" s="11" t="s">
        <v>226</v>
      </c>
      <c r="E319" s="19" t="str">
        <f>IF(Products!O180&lt;&gt;"","Yes","No")</f>
        <v>Yes</v>
      </c>
      <c r="F319" s="15" t="str">
        <f>Products!AC180</f>
        <v>Content drafted - assets/specs pending</v>
      </c>
      <c r="G319" s="11" t="str">
        <f>Products!G180</f>
        <v>One page per product category</v>
      </c>
      <c r="H319" s="11" t="str">
        <f>IF(Products!AC180="Ready for approval","None",IF(Products!Q180="","Technical specifications; ","")&amp;IF(Products!S180="","primary image; ","")&amp;IF(Products!U180="","datasheet/brochure; ","")&amp;"technical approval")</f>
        <v>Technical specifications; primary image; datasheet/brochure; technical approval</v>
      </c>
    </row>
    <row r="320" spans="1:8" ht="26" x14ac:dyDescent="0.35">
      <c r="A320" s="11">
        <v>181</v>
      </c>
      <c r="B320" s="11" t="s">
        <v>227</v>
      </c>
      <c r="C320" s="11" t="s">
        <v>11</v>
      </c>
      <c r="D320" s="11" t="s">
        <v>228</v>
      </c>
      <c r="E320" s="19" t="str">
        <f>IF(Products!O181&lt;&gt;"","Yes","No")</f>
        <v>Yes</v>
      </c>
      <c r="F320" s="15" t="str">
        <f>Products!AC181</f>
        <v>Content drafted - assets/specs pending</v>
      </c>
      <c r="G320" s="11" t="str">
        <f>Products!G181</f>
        <v>One page per product category</v>
      </c>
      <c r="H320" s="11" t="str">
        <f>IF(Products!AC181="Ready for approval","None",IF(Products!Q181="","Technical specifications; ","")&amp;IF(Products!S181="","primary image; ","")&amp;IF(Products!U181="","datasheet/brochure; ","")&amp;"technical approval")</f>
        <v>Technical specifications; primary image; datasheet/brochure; technical approval</v>
      </c>
    </row>
    <row r="321" spans="1:8" ht="26" x14ac:dyDescent="0.35">
      <c r="A321" s="11">
        <v>182</v>
      </c>
      <c r="B321" s="11" t="s">
        <v>227</v>
      </c>
      <c r="C321" s="11" t="s">
        <v>11</v>
      </c>
      <c r="D321" s="11" t="s">
        <v>229</v>
      </c>
      <c r="E321" s="19" t="str">
        <f>IF(Products!O182&lt;&gt;"","Yes","No")</f>
        <v>Yes</v>
      </c>
      <c r="F321" s="15" t="str">
        <f>Products!AC182</f>
        <v>Content drafted - assets/specs pending</v>
      </c>
      <c r="G321" s="11" t="str">
        <f>Products!G182</f>
        <v>One page per product category</v>
      </c>
      <c r="H321" s="11" t="str">
        <f>IF(Products!AC182="Ready for approval","None",IF(Products!Q182="","Technical specifications; ","")&amp;IF(Products!S182="","primary image; ","")&amp;IF(Products!U182="","datasheet/brochure; ","")&amp;"technical approval")</f>
        <v>Technical specifications; primary image; datasheet/brochure; technical approval</v>
      </c>
    </row>
    <row r="322" spans="1:8" ht="26" x14ac:dyDescent="0.35">
      <c r="A322" s="11">
        <v>183</v>
      </c>
      <c r="B322" s="11" t="s">
        <v>227</v>
      </c>
      <c r="C322" s="11" t="s">
        <v>11</v>
      </c>
      <c r="D322" s="11" t="s">
        <v>230</v>
      </c>
      <c r="E322" s="19" t="str">
        <f>IF(Products!O183&lt;&gt;"","Yes","No")</f>
        <v>Yes</v>
      </c>
      <c r="F322" s="15" t="str">
        <f>Products!AC183</f>
        <v>Content drafted - assets/specs pending</v>
      </c>
      <c r="G322" s="11" t="str">
        <f>Products!G183</f>
        <v>One page per product category</v>
      </c>
      <c r="H322" s="11" t="str">
        <f>IF(Products!AC183="Ready for approval","None",IF(Products!Q183="","Technical specifications; ","")&amp;IF(Products!S183="","primary image; ","")&amp;IF(Products!U183="","datasheet/brochure; ","")&amp;"technical approval")</f>
        <v>Technical specifications; primary image; datasheet/brochure; technical approval</v>
      </c>
    </row>
    <row r="323" spans="1:8" ht="26" x14ac:dyDescent="0.35">
      <c r="A323" s="11">
        <v>184</v>
      </c>
      <c r="B323" s="11" t="s">
        <v>227</v>
      </c>
      <c r="C323" s="11" t="s">
        <v>11</v>
      </c>
      <c r="D323" s="11" t="s">
        <v>231</v>
      </c>
      <c r="E323" s="19" t="str">
        <f>IF(Products!O184&lt;&gt;"","Yes","No")</f>
        <v>Yes</v>
      </c>
      <c r="F323" s="15" t="str">
        <f>Products!AC184</f>
        <v>Content drafted - assets/specs pending</v>
      </c>
      <c r="G323" s="11" t="str">
        <f>Products!G184</f>
        <v>One page per product category</v>
      </c>
      <c r="H323" s="11" t="str">
        <f>IF(Products!AC184="Ready for approval","None",IF(Products!Q184="","Technical specifications; ","")&amp;IF(Products!S184="","primary image; ","")&amp;IF(Products!U184="","datasheet/brochure; ","")&amp;"technical approval")</f>
        <v>Technical specifications; primary image; datasheet/brochure; technical approval</v>
      </c>
    </row>
    <row r="324" spans="1:8" ht="26" x14ac:dyDescent="0.35">
      <c r="A324" s="11">
        <v>185</v>
      </c>
      <c r="B324" s="11" t="s">
        <v>227</v>
      </c>
      <c r="C324" s="11" t="s">
        <v>11</v>
      </c>
      <c r="D324" s="11" t="s">
        <v>232</v>
      </c>
      <c r="E324" s="19" t="str">
        <f>IF(Products!O185&lt;&gt;"","Yes","No")</f>
        <v>Yes</v>
      </c>
      <c r="F324" s="15" t="str">
        <f>Products!AC185</f>
        <v>Content drafted - assets/specs pending</v>
      </c>
      <c r="G324" s="11" t="str">
        <f>Products!G185</f>
        <v>One page per product category</v>
      </c>
      <c r="H324" s="11" t="str">
        <f>IF(Products!AC185="Ready for approval","None",IF(Products!Q185="","Technical specifications; ","")&amp;IF(Products!S185="","primary image; ","")&amp;IF(Products!U185="","datasheet/brochure; ","")&amp;"technical approval")</f>
        <v>Technical specifications; primary image; datasheet/brochure; technical approval</v>
      </c>
    </row>
    <row r="325" spans="1:8" ht="26" x14ac:dyDescent="0.35">
      <c r="A325" s="11">
        <v>186</v>
      </c>
      <c r="B325" s="11" t="s">
        <v>227</v>
      </c>
      <c r="C325" s="11" t="s">
        <v>11</v>
      </c>
      <c r="D325" s="11" t="s">
        <v>233</v>
      </c>
      <c r="E325" s="19" t="str">
        <f>IF(Products!O186&lt;&gt;"","Yes","No")</f>
        <v>Yes</v>
      </c>
      <c r="F325" s="15" t="str">
        <f>Products!AC186</f>
        <v>Content drafted - assets/specs pending</v>
      </c>
      <c r="G325" s="11" t="str">
        <f>Products!G186</f>
        <v>One page per product category</v>
      </c>
      <c r="H325" s="11" t="str">
        <f>IF(Products!AC186="Ready for approval","None",IF(Products!Q186="","Technical specifications; ","")&amp;IF(Products!S186="","primary image; ","")&amp;IF(Products!U186="","datasheet/brochure; ","")&amp;"technical approval")</f>
        <v>Technical specifications; primary image; datasheet/brochure; technical approval</v>
      </c>
    </row>
    <row r="326" spans="1:8" ht="26" x14ac:dyDescent="0.35">
      <c r="A326" s="11">
        <v>187</v>
      </c>
      <c r="B326" s="11" t="s">
        <v>227</v>
      </c>
      <c r="C326" s="11" t="s">
        <v>11</v>
      </c>
      <c r="D326" s="11" t="s">
        <v>234</v>
      </c>
      <c r="E326" s="19" t="str">
        <f>IF(Products!O187&lt;&gt;"","Yes","No")</f>
        <v>Yes</v>
      </c>
      <c r="F326" s="15" t="str">
        <f>Products!AC187</f>
        <v>Content drafted - assets/specs pending</v>
      </c>
      <c r="G326" s="11" t="str">
        <f>Products!G187</f>
        <v>One page per product category</v>
      </c>
      <c r="H326" s="11" t="str">
        <f>IF(Products!AC187="Ready for approval","None",IF(Products!Q187="","Technical specifications; ","")&amp;IF(Products!S187="","primary image; ","")&amp;IF(Products!U187="","datasheet/brochure; ","")&amp;"technical approval")</f>
        <v>Technical specifications; primary image; datasheet/brochure; technical approval</v>
      </c>
    </row>
    <row r="327" spans="1:8" ht="26" x14ac:dyDescent="0.35">
      <c r="A327" s="11">
        <v>188</v>
      </c>
      <c r="B327" s="11" t="s">
        <v>227</v>
      </c>
      <c r="C327" s="11" t="s">
        <v>11</v>
      </c>
      <c r="D327" s="11" t="s">
        <v>235</v>
      </c>
      <c r="E327" s="19" t="str">
        <f>IF(Products!O188&lt;&gt;"","Yes","No")</f>
        <v>Yes</v>
      </c>
      <c r="F327" s="15" t="str">
        <f>Products!AC188</f>
        <v>Content drafted - assets/specs pending</v>
      </c>
      <c r="G327" s="11" t="str">
        <f>Products!G188</f>
        <v>One page per product category</v>
      </c>
      <c r="H327" s="11" t="str">
        <f>IF(Products!AC188="Ready for approval","None",IF(Products!Q188="","Technical specifications; ","")&amp;IF(Products!S188="","primary image; ","")&amp;IF(Products!U188="","datasheet/brochure; ","")&amp;"technical approval")</f>
        <v>Technical specifications; primary image; datasheet/brochure; technical approval</v>
      </c>
    </row>
    <row r="328" spans="1:8" ht="26" x14ac:dyDescent="0.35">
      <c r="A328" s="11">
        <v>189</v>
      </c>
      <c r="B328" s="11" t="s">
        <v>227</v>
      </c>
      <c r="C328" s="11" t="s">
        <v>11</v>
      </c>
      <c r="D328" s="11" t="s">
        <v>236</v>
      </c>
      <c r="E328" s="19" t="str">
        <f>IF(Products!O189&lt;&gt;"","Yes","No")</f>
        <v>Yes</v>
      </c>
      <c r="F328" s="15" t="str">
        <f>Products!AC189</f>
        <v>Content drafted - assets/specs pending</v>
      </c>
      <c r="G328" s="11" t="str">
        <f>Products!G189</f>
        <v>One page per product category</v>
      </c>
      <c r="H328" s="11" t="str">
        <f>IF(Products!AC189="Ready for approval","None",IF(Products!Q189="","Technical specifications; ","")&amp;IF(Products!S189="","primary image; ","")&amp;IF(Products!U189="","datasheet/brochure; ","")&amp;"technical approval")</f>
        <v>Technical specifications; primary image; datasheet/brochure; technical approval</v>
      </c>
    </row>
    <row r="329" spans="1:8" ht="26" x14ac:dyDescent="0.35">
      <c r="A329" s="11">
        <v>190</v>
      </c>
      <c r="B329" s="11" t="s">
        <v>227</v>
      </c>
      <c r="C329" s="11" t="s">
        <v>11</v>
      </c>
      <c r="D329" s="11" t="s">
        <v>237</v>
      </c>
      <c r="E329" s="19" t="str">
        <f>IF(Products!O190&lt;&gt;"","Yes","No")</f>
        <v>Yes</v>
      </c>
      <c r="F329" s="15" t="str">
        <f>Products!AC190</f>
        <v>Content drafted - assets/specs pending</v>
      </c>
      <c r="G329" s="11" t="str">
        <f>Products!G190</f>
        <v>One page per product category</v>
      </c>
      <c r="H329" s="11" t="str">
        <f>IF(Products!AC190="Ready for approval","None",IF(Products!Q190="","Technical specifications; ","")&amp;IF(Products!S190="","primary image; ","")&amp;IF(Products!U190="","datasheet/brochure; ","")&amp;"technical approval")</f>
        <v>Technical specifications; primary image; datasheet/brochure; technical approval</v>
      </c>
    </row>
    <row r="330" spans="1:8" ht="26" x14ac:dyDescent="0.35">
      <c r="A330" s="11">
        <v>191</v>
      </c>
      <c r="B330" s="11" t="s">
        <v>227</v>
      </c>
      <c r="C330" s="11" t="s">
        <v>11</v>
      </c>
      <c r="D330" s="11" t="s">
        <v>238</v>
      </c>
      <c r="E330" s="19" t="str">
        <f>IF(Products!O191&lt;&gt;"","Yes","No")</f>
        <v>Yes</v>
      </c>
      <c r="F330" s="15" t="str">
        <f>Products!AC191</f>
        <v>Content drafted - assets/specs pending</v>
      </c>
      <c r="G330" s="11" t="str">
        <f>Products!G191</f>
        <v>One page per product category</v>
      </c>
      <c r="H330" s="11" t="str">
        <f>IF(Products!AC191="Ready for approval","None",IF(Products!Q191="","Technical specifications; ","")&amp;IF(Products!S191="","primary image; ","")&amp;IF(Products!U191="","datasheet/brochure; ","")&amp;"technical approval")</f>
        <v>Technical specifications; primary image; datasheet/brochure; technical approval</v>
      </c>
    </row>
    <row r="331" spans="1:8" ht="26" x14ac:dyDescent="0.35">
      <c r="A331" s="11">
        <v>192</v>
      </c>
      <c r="B331" s="11" t="s">
        <v>227</v>
      </c>
      <c r="C331" s="11" t="s">
        <v>11</v>
      </c>
      <c r="D331" s="11" t="s">
        <v>239</v>
      </c>
      <c r="E331" s="19" t="str">
        <f>IF(Products!O192&lt;&gt;"","Yes","No")</f>
        <v>Yes</v>
      </c>
      <c r="F331" s="15" t="str">
        <f>Products!AC192</f>
        <v>Content drafted - assets/specs pending</v>
      </c>
      <c r="G331" s="11" t="str">
        <f>Products!G192</f>
        <v>One page per product category</v>
      </c>
      <c r="H331" s="11" t="str">
        <f>IF(Products!AC192="Ready for approval","None",IF(Products!Q192="","Technical specifications; ","")&amp;IF(Products!S192="","primary image; ","")&amp;IF(Products!U192="","datasheet/brochure; ","")&amp;"technical approval")</f>
        <v>Technical specifications; primary image; datasheet/brochure; technical approval</v>
      </c>
    </row>
    <row r="332" spans="1:8" ht="26" x14ac:dyDescent="0.35">
      <c r="A332" s="11">
        <v>193</v>
      </c>
      <c r="B332" s="11" t="s">
        <v>240</v>
      </c>
      <c r="C332" s="11" t="s">
        <v>13</v>
      </c>
      <c r="D332" s="11" t="s">
        <v>241</v>
      </c>
      <c r="E332" s="19" t="str">
        <f>IF(Products!O193&lt;&gt;"","Yes","No")</f>
        <v>Yes</v>
      </c>
      <c r="F332" s="15" t="str">
        <f>Products!AC193</f>
        <v>Content drafted - assets/specs pending</v>
      </c>
      <c r="G332" s="11" t="str">
        <f>Products!G193</f>
        <v>One page per product category</v>
      </c>
      <c r="H332" s="11" t="str">
        <f>IF(Products!AC193="Ready for approval","None",IF(Products!Q193="","Technical specifications; ","")&amp;IF(Products!S193="","primary image; ","")&amp;IF(Products!U193="","datasheet/brochure; ","")&amp;"technical approval")</f>
        <v>Technical specifications; primary image; datasheet/brochure; technical approval</v>
      </c>
    </row>
    <row r="333" spans="1:8" ht="26" x14ac:dyDescent="0.35">
      <c r="A333" s="11">
        <v>194</v>
      </c>
      <c r="B333" s="11" t="s">
        <v>240</v>
      </c>
      <c r="C333" s="11" t="s">
        <v>13</v>
      </c>
      <c r="D333" s="11" t="s">
        <v>242</v>
      </c>
      <c r="E333" s="19" t="str">
        <f>IF(Products!O194&lt;&gt;"","Yes","No")</f>
        <v>Yes</v>
      </c>
      <c r="F333" s="15" t="str">
        <f>Products!AC194</f>
        <v>Content drafted - assets/specs pending</v>
      </c>
      <c r="G333" s="11" t="str">
        <f>Products!G194</f>
        <v>One page per product category</v>
      </c>
      <c r="H333" s="11" t="str">
        <f>IF(Products!AC194="Ready for approval","None",IF(Products!Q194="","Technical specifications; ","")&amp;IF(Products!S194="","primary image; ","")&amp;IF(Products!U194="","datasheet/brochure; ","")&amp;"technical approval")</f>
        <v>Technical specifications; primary image; datasheet/brochure; technical approval</v>
      </c>
    </row>
    <row r="334" spans="1:8" ht="26" x14ac:dyDescent="0.35">
      <c r="A334" s="11">
        <v>195</v>
      </c>
      <c r="B334" s="11" t="s">
        <v>240</v>
      </c>
      <c r="C334" s="11" t="s">
        <v>13</v>
      </c>
      <c r="D334" s="11" t="s">
        <v>243</v>
      </c>
      <c r="E334" s="19" t="str">
        <f>IF(Products!O195&lt;&gt;"","Yes","No")</f>
        <v>Yes</v>
      </c>
      <c r="F334" s="15" t="str">
        <f>Products!AC195</f>
        <v>Content drafted - assets/specs pending</v>
      </c>
      <c r="G334" s="11" t="str">
        <f>Products!G195</f>
        <v>One page per product category</v>
      </c>
      <c r="H334" s="11" t="str">
        <f>IF(Products!AC195="Ready for approval","None",IF(Products!Q195="","Technical specifications; ","")&amp;IF(Products!S195="","primary image; ","")&amp;IF(Products!U195="","datasheet/brochure; ","")&amp;"technical approval")</f>
        <v>Technical specifications; primary image; datasheet/brochure; technical approval</v>
      </c>
    </row>
    <row r="335" spans="1:8" ht="26" x14ac:dyDescent="0.35">
      <c r="A335" s="11">
        <v>196</v>
      </c>
      <c r="B335" s="11" t="s">
        <v>240</v>
      </c>
      <c r="C335" s="11" t="s">
        <v>13</v>
      </c>
      <c r="D335" s="11" t="s">
        <v>244</v>
      </c>
      <c r="E335" s="19" t="str">
        <f>IF(Products!O196&lt;&gt;"","Yes","No")</f>
        <v>Yes</v>
      </c>
      <c r="F335" s="15" t="str">
        <f>Products!AC196</f>
        <v>Content drafted - assets/specs pending</v>
      </c>
      <c r="G335" s="11" t="str">
        <f>Products!G196</f>
        <v>One page per product category</v>
      </c>
      <c r="H335" s="11" t="str">
        <f>IF(Products!AC196="Ready for approval","None",IF(Products!Q196="","Technical specifications; ","")&amp;IF(Products!S196="","primary image; ","")&amp;IF(Products!U196="","datasheet/brochure; ","")&amp;"technical approval")</f>
        <v>Technical specifications; primary image; datasheet/brochure; technical approval</v>
      </c>
    </row>
    <row r="336" spans="1:8" ht="26" x14ac:dyDescent="0.35">
      <c r="A336" s="11">
        <v>197</v>
      </c>
      <c r="B336" s="11" t="s">
        <v>240</v>
      </c>
      <c r="C336" s="11" t="s">
        <v>13</v>
      </c>
      <c r="D336" s="11" t="s">
        <v>245</v>
      </c>
      <c r="E336" s="19" t="str">
        <f>IF(Products!O197&lt;&gt;"","Yes","No")</f>
        <v>Yes</v>
      </c>
      <c r="F336" s="15" t="str">
        <f>Products!AC197</f>
        <v>Content drafted - assets/specs pending</v>
      </c>
      <c r="G336" s="11" t="str">
        <f>Products!G197</f>
        <v>One page per product category</v>
      </c>
      <c r="H336" s="11" t="str">
        <f>IF(Products!AC197="Ready for approval","None",IF(Products!Q197="","Technical specifications; ","")&amp;IF(Products!S197="","primary image; ","")&amp;IF(Products!U197="","datasheet/brochure; ","")&amp;"technical approval")</f>
        <v>Technical specifications; primary image; datasheet/brochure; technical approval</v>
      </c>
    </row>
    <row r="337" spans="1:8" ht="26" x14ac:dyDescent="0.35">
      <c r="A337" s="11">
        <v>198</v>
      </c>
      <c r="B337" s="11" t="s">
        <v>240</v>
      </c>
      <c r="C337" s="11" t="s">
        <v>13</v>
      </c>
      <c r="D337" s="11" t="s">
        <v>246</v>
      </c>
      <c r="E337" s="19" t="str">
        <f>IF(Products!O198&lt;&gt;"","Yes","No")</f>
        <v>Yes</v>
      </c>
      <c r="F337" s="15" t="str">
        <f>Products!AC198</f>
        <v>Content drafted - assets/specs pending</v>
      </c>
      <c r="G337" s="11" t="str">
        <f>Products!G198</f>
        <v>One page per product category</v>
      </c>
      <c r="H337" s="11" t="str">
        <f>IF(Products!AC198="Ready for approval","None",IF(Products!Q198="","Technical specifications; ","")&amp;IF(Products!S198="","primary image; ","")&amp;IF(Products!U198="","datasheet/brochure; ","")&amp;"technical approval")</f>
        <v>Technical specifications; primary image; datasheet/brochure; technical approval</v>
      </c>
    </row>
    <row r="338" spans="1:8" ht="26" x14ac:dyDescent="0.35">
      <c r="A338" s="11">
        <v>199</v>
      </c>
      <c r="B338" s="11" t="s">
        <v>240</v>
      </c>
      <c r="C338" s="11" t="s">
        <v>13</v>
      </c>
      <c r="D338" s="11" t="s">
        <v>247</v>
      </c>
      <c r="E338" s="19" t="str">
        <f>IF(Products!O199&lt;&gt;"","Yes","No")</f>
        <v>Yes</v>
      </c>
      <c r="F338" s="15" t="str">
        <f>Products!AC199</f>
        <v>Content drafted - assets/specs pending</v>
      </c>
      <c r="G338" s="11" t="str">
        <f>Products!G199</f>
        <v>One page per product category</v>
      </c>
      <c r="H338" s="11" t="str">
        <f>IF(Products!AC199="Ready for approval","None",IF(Products!Q199="","Technical specifications; ","")&amp;IF(Products!S199="","primary image; ","")&amp;IF(Products!U199="","datasheet/brochure; ","")&amp;"technical approval")</f>
        <v>Technical specifications; primary image; datasheet/brochure; technical approval</v>
      </c>
    </row>
    <row r="339" spans="1:8" ht="26" x14ac:dyDescent="0.35">
      <c r="A339" s="11">
        <v>200</v>
      </c>
      <c r="B339" s="11" t="s">
        <v>240</v>
      </c>
      <c r="C339" s="11" t="s">
        <v>13</v>
      </c>
      <c r="D339" s="11" t="s">
        <v>248</v>
      </c>
      <c r="E339" s="19" t="str">
        <f>IF(Products!O200&lt;&gt;"","Yes","No")</f>
        <v>Yes</v>
      </c>
      <c r="F339" s="15" t="str">
        <f>Products!AC200</f>
        <v>Content drafted - assets/specs pending</v>
      </c>
      <c r="G339" s="11" t="str">
        <f>Products!G200</f>
        <v>One page per product category</v>
      </c>
      <c r="H339" s="11" t="str">
        <f>IF(Products!AC200="Ready for approval","None",IF(Products!Q200="","Technical specifications; ","")&amp;IF(Products!S200="","primary image; ","")&amp;IF(Products!U200="","datasheet/brochure; ","")&amp;"technical approval")</f>
        <v>Technical specifications; primary image; datasheet/brochure; technical approval</v>
      </c>
    </row>
    <row r="340" spans="1:8" ht="26" x14ac:dyDescent="0.35">
      <c r="A340" s="11">
        <v>201</v>
      </c>
      <c r="B340" s="11" t="s">
        <v>240</v>
      </c>
      <c r="C340" s="11" t="s">
        <v>13</v>
      </c>
      <c r="D340" s="11" t="s">
        <v>249</v>
      </c>
      <c r="E340" s="19" t="str">
        <f>IF(Products!O201&lt;&gt;"","Yes","No")</f>
        <v>Yes</v>
      </c>
      <c r="F340" s="15" t="str">
        <f>Products!AC201</f>
        <v>Content drafted - assets/specs pending</v>
      </c>
      <c r="G340" s="11" t="str">
        <f>Products!G201</f>
        <v>One page per product category</v>
      </c>
      <c r="H340" s="11" t="str">
        <f>IF(Products!AC201="Ready for approval","None",IF(Products!Q201="","Technical specifications; ","")&amp;IF(Products!S201="","primary image; ","")&amp;IF(Products!U201="","datasheet/brochure; ","")&amp;"technical approval")</f>
        <v>Technical specifications; primary image; datasheet/brochure; technical approval</v>
      </c>
    </row>
    <row r="341" spans="1:8" ht="26" x14ac:dyDescent="0.35">
      <c r="A341" s="11">
        <v>202</v>
      </c>
      <c r="B341" s="11" t="s">
        <v>250</v>
      </c>
      <c r="C341" s="11" t="s">
        <v>13</v>
      </c>
      <c r="D341" s="11" t="s">
        <v>251</v>
      </c>
      <c r="E341" s="19" t="str">
        <f>IF(Products!O202&lt;&gt;"","Yes","No")</f>
        <v>Yes</v>
      </c>
      <c r="F341" s="15" t="str">
        <f>Products!AC202</f>
        <v>Content drafted - assets/specs pending</v>
      </c>
      <c r="G341" s="11" t="str">
        <f>Products!G202</f>
        <v>One page per product category</v>
      </c>
      <c r="H341" s="11" t="str">
        <f>IF(Products!AC202="Ready for approval","None",IF(Products!Q202="","Technical specifications; ","")&amp;IF(Products!S202="","primary image; ","")&amp;IF(Products!U202="","datasheet/brochure; ","")&amp;"technical approval")</f>
        <v>Technical specifications; primary image; datasheet/brochure; technical approval</v>
      </c>
    </row>
    <row r="342" spans="1:8" ht="26" x14ac:dyDescent="0.35">
      <c r="A342" s="11">
        <v>203</v>
      </c>
      <c r="B342" s="11" t="s">
        <v>250</v>
      </c>
      <c r="C342" s="11" t="s">
        <v>13</v>
      </c>
      <c r="D342" s="11" t="s">
        <v>252</v>
      </c>
      <c r="E342" s="19" t="str">
        <f>IF(Products!O203&lt;&gt;"","Yes","No")</f>
        <v>Yes</v>
      </c>
      <c r="F342" s="15" t="str">
        <f>Products!AC203</f>
        <v>Content drafted - assets/specs pending</v>
      </c>
      <c r="G342" s="11" t="str">
        <f>Products!G203</f>
        <v>One page per product category</v>
      </c>
      <c r="H342" s="11" t="str">
        <f>IF(Products!AC203="Ready for approval","None",IF(Products!Q203="","Technical specifications; ","")&amp;IF(Products!S203="","primary image; ","")&amp;IF(Products!U203="","datasheet/brochure; ","")&amp;"technical approval")</f>
        <v>Technical specifications; primary image; datasheet/brochure; technical approval</v>
      </c>
    </row>
    <row r="343" spans="1:8" ht="26" x14ac:dyDescent="0.35">
      <c r="A343" s="11">
        <v>204</v>
      </c>
      <c r="B343" s="11" t="s">
        <v>250</v>
      </c>
      <c r="C343" s="11" t="s">
        <v>13</v>
      </c>
      <c r="D343" s="11" t="s">
        <v>253</v>
      </c>
      <c r="E343" s="19" t="str">
        <f>IF(Products!O204&lt;&gt;"","Yes","No")</f>
        <v>Yes</v>
      </c>
      <c r="F343" s="15" t="str">
        <f>Products!AC204</f>
        <v>Content drafted - assets/specs pending</v>
      </c>
      <c r="G343" s="11" t="str">
        <f>Products!G204</f>
        <v>One page per product category</v>
      </c>
      <c r="H343" s="11" t="str">
        <f>IF(Products!AC204="Ready for approval","None",IF(Products!Q204="","Technical specifications; ","")&amp;IF(Products!S204="","primary image; ","")&amp;IF(Products!U204="","datasheet/brochure; ","")&amp;"technical approval")</f>
        <v>Technical specifications; primary image; datasheet/brochure; technical approval</v>
      </c>
    </row>
    <row r="344" spans="1:8" ht="26" x14ac:dyDescent="0.35">
      <c r="A344" s="11">
        <v>205</v>
      </c>
      <c r="B344" s="11" t="s">
        <v>250</v>
      </c>
      <c r="C344" s="11" t="s">
        <v>13</v>
      </c>
      <c r="D344" s="11" t="s">
        <v>254</v>
      </c>
      <c r="E344" s="19" t="str">
        <f>IF(Products!O205&lt;&gt;"","Yes","No")</f>
        <v>Yes</v>
      </c>
      <c r="F344" s="15" t="str">
        <f>Products!AC205</f>
        <v>Content drafted - assets/specs pending</v>
      </c>
      <c r="G344" s="11" t="str">
        <f>Products!G205</f>
        <v>One page per product category</v>
      </c>
      <c r="H344" s="11" t="str">
        <f>IF(Products!AC205="Ready for approval","None",IF(Products!Q205="","Technical specifications; ","")&amp;IF(Products!S205="","primary image; ","")&amp;IF(Products!U205="","datasheet/brochure; ","")&amp;"technical approval")</f>
        <v>Technical specifications; primary image; datasheet/brochure; technical approval</v>
      </c>
    </row>
    <row r="345" spans="1:8" ht="26" x14ac:dyDescent="0.35">
      <c r="A345" s="11">
        <v>206</v>
      </c>
      <c r="B345" s="11" t="s">
        <v>250</v>
      </c>
      <c r="C345" s="11" t="s">
        <v>13</v>
      </c>
      <c r="D345" s="11" t="s">
        <v>255</v>
      </c>
      <c r="E345" s="19" t="str">
        <f>IF(Products!O206&lt;&gt;"","Yes","No")</f>
        <v>Yes</v>
      </c>
      <c r="F345" s="15" t="str">
        <f>Products!AC206</f>
        <v>Content drafted - assets/specs pending</v>
      </c>
      <c r="G345" s="11" t="str">
        <f>Products!G206</f>
        <v>One page per product category</v>
      </c>
      <c r="H345" s="11" t="str">
        <f>IF(Products!AC206="Ready for approval","None",IF(Products!Q206="","Technical specifications; ","")&amp;IF(Products!S206="","primary image; ","")&amp;IF(Products!U206="","datasheet/brochure; ","")&amp;"technical approval")</f>
        <v>Technical specifications; primary image; datasheet/brochure; technical approval</v>
      </c>
    </row>
    <row r="346" spans="1:8" ht="26" x14ac:dyDescent="0.35">
      <c r="A346" s="11">
        <v>207</v>
      </c>
      <c r="B346" s="11" t="s">
        <v>256</v>
      </c>
      <c r="C346" s="11" t="s">
        <v>13</v>
      </c>
      <c r="D346" s="11" t="s">
        <v>257</v>
      </c>
      <c r="E346" s="19" t="str">
        <f>IF(Products!O207&lt;&gt;"","Yes","No")</f>
        <v>Yes</v>
      </c>
      <c r="F346" s="15" t="str">
        <f>Products!AC207</f>
        <v>Content drafted - assets/specs pending</v>
      </c>
      <c r="G346" s="11" t="str">
        <f>Products!G207</f>
        <v>One page per product category</v>
      </c>
      <c r="H346" s="11" t="str">
        <f>IF(Products!AC207="Ready for approval","None",IF(Products!Q207="","Technical specifications; ","")&amp;IF(Products!S207="","primary image; ","")&amp;IF(Products!U207="","datasheet/brochure; ","")&amp;"technical approval")</f>
        <v>Technical specifications; primary image; datasheet/brochure; technical approval</v>
      </c>
    </row>
    <row r="347" spans="1:8" ht="26" x14ac:dyDescent="0.35">
      <c r="A347" s="11">
        <v>208</v>
      </c>
      <c r="B347" s="11" t="s">
        <v>256</v>
      </c>
      <c r="C347" s="11" t="s">
        <v>13</v>
      </c>
      <c r="D347" s="11" t="s">
        <v>258</v>
      </c>
      <c r="E347" s="19" t="str">
        <f>IF(Products!O208&lt;&gt;"","Yes","No")</f>
        <v>Yes</v>
      </c>
      <c r="F347" s="15" t="str">
        <f>Products!AC208</f>
        <v>Content drafted - assets/specs pending</v>
      </c>
      <c r="G347" s="11" t="str">
        <f>Products!G208</f>
        <v>One page per product category</v>
      </c>
      <c r="H347" s="11" t="str">
        <f>IF(Products!AC208="Ready for approval","None",IF(Products!Q208="","Technical specifications; ","")&amp;IF(Products!S208="","primary image; ","")&amp;IF(Products!U208="","datasheet/brochure; ","")&amp;"technical approval")</f>
        <v>Technical specifications; primary image; datasheet/brochure; technical approval</v>
      </c>
    </row>
    <row r="348" spans="1:8" ht="26" x14ac:dyDescent="0.35">
      <c r="A348" s="11">
        <v>209</v>
      </c>
      <c r="B348" s="11" t="s">
        <v>256</v>
      </c>
      <c r="C348" s="11" t="s">
        <v>13</v>
      </c>
      <c r="D348" s="11" t="s">
        <v>259</v>
      </c>
      <c r="E348" s="19" t="str">
        <f>IF(Products!O209&lt;&gt;"","Yes","No")</f>
        <v>Yes</v>
      </c>
      <c r="F348" s="15" t="str">
        <f>Products!AC209</f>
        <v>Content drafted - assets/specs pending</v>
      </c>
      <c r="G348" s="11" t="str">
        <f>Products!G209</f>
        <v>One page per product category</v>
      </c>
      <c r="H348" s="11" t="str">
        <f>IF(Products!AC209="Ready for approval","None",IF(Products!Q209="","Technical specifications; ","")&amp;IF(Products!S209="","primary image; ","")&amp;IF(Products!U209="","datasheet/brochure; ","")&amp;"technical approval")</f>
        <v>Technical specifications; primary image; datasheet/brochure; technical approval</v>
      </c>
    </row>
    <row r="349" spans="1:8" ht="26" x14ac:dyDescent="0.35">
      <c r="A349" s="11">
        <v>210</v>
      </c>
      <c r="B349" s="11" t="s">
        <v>256</v>
      </c>
      <c r="C349" s="11" t="s">
        <v>13</v>
      </c>
      <c r="D349" s="11" t="s">
        <v>260</v>
      </c>
      <c r="E349" s="19" t="str">
        <f>IF(Products!O210&lt;&gt;"","Yes","No")</f>
        <v>Yes</v>
      </c>
      <c r="F349" s="15" t="str">
        <f>Products!AC210</f>
        <v>Content drafted - assets/specs pending</v>
      </c>
      <c r="G349" s="11" t="str">
        <f>Products!G210</f>
        <v>One page per product category</v>
      </c>
      <c r="H349" s="11" t="str">
        <f>IF(Products!AC210="Ready for approval","None",IF(Products!Q210="","Technical specifications; ","")&amp;IF(Products!S210="","primary image; ","")&amp;IF(Products!U210="","datasheet/brochure; ","")&amp;"technical approval")</f>
        <v>Technical specifications; primary image; datasheet/brochure; technical approval</v>
      </c>
    </row>
    <row r="350" spans="1:8" ht="26" x14ac:dyDescent="0.35">
      <c r="A350" s="11">
        <v>211</v>
      </c>
      <c r="B350" s="11" t="s">
        <v>256</v>
      </c>
      <c r="C350" s="11" t="s">
        <v>13</v>
      </c>
      <c r="D350" s="11" t="s">
        <v>261</v>
      </c>
      <c r="E350" s="19" t="str">
        <f>IF(Products!O211&lt;&gt;"","Yes","No")</f>
        <v>Yes</v>
      </c>
      <c r="F350" s="15" t="str">
        <f>Products!AC211</f>
        <v>Content drafted - assets/specs pending</v>
      </c>
      <c r="G350" s="11" t="str">
        <f>Products!G211</f>
        <v>One page per product category</v>
      </c>
      <c r="H350" s="11" t="str">
        <f>IF(Products!AC211="Ready for approval","None",IF(Products!Q211="","Technical specifications; ","")&amp;IF(Products!S211="","primary image; ","")&amp;IF(Products!U211="","datasheet/brochure; ","")&amp;"technical approval")</f>
        <v>Technical specifications; primary image; datasheet/brochure; technical approval</v>
      </c>
    </row>
    <row r="351" spans="1:8" ht="26" x14ac:dyDescent="0.35">
      <c r="A351" s="11">
        <v>212</v>
      </c>
      <c r="B351" s="11" t="s">
        <v>256</v>
      </c>
      <c r="C351" s="11" t="s">
        <v>13</v>
      </c>
      <c r="D351" s="11" t="s">
        <v>262</v>
      </c>
      <c r="E351" s="19" t="str">
        <f>IF(Products!O212&lt;&gt;"","Yes","No")</f>
        <v>Yes</v>
      </c>
      <c r="F351" s="15" t="str">
        <f>Products!AC212</f>
        <v>Content drafted - assets/specs pending</v>
      </c>
      <c r="G351" s="11" t="str">
        <f>Products!G212</f>
        <v>One page per product category</v>
      </c>
      <c r="H351" s="11" t="str">
        <f>IF(Products!AC212="Ready for approval","None",IF(Products!Q212="","Technical specifications; ","")&amp;IF(Products!S212="","primary image; ","")&amp;IF(Products!U212="","datasheet/brochure; ","")&amp;"technical approval")</f>
        <v>Technical specifications; primary image; datasheet/brochure; technical approval</v>
      </c>
    </row>
    <row r="352" spans="1:8" ht="26" x14ac:dyDescent="0.35">
      <c r="A352" s="11">
        <v>213</v>
      </c>
      <c r="B352" s="11" t="s">
        <v>256</v>
      </c>
      <c r="C352" s="11" t="s">
        <v>13</v>
      </c>
      <c r="D352" s="11" t="s">
        <v>263</v>
      </c>
      <c r="E352" s="19" t="str">
        <f>IF(Products!O213&lt;&gt;"","Yes","No")</f>
        <v>Yes</v>
      </c>
      <c r="F352" s="15" t="str">
        <f>Products!AC213</f>
        <v>Content drafted - assets/specs pending</v>
      </c>
      <c r="G352" s="11" t="str">
        <f>Products!G213</f>
        <v>One page per product category</v>
      </c>
      <c r="H352" s="11" t="str">
        <f>IF(Products!AC213="Ready for approval","None",IF(Products!Q213="","Technical specifications; ","")&amp;IF(Products!S213="","primary image; ","")&amp;IF(Products!U213="","datasheet/brochure; ","")&amp;"technical approval")</f>
        <v>Technical specifications; primary image; datasheet/brochure; technical approval</v>
      </c>
    </row>
    <row r="353" spans="1:8" ht="26" x14ac:dyDescent="0.35">
      <c r="A353" s="11">
        <v>214</v>
      </c>
      <c r="B353" s="11" t="s">
        <v>256</v>
      </c>
      <c r="C353" s="11" t="s">
        <v>13</v>
      </c>
      <c r="D353" s="11" t="s">
        <v>264</v>
      </c>
      <c r="E353" s="19" t="str">
        <f>IF(Products!O214&lt;&gt;"","Yes","No")</f>
        <v>Yes</v>
      </c>
      <c r="F353" s="15" t="str">
        <f>Products!AC214</f>
        <v>Content drafted - assets/specs pending</v>
      </c>
      <c r="G353" s="11" t="str">
        <f>Products!G214</f>
        <v>One page per product category</v>
      </c>
      <c r="H353" s="11" t="str">
        <f>IF(Products!AC214="Ready for approval","None",IF(Products!Q214="","Technical specifications; ","")&amp;IF(Products!S214="","primary image; ","")&amp;IF(Products!U214="","datasheet/brochure; ","")&amp;"technical approval")</f>
        <v>Technical specifications; primary image; datasheet/brochure; technical approval</v>
      </c>
    </row>
    <row r="354" spans="1:8" ht="26" x14ac:dyDescent="0.35">
      <c r="A354" s="11">
        <v>215</v>
      </c>
      <c r="B354" s="11" t="s">
        <v>256</v>
      </c>
      <c r="C354" s="11" t="s">
        <v>13</v>
      </c>
      <c r="D354" s="11" t="s">
        <v>265</v>
      </c>
      <c r="E354" s="19" t="str">
        <f>IF(Products!O215&lt;&gt;"","Yes","No")</f>
        <v>Yes</v>
      </c>
      <c r="F354" s="15" t="str">
        <f>Products!AC215</f>
        <v>Content drafted - assets/specs pending</v>
      </c>
      <c r="G354" s="11" t="str">
        <f>Products!G215</f>
        <v>One page per product category</v>
      </c>
      <c r="H354" s="11" t="str">
        <f>IF(Products!AC215="Ready for approval","None",IF(Products!Q215="","Technical specifications; ","")&amp;IF(Products!S215="","primary image; ","")&amp;IF(Products!U215="","datasheet/brochure; ","")&amp;"technical approval")</f>
        <v>Technical specifications; primary image; datasheet/brochure; technical approval</v>
      </c>
    </row>
    <row r="355" spans="1:8" ht="26" x14ac:dyDescent="0.35">
      <c r="A355" s="11">
        <v>216</v>
      </c>
      <c r="B355" s="11" t="s">
        <v>256</v>
      </c>
      <c r="C355" s="11" t="s">
        <v>13</v>
      </c>
      <c r="D355" s="11" t="s">
        <v>266</v>
      </c>
      <c r="E355" s="19" t="str">
        <f>IF(Products!O216&lt;&gt;"","Yes","No")</f>
        <v>Yes</v>
      </c>
      <c r="F355" s="15" t="str">
        <f>Products!AC216</f>
        <v>Content drafted - assets/specs pending</v>
      </c>
      <c r="G355" s="11" t="str">
        <f>Products!G216</f>
        <v>One page per product category</v>
      </c>
      <c r="H355" s="11" t="str">
        <f>IF(Products!AC216="Ready for approval","None",IF(Products!Q216="","Technical specifications; ","")&amp;IF(Products!S216="","primary image; ","")&amp;IF(Products!U216="","datasheet/brochure; ","")&amp;"technical approval")</f>
        <v>Technical specifications; primary image; datasheet/brochure; technical approval</v>
      </c>
    </row>
    <row r="356" spans="1:8" ht="26" x14ac:dyDescent="0.35">
      <c r="A356" s="11">
        <v>217</v>
      </c>
      <c r="B356" s="11" t="s">
        <v>256</v>
      </c>
      <c r="C356" s="11" t="s">
        <v>13</v>
      </c>
      <c r="D356" s="11" t="s">
        <v>266</v>
      </c>
      <c r="E356" s="19" t="str">
        <f>IF(Products!O217&lt;&gt;"","Yes","No")</f>
        <v>Yes</v>
      </c>
      <c r="F356" s="15" t="str">
        <f>Products!AC217</f>
        <v>Content drafted - assets/specs pending</v>
      </c>
      <c r="G356" s="11" t="str">
        <f>Products!G217</f>
        <v>One page per product category</v>
      </c>
      <c r="H356" s="11" t="str">
        <f>IF(Products!AC217="Ready for approval","None",IF(Products!Q217="","Technical specifications; ","")&amp;IF(Products!S217="","primary image; ","")&amp;IF(Products!U217="","datasheet/brochure; ","")&amp;"technical approval")</f>
        <v>Technical specifications; primary image; datasheet/brochure; technical approval</v>
      </c>
    </row>
    <row r="357" spans="1:8" ht="26" x14ac:dyDescent="0.35">
      <c r="A357" s="11">
        <v>218</v>
      </c>
      <c r="B357" s="11" t="s">
        <v>256</v>
      </c>
      <c r="C357" s="11" t="s">
        <v>13</v>
      </c>
      <c r="D357" s="11" t="s">
        <v>267</v>
      </c>
      <c r="E357" s="19" t="str">
        <f>IF(Products!O218&lt;&gt;"","Yes","No")</f>
        <v>Yes</v>
      </c>
      <c r="F357" s="15" t="str">
        <f>Products!AC218</f>
        <v>Content drafted - assets/specs pending</v>
      </c>
      <c r="G357" s="11" t="str">
        <f>Products!G218</f>
        <v>One page per product category</v>
      </c>
      <c r="H357" s="11" t="str">
        <f>IF(Products!AC218="Ready for approval","None",IF(Products!Q218="","Technical specifications; ","")&amp;IF(Products!S218="","primary image; ","")&amp;IF(Products!U218="","datasheet/brochure; ","")&amp;"technical approval")</f>
        <v>Technical specifications; primary image; datasheet/brochure; technical approval</v>
      </c>
    </row>
    <row r="358" spans="1:8" ht="26" x14ac:dyDescent="0.35">
      <c r="A358" s="11">
        <v>219</v>
      </c>
      <c r="B358" s="11" t="s">
        <v>256</v>
      </c>
      <c r="C358" s="11" t="s">
        <v>13</v>
      </c>
      <c r="D358" s="11" t="s">
        <v>268</v>
      </c>
      <c r="E358" s="19" t="str">
        <f>IF(Products!O219&lt;&gt;"","Yes","No")</f>
        <v>Yes</v>
      </c>
      <c r="F358" s="15" t="str">
        <f>Products!AC219</f>
        <v>Content drafted - assets/specs pending</v>
      </c>
      <c r="G358" s="11" t="str">
        <f>Products!G219</f>
        <v>One page per product category</v>
      </c>
      <c r="H358" s="11" t="str">
        <f>IF(Products!AC219="Ready for approval","None",IF(Products!Q219="","Technical specifications; ","")&amp;IF(Products!S219="","primary image; ","")&amp;IF(Products!U219="","datasheet/brochure; ","")&amp;"technical approval")</f>
        <v>Technical specifications; primary image; datasheet/brochure; technical approval</v>
      </c>
    </row>
    <row r="359" spans="1:8" ht="26" x14ac:dyDescent="0.35">
      <c r="A359" s="11">
        <v>220</v>
      </c>
      <c r="B359" s="11" t="s">
        <v>256</v>
      </c>
      <c r="C359" s="11" t="s">
        <v>13</v>
      </c>
      <c r="D359" s="11" t="s">
        <v>269</v>
      </c>
      <c r="E359" s="19" t="str">
        <f>IF(Products!O220&lt;&gt;"","Yes","No")</f>
        <v>Yes</v>
      </c>
      <c r="F359" s="15" t="str">
        <f>Products!AC220</f>
        <v>Content drafted - assets/specs pending</v>
      </c>
      <c r="G359" s="11" t="str">
        <f>Products!G220</f>
        <v>One page per product category</v>
      </c>
      <c r="H359" s="11" t="str">
        <f>IF(Products!AC220="Ready for approval","None",IF(Products!Q220="","Technical specifications; ","")&amp;IF(Products!S220="","primary image; ","")&amp;IF(Products!U220="","datasheet/brochure; ","")&amp;"technical approval")</f>
        <v>Technical specifications; primary image; datasheet/brochure; technical approval</v>
      </c>
    </row>
    <row r="360" spans="1:8" ht="26" x14ac:dyDescent="0.35">
      <c r="A360" s="11">
        <v>221</v>
      </c>
      <c r="B360" s="11" t="s">
        <v>256</v>
      </c>
      <c r="C360" s="11" t="s">
        <v>13</v>
      </c>
      <c r="D360" s="11" t="s">
        <v>270</v>
      </c>
      <c r="E360" s="19" t="str">
        <f>IF(Products!O221&lt;&gt;"","Yes","No")</f>
        <v>Yes</v>
      </c>
      <c r="F360" s="15" t="str">
        <f>Products!AC221</f>
        <v>Content drafted - assets/specs pending</v>
      </c>
      <c r="G360" s="11" t="str">
        <f>Products!G221</f>
        <v>One page per product category</v>
      </c>
      <c r="H360" s="11" t="str">
        <f>IF(Products!AC221="Ready for approval","None",IF(Products!Q221="","Technical specifications; ","")&amp;IF(Products!S221="","primary image; ","")&amp;IF(Products!U221="","datasheet/brochure; ","")&amp;"technical approval")</f>
        <v>Technical specifications; primary image; datasheet/brochure; technical approval</v>
      </c>
    </row>
    <row r="361" spans="1:8" ht="26" x14ac:dyDescent="0.35">
      <c r="A361" s="11">
        <v>222</v>
      </c>
      <c r="B361" s="11" t="s">
        <v>256</v>
      </c>
      <c r="C361" s="11" t="s">
        <v>13</v>
      </c>
      <c r="D361" s="11" t="s">
        <v>271</v>
      </c>
      <c r="E361" s="19" t="str">
        <f>IF(Products!O222&lt;&gt;"","Yes","No")</f>
        <v>Yes</v>
      </c>
      <c r="F361" s="15" t="str">
        <f>Products!AC222</f>
        <v>Content drafted - assets/specs pending</v>
      </c>
      <c r="G361" s="11" t="str">
        <f>Products!G222</f>
        <v>One page per product category</v>
      </c>
      <c r="H361" s="11" t="str">
        <f>IF(Products!AC222="Ready for approval","None",IF(Products!Q222="","Technical specifications; ","")&amp;IF(Products!S222="","primary image; ","")&amp;IF(Products!U222="","datasheet/brochure; ","")&amp;"technical approval")</f>
        <v>Technical specifications; primary image; datasheet/brochure; technical approval</v>
      </c>
    </row>
    <row r="362" spans="1:8" ht="26" x14ac:dyDescent="0.35">
      <c r="A362" s="11">
        <v>223</v>
      </c>
      <c r="B362" s="11" t="s">
        <v>256</v>
      </c>
      <c r="C362" s="11" t="s">
        <v>13</v>
      </c>
      <c r="D362" s="11" t="s">
        <v>272</v>
      </c>
      <c r="E362" s="19" t="str">
        <f>IF(Products!O223&lt;&gt;"","Yes","No")</f>
        <v>Yes</v>
      </c>
      <c r="F362" s="15" t="str">
        <f>Products!AC223</f>
        <v>Content drafted - assets/specs pending</v>
      </c>
      <c r="G362" s="11" t="str">
        <f>Products!G223</f>
        <v>One page per product category</v>
      </c>
      <c r="H362" s="11" t="str">
        <f>IF(Products!AC223="Ready for approval","None",IF(Products!Q223="","Technical specifications; ","")&amp;IF(Products!S223="","primary image; ","")&amp;IF(Products!U223="","datasheet/brochure; ","")&amp;"technical approval")</f>
        <v>Technical specifications; primary image; datasheet/brochure; technical approval</v>
      </c>
    </row>
    <row r="363" spans="1:8" ht="26" x14ac:dyDescent="0.35">
      <c r="A363" s="11">
        <v>224</v>
      </c>
      <c r="B363" s="11" t="s">
        <v>256</v>
      </c>
      <c r="C363" s="11" t="s">
        <v>13</v>
      </c>
      <c r="D363" s="11" t="s">
        <v>273</v>
      </c>
      <c r="E363" s="19" t="str">
        <f>IF(Products!O224&lt;&gt;"","Yes","No")</f>
        <v>Yes</v>
      </c>
      <c r="F363" s="15" t="str">
        <f>Products!AC224</f>
        <v>Content drafted - assets/specs pending</v>
      </c>
      <c r="G363" s="11" t="str">
        <f>Products!G224</f>
        <v>One page per product category</v>
      </c>
      <c r="H363" s="11" t="str">
        <f>IF(Products!AC224="Ready for approval","None",IF(Products!Q224="","Technical specifications; ","")&amp;IF(Products!S224="","primary image; ","")&amp;IF(Products!U224="","datasheet/brochure; ","")&amp;"technical approval")</f>
        <v>Technical specifications; primary image; datasheet/brochure; technical approval</v>
      </c>
    </row>
    <row r="364" spans="1:8" ht="26" x14ac:dyDescent="0.35">
      <c r="A364" s="11">
        <v>225</v>
      </c>
      <c r="B364" s="11" t="s">
        <v>256</v>
      </c>
      <c r="C364" s="11" t="s">
        <v>13</v>
      </c>
      <c r="D364" s="11" t="s">
        <v>274</v>
      </c>
      <c r="E364" s="19" t="str">
        <f>IF(Products!O225&lt;&gt;"","Yes","No")</f>
        <v>Yes</v>
      </c>
      <c r="F364" s="15" t="str">
        <f>Products!AC225</f>
        <v>Content drafted - assets/specs pending</v>
      </c>
      <c r="G364" s="11" t="str">
        <f>Products!G225</f>
        <v>One page per product category</v>
      </c>
      <c r="H364" s="11" t="str">
        <f>IF(Products!AC225="Ready for approval","None",IF(Products!Q225="","Technical specifications; ","")&amp;IF(Products!S225="","primary image; ","")&amp;IF(Products!U225="","datasheet/brochure; ","")&amp;"technical approval")</f>
        <v>Technical specifications; primary image; datasheet/brochure; technical approval</v>
      </c>
    </row>
    <row r="365" spans="1:8" ht="26" x14ac:dyDescent="0.35">
      <c r="A365" s="11">
        <v>226</v>
      </c>
      <c r="B365" s="11" t="s">
        <v>256</v>
      </c>
      <c r="C365" s="11" t="s">
        <v>13</v>
      </c>
      <c r="D365" s="11" t="s">
        <v>275</v>
      </c>
      <c r="E365" s="19" t="str">
        <f>IF(Products!O226&lt;&gt;"","Yes","No")</f>
        <v>Yes</v>
      </c>
      <c r="F365" s="15" t="str">
        <f>Products!AC226</f>
        <v>Content drafted - assets/specs pending</v>
      </c>
      <c r="G365" s="11" t="str">
        <f>Products!G226</f>
        <v>One page per product category</v>
      </c>
      <c r="H365" s="11" t="str">
        <f>IF(Products!AC226="Ready for approval","None",IF(Products!Q226="","Technical specifications; ","")&amp;IF(Products!S226="","primary image; ","")&amp;IF(Products!U226="","datasheet/brochure; ","")&amp;"technical approval")</f>
        <v>Technical specifications; primary image; datasheet/brochure; technical approval</v>
      </c>
    </row>
    <row r="366" spans="1:8" ht="26" x14ac:dyDescent="0.35">
      <c r="A366" s="11">
        <v>227</v>
      </c>
      <c r="B366" s="11" t="s">
        <v>256</v>
      </c>
      <c r="C366" s="11" t="s">
        <v>13</v>
      </c>
      <c r="D366" s="11" t="s">
        <v>276</v>
      </c>
      <c r="E366" s="19" t="str">
        <f>IF(Products!O227&lt;&gt;"","Yes","No")</f>
        <v>Yes</v>
      </c>
      <c r="F366" s="15" t="str">
        <f>Products!AC227</f>
        <v>Content drafted - assets/specs pending</v>
      </c>
      <c r="G366" s="11" t="str">
        <f>Products!G227</f>
        <v>One page per product category</v>
      </c>
      <c r="H366" s="11" t="str">
        <f>IF(Products!AC227="Ready for approval","None",IF(Products!Q227="","Technical specifications; ","")&amp;IF(Products!S227="","primary image; ","")&amp;IF(Products!U227="","datasheet/brochure; ","")&amp;"technical approval")</f>
        <v>Technical specifications; primary image; datasheet/brochure; technical approval</v>
      </c>
    </row>
    <row r="367" spans="1:8" ht="26" x14ac:dyDescent="0.35">
      <c r="A367" s="11">
        <v>228</v>
      </c>
      <c r="B367" s="11" t="s">
        <v>256</v>
      </c>
      <c r="C367" s="11" t="s">
        <v>13</v>
      </c>
      <c r="D367" s="11" t="s">
        <v>277</v>
      </c>
      <c r="E367" s="19" t="str">
        <f>IF(Products!O228&lt;&gt;"","Yes","No")</f>
        <v>Yes</v>
      </c>
      <c r="F367" s="15" t="str">
        <f>Products!AC228</f>
        <v>Content drafted - assets/specs pending</v>
      </c>
      <c r="G367" s="11" t="str">
        <f>Products!G228</f>
        <v>One page per product category</v>
      </c>
      <c r="H367" s="11" t="str">
        <f>IF(Products!AC228="Ready for approval","None",IF(Products!Q228="","Technical specifications; ","")&amp;IF(Products!S228="","primary image; ","")&amp;IF(Products!U228="","datasheet/brochure; ","")&amp;"technical approval")</f>
        <v>Technical specifications; primary image; datasheet/brochure; technical approval</v>
      </c>
    </row>
    <row r="368" spans="1:8" ht="26" x14ac:dyDescent="0.35">
      <c r="A368" s="11">
        <v>229</v>
      </c>
      <c r="B368" s="11" t="s">
        <v>256</v>
      </c>
      <c r="C368" s="11" t="s">
        <v>13</v>
      </c>
      <c r="D368" s="11" t="s">
        <v>278</v>
      </c>
      <c r="E368" s="19" t="str">
        <f>IF(Products!O229&lt;&gt;"","Yes","No")</f>
        <v>Yes</v>
      </c>
      <c r="F368" s="15" t="str">
        <f>Products!AC229</f>
        <v>Content drafted - assets/specs pending</v>
      </c>
      <c r="G368" s="11" t="str">
        <f>Products!G229</f>
        <v>One page per product category</v>
      </c>
      <c r="H368" s="11" t="str">
        <f>IF(Products!AC229="Ready for approval","None",IF(Products!Q229="","Technical specifications; ","")&amp;IF(Products!S229="","primary image; ","")&amp;IF(Products!U229="","datasheet/brochure; ","")&amp;"technical approval")</f>
        <v>Technical specifications; primary image; datasheet/brochure; technical approval</v>
      </c>
    </row>
    <row r="369" spans="1:8" ht="26" x14ac:dyDescent="0.35">
      <c r="A369" s="11">
        <v>230</v>
      </c>
      <c r="B369" s="11" t="s">
        <v>256</v>
      </c>
      <c r="C369" s="11" t="s">
        <v>13</v>
      </c>
      <c r="D369" s="11" t="s">
        <v>279</v>
      </c>
      <c r="E369" s="19" t="str">
        <f>IF(Products!O230&lt;&gt;"","Yes","No")</f>
        <v>Yes</v>
      </c>
      <c r="F369" s="15" t="str">
        <f>Products!AC230</f>
        <v>Content drafted - assets/specs pending</v>
      </c>
      <c r="G369" s="11" t="str">
        <f>Products!G230</f>
        <v>One page per product category</v>
      </c>
      <c r="H369" s="11" t="str">
        <f>IF(Products!AC230="Ready for approval","None",IF(Products!Q230="","Technical specifications; ","")&amp;IF(Products!S230="","primary image; ","")&amp;IF(Products!U230="","datasheet/brochure; ","")&amp;"technical approval")</f>
        <v>Technical specifications; primary image; datasheet/brochure; technical approval</v>
      </c>
    </row>
    <row r="370" spans="1:8" ht="26" x14ac:dyDescent="0.35">
      <c r="A370" s="11">
        <v>231</v>
      </c>
      <c r="B370" s="11" t="s">
        <v>256</v>
      </c>
      <c r="C370" s="11" t="s">
        <v>13</v>
      </c>
      <c r="D370" s="11" t="s">
        <v>280</v>
      </c>
      <c r="E370" s="19" t="str">
        <f>IF(Products!O231&lt;&gt;"","Yes","No")</f>
        <v>Yes</v>
      </c>
      <c r="F370" s="15" t="str">
        <f>Products!AC231</f>
        <v>Content drafted - assets/specs pending</v>
      </c>
      <c r="G370" s="11" t="str">
        <f>Products!G231</f>
        <v>One page per product category</v>
      </c>
      <c r="H370" s="11" t="str">
        <f>IF(Products!AC231="Ready for approval","None",IF(Products!Q231="","Technical specifications; ","")&amp;IF(Products!S231="","primary image; ","")&amp;IF(Products!U231="","datasheet/brochure; ","")&amp;"technical approval")</f>
        <v>Technical specifications; primary image; datasheet/brochure; technical approval</v>
      </c>
    </row>
    <row r="371" spans="1:8" ht="26" x14ac:dyDescent="0.35">
      <c r="A371" s="11">
        <v>232</v>
      </c>
      <c r="B371" s="11" t="s">
        <v>256</v>
      </c>
      <c r="C371" s="11" t="s">
        <v>13</v>
      </c>
      <c r="D371" s="11" t="s">
        <v>281</v>
      </c>
      <c r="E371" s="19" t="str">
        <f>IF(Products!O232&lt;&gt;"","Yes","No")</f>
        <v>Yes</v>
      </c>
      <c r="F371" s="15" t="str">
        <f>Products!AC232</f>
        <v>Content drafted - assets/specs pending</v>
      </c>
      <c r="G371" s="11" t="str">
        <f>Products!G232</f>
        <v>One page per product category</v>
      </c>
      <c r="H371" s="11" t="str">
        <f>IF(Products!AC232="Ready for approval","None",IF(Products!Q232="","Technical specifications; ","")&amp;IF(Products!S232="","primary image; ","")&amp;IF(Products!U232="","datasheet/brochure; ","")&amp;"technical approval")</f>
        <v>Technical specifications; primary image; datasheet/brochure; technical approval</v>
      </c>
    </row>
    <row r="372" spans="1:8" ht="26" x14ac:dyDescent="0.35">
      <c r="A372" s="11">
        <v>233</v>
      </c>
      <c r="B372" s="11" t="s">
        <v>256</v>
      </c>
      <c r="C372" s="11" t="s">
        <v>13</v>
      </c>
      <c r="D372" s="11" t="s">
        <v>282</v>
      </c>
      <c r="E372" s="19" t="str">
        <f>IF(Products!O233&lt;&gt;"","Yes","No")</f>
        <v>Yes</v>
      </c>
      <c r="F372" s="15" t="str">
        <f>Products!AC233</f>
        <v>Content drafted - assets/specs pending</v>
      </c>
      <c r="G372" s="11" t="str">
        <f>Products!G233</f>
        <v>One page per product category</v>
      </c>
      <c r="H372" s="11" t="str">
        <f>IF(Products!AC233="Ready for approval","None",IF(Products!Q233="","Technical specifications; ","")&amp;IF(Products!S233="","primary image; ","")&amp;IF(Products!U233="","datasheet/brochure; ","")&amp;"technical approval")</f>
        <v>Technical specifications; primary image; datasheet/brochure; technical approval</v>
      </c>
    </row>
    <row r="373" spans="1:8" ht="26" x14ac:dyDescent="0.35">
      <c r="A373" s="11">
        <v>234</v>
      </c>
      <c r="B373" s="11" t="s">
        <v>256</v>
      </c>
      <c r="C373" s="11" t="s">
        <v>13</v>
      </c>
      <c r="D373" s="11" t="s">
        <v>283</v>
      </c>
      <c r="E373" s="19" t="str">
        <f>IF(Products!O234&lt;&gt;"","Yes","No")</f>
        <v>Yes</v>
      </c>
      <c r="F373" s="15" t="str">
        <f>Products!AC234</f>
        <v>Content drafted - assets/specs pending</v>
      </c>
      <c r="G373" s="11" t="str">
        <f>Products!G234</f>
        <v>One page per product category</v>
      </c>
      <c r="H373" s="11" t="str">
        <f>IF(Products!AC234="Ready for approval","None",IF(Products!Q234="","Technical specifications; ","")&amp;IF(Products!S234="","primary image; ","")&amp;IF(Products!U234="","datasheet/brochure; ","")&amp;"technical approval")</f>
        <v>Technical specifications; primary image; datasheet/brochure; technical approval</v>
      </c>
    </row>
    <row r="374" spans="1:8" ht="26" x14ac:dyDescent="0.35">
      <c r="A374" s="11">
        <v>235</v>
      </c>
      <c r="B374" s="11" t="s">
        <v>256</v>
      </c>
      <c r="C374" s="11" t="s">
        <v>13</v>
      </c>
      <c r="D374" s="11" t="s">
        <v>283</v>
      </c>
      <c r="E374" s="19" t="str">
        <f>IF(Products!O235&lt;&gt;"","Yes","No")</f>
        <v>Yes</v>
      </c>
      <c r="F374" s="15" t="str">
        <f>Products!AC235</f>
        <v>Content drafted - assets/specs pending</v>
      </c>
      <c r="G374" s="11" t="str">
        <f>Products!G235</f>
        <v>One page per product category</v>
      </c>
      <c r="H374" s="11" t="str">
        <f>IF(Products!AC235="Ready for approval","None",IF(Products!Q235="","Technical specifications; ","")&amp;IF(Products!S235="","primary image; ","")&amp;IF(Products!U235="","datasheet/brochure; ","")&amp;"technical approval")</f>
        <v>Technical specifications; primary image; datasheet/brochure; technical approval</v>
      </c>
    </row>
    <row r="375" spans="1:8" ht="26" x14ac:dyDescent="0.35">
      <c r="A375" s="11">
        <v>236</v>
      </c>
      <c r="B375" s="11" t="s">
        <v>256</v>
      </c>
      <c r="C375" s="11" t="s">
        <v>13</v>
      </c>
      <c r="D375" s="11" t="s">
        <v>283</v>
      </c>
      <c r="E375" s="19" t="str">
        <f>IF(Products!O236&lt;&gt;"","Yes","No")</f>
        <v>Yes</v>
      </c>
      <c r="F375" s="15" t="str">
        <f>Products!AC236</f>
        <v>Content drafted - assets/specs pending</v>
      </c>
      <c r="G375" s="11" t="str">
        <f>Products!G236</f>
        <v>One page per product category</v>
      </c>
      <c r="H375" s="11" t="str">
        <f>IF(Products!AC236="Ready for approval","None",IF(Products!Q236="","Technical specifications; ","")&amp;IF(Products!S236="","primary image; ","")&amp;IF(Products!U236="","datasheet/brochure; ","")&amp;"technical approval")</f>
        <v>Technical specifications; primary image; datasheet/brochure; technical approval</v>
      </c>
    </row>
    <row r="376" spans="1:8" ht="26" x14ac:dyDescent="0.35">
      <c r="A376" s="11">
        <v>237</v>
      </c>
      <c r="B376" s="11" t="s">
        <v>284</v>
      </c>
      <c r="C376" s="11" t="s">
        <v>13</v>
      </c>
      <c r="D376" s="11" t="s">
        <v>285</v>
      </c>
      <c r="E376" s="19" t="str">
        <f>IF(Products!O237&lt;&gt;"","Yes","No")</f>
        <v>Yes</v>
      </c>
      <c r="F376" s="15" t="str">
        <f>Products!AC237</f>
        <v>Content drafted - assets/specs pending</v>
      </c>
      <c r="G376" s="11" t="str">
        <f>Products!G237</f>
        <v>One page per product category</v>
      </c>
      <c r="H376" s="11" t="str">
        <f>IF(Products!AC237="Ready for approval","None",IF(Products!Q237="","Technical specifications; ","")&amp;IF(Products!S237="","primary image; ","")&amp;IF(Products!U237="","datasheet/brochure; ","")&amp;"technical approval")</f>
        <v>Technical specifications; primary image; datasheet/brochure; technical approval</v>
      </c>
    </row>
    <row r="377" spans="1:8" ht="26" x14ac:dyDescent="0.35">
      <c r="A377" s="11">
        <v>238</v>
      </c>
      <c r="B377" s="11" t="s">
        <v>284</v>
      </c>
      <c r="C377" s="11" t="s">
        <v>13</v>
      </c>
      <c r="D377" s="11" t="s">
        <v>285</v>
      </c>
      <c r="E377" s="19" t="str">
        <f>IF(Products!O238&lt;&gt;"","Yes","No")</f>
        <v>Yes</v>
      </c>
      <c r="F377" s="15" t="str">
        <f>Products!AC238</f>
        <v>Content drafted - assets/specs pending</v>
      </c>
      <c r="G377" s="11" t="str">
        <f>Products!G238</f>
        <v>One page per product category</v>
      </c>
      <c r="H377" s="11" t="str">
        <f>IF(Products!AC238="Ready for approval","None",IF(Products!Q238="","Technical specifications; ","")&amp;IF(Products!S238="","primary image; ","")&amp;IF(Products!U238="","datasheet/brochure; ","")&amp;"technical approval")</f>
        <v>Technical specifications; primary image; datasheet/brochure; technical approval</v>
      </c>
    </row>
    <row r="378" spans="1:8" ht="26" x14ac:dyDescent="0.35">
      <c r="A378" s="11">
        <v>239</v>
      </c>
      <c r="B378" s="11" t="s">
        <v>284</v>
      </c>
      <c r="C378" s="11" t="s">
        <v>13</v>
      </c>
      <c r="D378" s="11" t="s">
        <v>286</v>
      </c>
      <c r="E378" s="19" t="str">
        <f>IF(Products!O239&lt;&gt;"","Yes","No")</f>
        <v>Yes</v>
      </c>
      <c r="F378" s="15" t="str">
        <f>Products!AC239</f>
        <v>Content drafted - assets/specs pending</v>
      </c>
      <c r="G378" s="11" t="str">
        <f>Products!G239</f>
        <v>One page per product category</v>
      </c>
      <c r="H378" s="11" t="str">
        <f>IF(Products!AC239="Ready for approval","None",IF(Products!Q239="","Technical specifications; ","")&amp;IF(Products!S239="","primary image; ","")&amp;IF(Products!U239="","datasheet/brochure; ","")&amp;"technical approval")</f>
        <v>Technical specifications; primary image; datasheet/brochure; technical approval</v>
      </c>
    </row>
    <row r="379" spans="1:8" ht="26" x14ac:dyDescent="0.35">
      <c r="A379" s="11">
        <v>240</v>
      </c>
      <c r="B379" s="11" t="s">
        <v>284</v>
      </c>
      <c r="C379" s="11" t="s">
        <v>13</v>
      </c>
      <c r="D379" s="11" t="s">
        <v>286</v>
      </c>
      <c r="E379" s="19" t="str">
        <f>IF(Products!O240&lt;&gt;"","Yes","No")</f>
        <v>Yes</v>
      </c>
      <c r="F379" s="15" t="str">
        <f>Products!AC240</f>
        <v>Content drafted - assets/specs pending</v>
      </c>
      <c r="G379" s="11" t="str">
        <f>Products!G240</f>
        <v>One page per product category</v>
      </c>
      <c r="H379" s="11" t="str">
        <f>IF(Products!AC240="Ready for approval","None",IF(Products!Q240="","Technical specifications; ","")&amp;IF(Products!S240="","primary image; ","")&amp;IF(Products!U240="","datasheet/brochure; ","")&amp;"technical approval")</f>
        <v>Technical specifications; primary image; datasheet/brochure; technical approval</v>
      </c>
    </row>
    <row r="380" spans="1:8" ht="26" x14ac:dyDescent="0.35">
      <c r="A380" s="11">
        <v>241</v>
      </c>
      <c r="B380" s="11" t="s">
        <v>284</v>
      </c>
      <c r="C380" s="11" t="s">
        <v>13</v>
      </c>
      <c r="D380" s="11" t="s">
        <v>286</v>
      </c>
      <c r="E380" s="19" t="str">
        <f>IF(Products!O241&lt;&gt;"","Yes","No")</f>
        <v>Yes</v>
      </c>
      <c r="F380" s="15" t="str">
        <f>Products!AC241</f>
        <v>Content drafted - assets/specs pending</v>
      </c>
      <c r="G380" s="11" t="str">
        <f>Products!G241</f>
        <v>One page per product category</v>
      </c>
      <c r="H380" s="11" t="str">
        <f>IF(Products!AC241="Ready for approval","None",IF(Products!Q241="","Technical specifications; ","")&amp;IF(Products!S241="","primary image; ","")&amp;IF(Products!U241="","datasheet/brochure; ","")&amp;"technical approval")</f>
        <v>Technical specifications; primary image; datasheet/brochure; technical approval</v>
      </c>
    </row>
    <row r="381" spans="1:8" ht="26" x14ac:dyDescent="0.35">
      <c r="A381" s="11">
        <v>242</v>
      </c>
      <c r="B381" s="11" t="s">
        <v>284</v>
      </c>
      <c r="C381" s="11" t="s">
        <v>13</v>
      </c>
      <c r="D381" s="11" t="s">
        <v>286</v>
      </c>
      <c r="E381" s="19" t="str">
        <f>IF(Products!O242&lt;&gt;"","Yes","No")</f>
        <v>Yes</v>
      </c>
      <c r="F381" s="15" t="str">
        <f>Products!AC242</f>
        <v>Content drafted - assets/specs pending</v>
      </c>
      <c r="G381" s="11" t="str">
        <f>Products!G242</f>
        <v>One page per product category</v>
      </c>
      <c r="H381" s="11" t="str">
        <f>IF(Products!AC242="Ready for approval","None",IF(Products!Q242="","Technical specifications; ","")&amp;IF(Products!S242="","primary image; ","")&amp;IF(Products!U242="","datasheet/brochure; ","")&amp;"technical approval")</f>
        <v>Technical specifications; primary image; datasheet/brochure; technical approval</v>
      </c>
    </row>
    <row r="382" spans="1:8" ht="26" x14ac:dyDescent="0.35">
      <c r="A382" s="11">
        <v>243</v>
      </c>
      <c r="B382" s="11" t="s">
        <v>284</v>
      </c>
      <c r="C382" s="11" t="s">
        <v>13</v>
      </c>
      <c r="D382" s="11" t="s">
        <v>287</v>
      </c>
      <c r="E382" s="19" t="str">
        <f>IF(Products!O243&lt;&gt;"","Yes","No")</f>
        <v>Yes</v>
      </c>
      <c r="F382" s="15" t="str">
        <f>Products!AC243</f>
        <v>Content drafted - assets/specs pending</v>
      </c>
      <c r="G382" s="11" t="str">
        <f>Products!G243</f>
        <v>One page per product category</v>
      </c>
      <c r="H382" s="11" t="str">
        <f>IF(Products!AC243="Ready for approval","None",IF(Products!Q243="","Technical specifications; ","")&amp;IF(Products!S243="","primary image; ","")&amp;IF(Products!U243="","datasheet/brochure; ","")&amp;"technical approval")</f>
        <v>Technical specifications; primary image; datasheet/brochure; technical approval</v>
      </c>
    </row>
    <row r="383" spans="1:8" ht="26" x14ac:dyDescent="0.35">
      <c r="A383" s="11">
        <v>244</v>
      </c>
      <c r="B383" s="11" t="s">
        <v>284</v>
      </c>
      <c r="C383" s="11" t="s">
        <v>13</v>
      </c>
      <c r="D383" s="11" t="s">
        <v>288</v>
      </c>
      <c r="E383" s="19" t="str">
        <f>IF(Products!O244&lt;&gt;"","Yes","No")</f>
        <v>Yes</v>
      </c>
      <c r="F383" s="15" t="str">
        <f>Products!AC244</f>
        <v>Content drafted - assets/specs pending</v>
      </c>
      <c r="G383" s="11" t="str">
        <f>Products!G244</f>
        <v>One page per product category</v>
      </c>
      <c r="H383" s="11" t="str">
        <f>IF(Products!AC244="Ready for approval","None",IF(Products!Q244="","Technical specifications; ","")&amp;IF(Products!S244="","primary image; ","")&amp;IF(Products!U244="","datasheet/brochure; ","")&amp;"technical approval")</f>
        <v>Technical specifications; primary image; datasheet/brochure; technical approval</v>
      </c>
    </row>
    <row r="384" spans="1:8" ht="26" x14ac:dyDescent="0.35">
      <c r="A384" s="11">
        <v>245</v>
      </c>
      <c r="B384" s="11" t="s">
        <v>284</v>
      </c>
      <c r="C384" s="11" t="s">
        <v>13</v>
      </c>
      <c r="D384" s="11" t="s">
        <v>289</v>
      </c>
      <c r="E384" s="19" t="str">
        <f>IF(Products!O245&lt;&gt;"","Yes","No")</f>
        <v>Yes</v>
      </c>
      <c r="F384" s="15" t="str">
        <f>Products!AC245</f>
        <v>Content drafted - assets/specs pending</v>
      </c>
      <c r="G384" s="11" t="str">
        <f>Products!G245</f>
        <v>One page per product category</v>
      </c>
      <c r="H384" s="11" t="str">
        <f>IF(Products!AC245="Ready for approval","None",IF(Products!Q245="","Technical specifications; ","")&amp;IF(Products!S245="","primary image; ","")&amp;IF(Products!U245="","datasheet/brochure; ","")&amp;"technical approval")</f>
        <v>Technical specifications; primary image; datasheet/brochure; technical approval</v>
      </c>
    </row>
    <row r="385" spans="1:8" ht="26" x14ac:dyDescent="0.35">
      <c r="A385" s="11">
        <v>246</v>
      </c>
      <c r="B385" s="11" t="s">
        <v>284</v>
      </c>
      <c r="C385" s="11" t="s">
        <v>13</v>
      </c>
      <c r="D385" s="11" t="s">
        <v>290</v>
      </c>
      <c r="E385" s="19" t="str">
        <f>IF(Products!O246&lt;&gt;"","Yes","No")</f>
        <v>Yes</v>
      </c>
      <c r="F385" s="15" t="str">
        <f>Products!AC246</f>
        <v>Content drafted - assets/specs pending</v>
      </c>
      <c r="G385" s="11" t="str">
        <f>Products!G246</f>
        <v>One page per product category</v>
      </c>
      <c r="H385" s="11" t="str">
        <f>IF(Products!AC246="Ready for approval","None",IF(Products!Q246="","Technical specifications; ","")&amp;IF(Products!S246="","primary image; ","")&amp;IF(Products!U246="","datasheet/brochure; ","")&amp;"technical approval")</f>
        <v>Technical specifications; primary image; datasheet/brochure; technical approval</v>
      </c>
    </row>
    <row r="386" spans="1:8" ht="26" x14ac:dyDescent="0.35">
      <c r="A386" s="11">
        <v>247</v>
      </c>
      <c r="B386" s="11" t="s">
        <v>284</v>
      </c>
      <c r="C386" s="11" t="s">
        <v>13</v>
      </c>
      <c r="D386" s="11" t="s">
        <v>291</v>
      </c>
      <c r="E386" s="19" t="str">
        <f>IF(Products!O247&lt;&gt;"","Yes","No")</f>
        <v>Yes</v>
      </c>
      <c r="F386" s="15" t="str">
        <f>Products!AC247</f>
        <v>Content drafted - assets/specs pending</v>
      </c>
      <c r="G386" s="11" t="str">
        <f>Products!G247</f>
        <v>One page per product category</v>
      </c>
      <c r="H386" s="11" t="str">
        <f>IF(Products!AC247="Ready for approval","None",IF(Products!Q247="","Technical specifications; ","")&amp;IF(Products!S247="","primary image; ","")&amp;IF(Products!U247="","datasheet/brochure; ","")&amp;"technical approval")</f>
        <v>Technical specifications; primary image; datasheet/brochure; technical approval</v>
      </c>
    </row>
    <row r="387" spans="1:8" ht="26" x14ac:dyDescent="0.35">
      <c r="A387" s="11">
        <v>248</v>
      </c>
      <c r="B387" s="11" t="s">
        <v>284</v>
      </c>
      <c r="C387" s="11" t="s">
        <v>13</v>
      </c>
      <c r="D387" s="11" t="s">
        <v>292</v>
      </c>
      <c r="E387" s="19" t="str">
        <f>IF(Products!O248&lt;&gt;"","Yes","No")</f>
        <v>Yes</v>
      </c>
      <c r="F387" s="15" t="str">
        <f>Products!AC248</f>
        <v>Content drafted - assets/specs pending</v>
      </c>
      <c r="G387" s="11" t="str">
        <f>Products!G248</f>
        <v>One page per product category</v>
      </c>
      <c r="H387" s="11" t="str">
        <f>IF(Products!AC248="Ready for approval","None",IF(Products!Q248="","Technical specifications; ","")&amp;IF(Products!S248="","primary image; ","")&amp;IF(Products!U248="","datasheet/brochure; ","")&amp;"technical approval")</f>
        <v>Technical specifications; primary image; datasheet/brochure; technical approval</v>
      </c>
    </row>
    <row r="388" spans="1:8" ht="26" x14ac:dyDescent="0.35">
      <c r="A388" s="11">
        <v>249</v>
      </c>
      <c r="B388" s="11" t="s">
        <v>293</v>
      </c>
      <c r="C388" s="11" t="s">
        <v>13</v>
      </c>
      <c r="D388" s="11" t="s">
        <v>294</v>
      </c>
      <c r="E388" s="19" t="str">
        <f>IF(Products!O249&lt;&gt;"","Yes","No")</f>
        <v>Yes</v>
      </c>
      <c r="F388" s="15" t="str">
        <f>Products!AC249</f>
        <v>Content drafted - assets/specs pending</v>
      </c>
      <c r="G388" s="11" t="str">
        <f>Products!G249</f>
        <v>One page per product category</v>
      </c>
      <c r="H388" s="11" t="str">
        <f>IF(Products!AC249="Ready for approval","None",IF(Products!Q249="","Technical specifications; ","")&amp;IF(Products!S249="","primary image; ","")&amp;IF(Products!U249="","datasheet/brochure; ","")&amp;"technical approval")</f>
        <v>Technical specifications; primary image; datasheet/brochure; technical approval</v>
      </c>
    </row>
    <row r="389" spans="1:8" ht="26" x14ac:dyDescent="0.35">
      <c r="A389" s="11">
        <v>250</v>
      </c>
      <c r="B389" s="11" t="s">
        <v>293</v>
      </c>
      <c r="C389" s="11" t="s">
        <v>13</v>
      </c>
      <c r="D389" s="11" t="s">
        <v>295</v>
      </c>
      <c r="E389" s="19" t="str">
        <f>IF(Products!O250&lt;&gt;"","Yes","No")</f>
        <v>Yes</v>
      </c>
      <c r="F389" s="15" t="str">
        <f>Products!AC250</f>
        <v>Content drafted - assets/specs pending</v>
      </c>
      <c r="G389" s="11" t="str">
        <f>Products!G250</f>
        <v>One page per product category</v>
      </c>
      <c r="H389" s="11" t="str">
        <f>IF(Products!AC250="Ready for approval","None",IF(Products!Q250="","Technical specifications; ","")&amp;IF(Products!S250="","primary image; ","")&amp;IF(Products!U250="","datasheet/brochure; ","")&amp;"technical approval")</f>
        <v>Technical specifications; primary image; datasheet/brochure; technical approval</v>
      </c>
    </row>
    <row r="390" spans="1:8" ht="26" x14ac:dyDescent="0.35">
      <c r="A390" s="11">
        <v>251</v>
      </c>
      <c r="B390" s="11" t="s">
        <v>293</v>
      </c>
      <c r="C390" s="11" t="s">
        <v>13</v>
      </c>
      <c r="D390" s="11" t="s">
        <v>296</v>
      </c>
      <c r="E390" s="19" t="str">
        <f>IF(Products!O251&lt;&gt;"","Yes","No")</f>
        <v>Yes</v>
      </c>
      <c r="F390" s="15" t="str">
        <f>Products!AC251</f>
        <v>Content drafted - assets/specs pending</v>
      </c>
      <c r="G390" s="11" t="str">
        <f>Products!G251</f>
        <v>One page per product category</v>
      </c>
      <c r="H390" s="11" t="str">
        <f>IF(Products!AC251="Ready for approval","None",IF(Products!Q251="","Technical specifications; ","")&amp;IF(Products!S251="","primary image; ","")&amp;IF(Products!U251="","datasheet/brochure; ","")&amp;"technical approval")</f>
        <v>Technical specifications; primary image; datasheet/brochure; technical approval</v>
      </c>
    </row>
    <row r="391" spans="1:8" ht="26" x14ac:dyDescent="0.35">
      <c r="A391" s="11">
        <v>252</v>
      </c>
      <c r="B391" s="11" t="s">
        <v>293</v>
      </c>
      <c r="C391" s="11" t="s">
        <v>13</v>
      </c>
      <c r="D391" s="11" t="s">
        <v>297</v>
      </c>
      <c r="E391" s="19" t="str">
        <f>IF(Products!O252&lt;&gt;"","Yes","No")</f>
        <v>Yes</v>
      </c>
      <c r="F391" s="15" t="str">
        <f>Products!AC252</f>
        <v>Content drafted - assets/specs pending</v>
      </c>
      <c r="G391" s="11" t="str">
        <f>Products!G252</f>
        <v>One page per product category</v>
      </c>
      <c r="H391" s="11" t="str">
        <f>IF(Products!AC252="Ready for approval","None",IF(Products!Q252="","Technical specifications; ","")&amp;IF(Products!S252="","primary image; ","")&amp;IF(Products!U252="","datasheet/brochure; ","")&amp;"technical approval")</f>
        <v>Technical specifications; primary image; datasheet/brochure; technical approval</v>
      </c>
    </row>
    <row r="392" spans="1:8" ht="26" x14ac:dyDescent="0.35">
      <c r="A392" s="11">
        <v>253</v>
      </c>
      <c r="B392" s="11" t="s">
        <v>293</v>
      </c>
      <c r="C392" s="11" t="s">
        <v>13</v>
      </c>
      <c r="D392" s="11" t="s">
        <v>298</v>
      </c>
      <c r="E392" s="19" t="str">
        <f>IF(Products!O253&lt;&gt;"","Yes","No")</f>
        <v>Yes</v>
      </c>
      <c r="F392" s="15" t="str">
        <f>Products!AC253</f>
        <v>Content drafted - assets/specs pending</v>
      </c>
      <c r="G392" s="11" t="str">
        <f>Products!G253</f>
        <v>One page per product category</v>
      </c>
      <c r="H392" s="11" t="str">
        <f>IF(Products!AC253="Ready for approval","None",IF(Products!Q253="","Technical specifications; ","")&amp;IF(Products!S253="","primary image; ","")&amp;IF(Products!U253="","datasheet/brochure; ","")&amp;"technical approval")</f>
        <v>Technical specifications; primary image; datasheet/brochure; technical approval</v>
      </c>
    </row>
    <row r="393" spans="1:8" ht="26" x14ac:dyDescent="0.35">
      <c r="A393" s="11">
        <v>254</v>
      </c>
      <c r="B393" s="11" t="s">
        <v>293</v>
      </c>
      <c r="C393" s="11" t="s">
        <v>13</v>
      </c>
      <c r="D393" s="11" t="s">
        <v>299</v>
      </c>
      <c r="E393" s="19" t="str">
        <f>IF(Products!O254&lt;&gt;"","Yes","No")</f>
        <v>Yes</v>
      </c>
      <c r="F393" s="15" t="str">
        <f>Products!AC254</f>
        <v>Content drafted - assets/specs pending</v>
      </c>
      <c r="G393" s="11" t="str">
        <f>Products!G254</f>
        <v>One page per product category</v>
      </c>
      <c r="H393" s="11" t="str">
        <f>IF(Products!AC254="Ready for approval","None",IF(Products!Q254="","Technical specifications; ","")&amp;IF(Products!S254="","primary image; ","")&amp;IF(Products!U254="","datasheet/brochure; ","")&amp;"technical approval")</f>
        <v>Technical specifications; primary image; datasheet/brochure; technical approval</v>
      </c>
    </row>
    <row r="394" spans="1:8" ht="26" x14ac:dyDescent="0.35">
      <c r="A394" s="11">
        <v>255</v>
      </c>
      <c r="B394" s="11" t="s">
        <v>293</v>
      </c>
      <c r="C394" s="11" t="s">
        <v>13</v>
      </c>
      <c r="D394" s="11" t="s">
        <v>300</v>
      </c>
      <c r="E394" s="19" t="str">
        <f>IF(Products!O255&lt;&gt;"","Yes","No")</f>
        <v>Yes</v>
      </c>
      <c r="F394" s="15" t="str">
        <f>Products!AC255</f>
        <v>Content drafted - assets/specs pending</v>
      </c>
      <c r="G394" s="11" t="str">
        <f>Products!G255</f>
        <v>One page per product category</v>
      </c>
      <c r="H394" s="11" t="str">
        <f>IF(Products!AC255="Ready for approval","None",IF(Products!Q255="","Technical specifications; ","")&amp;IF(Products!S255="","primary image; ","")&amp;IF(Products!U255="","datasheet/brochure; ","")&amp;"technical approval")</f>
        <v>Technical specifications; primary image; datasheet/brochure; technical approval</v>
      </c>
    </row>
    <row r="395" spans="1:8" ht="26" x14ac:dyDescent="0.35">
      <c r="A395" s="11">
        <v>256</v>
      </c>
      <c r="B395" s="11" t="s">
        <v>293</v>
      </c>
      <c r="C395" s="11" t="s">
        <v>13</v>
      </c>
      <c r="D395" s="11" t="s">
        <v>301</v>
      </c>
      <c r="E395" s="19" t="str">
        <f>IF(Products!O256&lt;&gt;"","Yes","No")</f>
        <v>Yes</v>
      </c>
      <c r="F395" s="15" t="str">
        <f>Products!AC256</f>
        <v>Content drafted - assets/specs pending</v>
      </c>
      <c r="G395" s="11" t="str">
        <f>Products!G256</f>
        <v>One page per product category</v>
      </c>
      <c r="H395" s="11" t="str">
        <f>IF(Products!AC256="Ready for approval","None",IF(Products!Q256="","Technical specifications; ","")&amp;IF(Products!S256="","primary image; ","")&amp;IF(Products!U256="","datasheet/brochure; ","")&amp;"technical approval")</f>
        <v>Technical specifications; primary image; datasheet/brochure; technical approval</v>
      </c>
    </row>
    <row r="396" spans="1:8" ht="26" x14ac:dyDescent="0.35">
      <c r="A396" s="11">
        <v>257</v>
      </c>
      <c r="B396" s="11" t="s">
        <v>293</v>
      </c>
      <c r="C396" s="11" t="s">
        <v>13</v>
      </c>
      <c r="D396" s="11" t="s">
        <v>302</v>
      </c>
      <c r="E396" s="19" t="str">
        <f>IF(Products!O257&lt;&gt;"","Yes","No")</f>
        <v>Yes</v>
      </c>
      <c r="F396" s="15" t="str">
        <f>Products!AC257</f>
        <v>Content drafted - assets/specs pending</v>
      </c>
      <c r="G396" s="11" t="str">
        <f>Products!G257</f>
        <v>One page per product category</v>
      </c>
      <c r="H396" s="11" t="str">
        <f>IF(Products!AC257="Ready for approval","None",IF(Products!Q257="","Technical specifications; ","")&amp;IF(Products!S257="","primary image; ","")&amp;IF(Products!U257="","datasheet/brochure; ","")&amp;"technical approval")</f>
        <v>Technical specifications; primary image; datasheet/brochure; technical approval</v>
      </c>
    </row>
    <row r="397" spans="1:8" ht="26" x14ac:dyDescent="0.35">
      <c r="A397" s="11">
        <v>258</v>
      </c>
      <c r="B397" s="11" t="s">
        <v>303</v>
      </c>
      <c r="C397" s="11" t="s">
        <v>13</v>
      </c>
      <c r="D397" s="11" t="s">
        <v>304</v>
      </c>
      <c r="E397" s="19" t="str">
        <f>IF(Products!O258&lt;&gt;"","Yes","No")</f>
        <v>Yes</v>
      </c>
      <c r="F397" s="15" t="str">
        <f>Products!AC258</f>
        <v>Content drafted - assets/specs pending</v>
      </c>
      <c r="G397" s="11" t="str">
        <f>Products!G258</f>
        <v>One page per product category</v>
      </c>
      <c r="H397" s="11" t="str">
        <f>IF(Products!AC258="Ready for approval","None",IF(Products!Q258="","Technical specifications; ","")&amp;IF(Products!S258="","primary image; ","")&amp;IF(Products!U258="","datasheet/brochure; ","")&amp;"technical approval")</f>
        <v>Technical specifications; primary image; datasheet/brochure; technical approval</v>
      </c>
    </row>
    <row r="398" spans="1:8" ht="26" x14ac:dyDescent="0.35">
      <c r="A398" s="11">
        <v>259</v>
      </c>
      <c r="B398" s="11" t="s">
        <v>303</v>
      </c>
      <c r="C398" s="11" t="s">
        <v>13</v>
      </c>
      <c r="D398" s="11" t="s">
        <v>305</v>
      </c>
      <c r="E398" s="19" t="str">
        <f>IF(Products!O259&lt;&gt;"","Yes","No")</f>
        <v>Yes</v>
      </c>
      <c r="F398" s="15" t="str">
        <f>Products!AC259</f>
        <v>Content drafted - assets/specs pending</v>
      </c>
      <c r="G398" s="11" t="str">
        <f>Products!G259</f>
        <v>One page per product category</v>
      </c>
      <c r="H398" s="11" t="str">
        <f>IF(Products!AC259="Ready for approval","None",IF(Products!Q259="","Technical specifications; ","")&amp;IF(Products!S259="","primary image; ","")&amp;IF(Products!U259="","datasheet/brochure; ","")&amp;"technical approval")</f>
        <v>Technical specifications; primary image; datasheet/brochure; technical approval</v>
      </c>
    </row>
    <row r="399" spans="1:8" ht="26" x14ac:dyDescent="0.35">
      <c r="A399" s="11">
        <v>260</v>
      </c>
      <c r="B399" s="11" t="s">
        <v>303</v>
      </c>
      <c r="C399" s="11" t="s">
        <v>13</v>
      </c>
      <c r="D399" s="11" t="s">
        <v>306</v>
      </c>
      <c r="E399" s="19" t="str">
        <f>IF(Products!O260&lt;&gt;"","Yes","No")</f>
        <v>Yes</v>
      </c>
      <c r="F399" s="15" t="str">
        <f>Products!AC260</f>
        <v>Content drafted - assets/specs pending</v>
      </c>
      <c r="G399" s="11" t="str">
        <f>Products!G260</f>
        <v>One page per product category</v>
      </c>
      <c r="H399" s="11" t="str">
        <f>IF(Products!AC260="Ready for approval","None",IF(Products!Q260="","Technical specifications; ","")&amp;IF(Products!S260="","primary image; ","")&amp;IF(Products!U260="","datasheet/brochure; ","")&amp;"technical approval")</f>
        <v>Technical specifications; primary image; datasheet/brochure; technical approval</v>
      </c>
    </row>
    <row r="400" spans="1:8" ht="26" x14ac:dyDescent="0.35">
      <c r="A400" s="11">
        <v>261</v>
      </c>
      <c r="B400" s="11" t="s">
        <v>303</v>
      </c>
      <c r="C400" s="11" t="s">
        <v>13</v>
      </c>
      <c r="D400" s="11" t="s">
        <v>307</v>
      </c>
      <c r="E400" s="19" t="str">
        <f>IF(Products!O261&lt;&gt;"","Yes","No")</f>
        <v>Yes</v>
      </c>
      <c r="F400" s="15" t="str">
        <f>Products!AC261</f>
        <v>Content drafted - assets/specs pending</v>
      </c>
      <c r="G400" s="11" t="str">
        <f>Products!G261</f>
        <v>One page per product category</v>
      </c>
      <c r="H400" s="11" t="str">
        <f>IF(Products!AC261="Ready for approval","None",IF(Products!Q261="","Technical specifications; ","")&amp;IF(Products!S261="","primary image; ","")&amp;IF(Products!U261="","datasheet/brochure; ","")&amp;"technical approval")</f>
        <v>Technical specifications; primary image; datasheet/brochure; technical approval</v>
      </c>
    </row>
    <row r="401" spans="1:8" ht="26" x14ac:dyDescent="0.35">
      <c r="A401" s="11">
        <v>262</v>
      </c>
      <c r="B401" s="11" t="s">
        <v>303</v>
      </c>
      <c r="C401" s="11" t="s">
        <v>13</v>
      </c>
      <c r="D401" s="11" t="s">
        <v>308</v>
      </c>
      <c r="E401" s="19" t="str">
        <f>IF(Products!O262&lt;&gt;"","Yes","No")</f>
        <v>Yes</v>
      </c>
      <c r="F401" s="15" t="str">
        <f>Products!AC262</f>
        <v>Content drafted - assets/specs pending</v>
      </c>
      <c r="G401" s="11" t="str">
        <f>Products!G262</f>
        <v>One page per product category</v>
      </c>
      <c r="H401" s="11" t="str">
        <f>IF(Products!AC262="Ready for approval","None",IF(Products!Q262="","Technical specifications; ","")&amp;IF(Products!S262="","primary image; ","")&amp;IF(Products!U262="","datasheet/brochure; ","")&amp;"technical approval")</f>
        <v>Technical specifications; primary image; datasheet/brochure; technical approval</v>
      </c>
    </row>
    <row r="402" spans="1:8" ht="26" x14ac:dyDescent="0.35">
      <c r="A402" s="11">
        <v>263</v>
      </c>
      <c r="B402" s="11" t="s">
        <v>303</v>
      </c>
      <c r="C402" s="11" t="s">
        <v>13</v>
      </c>
      <c r="D402" s="11" t="s">
        <v>309</v>
      </c>
      <c r="E402" s="19" t="str">
        <f>IF(Products!O263&lt;&gt;"","Yes","No")</f>
        <v>Yes</v>
      </c>
      <c r="F402" s="15" t="str">
        <f>Products!AC263</f>
        <v>Content drafted - assets/specs pending</v>
      </c>
      <c r="G402" s="11" t="str">
        <f>Products!G263</f>
        <v>One page per product category</v>
      </c>
      <c r="H402" s="11" t="str">
        <f>IF(Products!AC263="Ready for approval","None",IF(Products!Q263="","Technical specifications; ","")&amp;IF(Products!S263="","primary image; ","")&amp;IF(Products!U263="","datasheet/brochure; ","")&amp;"technical approval")</f>
        <v>Technical specifications; primary image; datasheet/brochure; technical approval</v>
      </c>
    </row>
    <row r="403" spans="1:8" ht="26" x14ac:dyDescent="0.35">
      <c r="A403" s="11">
        <v>264</v>
      </c>
      <c r="B403" s="11" t="s">
        <v>310</v>
      </c>
      <c r="C403" s="11" t="s">
        <v>13</v>
      </c>
      <c r="D403" s="11" t="s">
        <v>311</v>
      </c>
      <c r="E403" s="19" t="str">
        <f>IF(Products!O264&lt;&gt;"","Yes","No")</f>
        <v>Yes</v>
      </c>
      <c r="F403" s="15" t="str">
        <f>Products!AC264</f>
        <v>Content drafted - assets/specs pending</v>
      </c>
      <c r="G403" s="11" t="str">
        <f>Products!G264</f>
        <v>One page per product category</v>
      </c>
      <c r="H403" s="11" t="str">
        <f>IF(Products!AC264="Ready for approval","None",IF(Products!Q264="","Technical specifications; ","")&amp;IF(Products!S264="","primary image; ","")&amp;IF(Products!U264="","datasheet/brochure; ","")&amp;"technical approval")</f>
        <v>Technical specifications; primary image; datasheet/brochure; technical approval</v>
      </c>
    </row>
    <row r="404" spans="1:8" ht="26" x14ac:dyDescent="0.35">
      <c r="A404" s="11">
        <v>265</v>
      </c>
      <c r="B404" s="11" t="s">
        <v>312</v>
      </c>
      <c r="C404" s="11" t="s">
        <v>13</v>
      </c>
      <c r="D404" s="11" t="s">
        <v>313</v>
      </c>
      <c r="E404" s="19" t="str">
        <f>IF(Products!O265&lt;&gt;"","Yes","No")</f>
        <v>Yes</v>
      </c>
      <c r="F404" s="15" t="str">
        <f>Products!AC265</f>
        <v>Content drafted - assets/specs pending</v>
      </c>
      <c r="G404" s="11" t="str">
        <f>Products!G265</f>
        <v>One page per product category</v>
      </c>
      <c r="H404" s="11" t="str">
        <f>IF(Products!AC265="Ready for approval","None",IF(Products!Q265="","Technical specifications; ","")&amp;IF(Products!S265="","primary image; ","")&amp;IF(Products!U265="","datasheet/brochure; ","")&amp;"technical approval")</f>
        <v>Technical specifications; primary image; datasheet/brochure; technical approval</v>
      </c>
    </row>
    <row r="405" spans="1:8" ht="26" x14ac:dyDescent="0.35">
      <c r="A405" s="11">
        <v>266</v>
      </c>
      <c r="B405" s="11" t="s">
        <v>314</v>
      </c>
      <c r="C405" s="11" t="s">
        <v>13</v>
      </c>
      <c r="D405" s="11" t="s">
        <v>315</v>
      </c>
      <c r="E405" s="19" t="str">
        <f>IF(Products!O266&lt;&gt;"","Yes","No")</f>
        <v>Yes</v>
      </c>
      <c r="F405" s="15" t="str">
        <f>Products!AC266</f>
        <v>Content drafted - assets/specs pending</v>
      </c>
      <c r="G405" s="11" t="str">
        <f>Products!G266</f>
        <v>One page per product category</v>
      </c>
      <c r="H405" s="11" t="str">
        <f>IF(Products!AC266="Ready for approval","None",IF(Products!Q266="","Technical specifications; ","")&amp;IF(Products!S266="","primary image; ","")&amp;IF(Products!U266="","datasheet/brochure; ","")&amp;"technical approval")</f>
        <v>Technical specifications; primary image; datasheet/brochure; technical approval</v>
      </c>
    </row>
    <row r="406" spans="1:8" ht="26" x14ac:dyDescent="0.35">
      <c r="A406" s="11">
        <v>267</v>
      </c>
      <c r="B406" s="11" t="s">
        <v>316</v>
      </c>
      <c r="C406" s="11" t="s">
        <v>14</v>
      </c>
      <c r="D406" s="11" t="s">
        <v>317</v>
      </c>
      <c r="E406" s="19" t="str">
        <f>IF(Products!O267&lt;&gt;"","Yes","No")</f>
        <v>Yes</v>
      </c>
      <c r="F406" s="15" t="str">
        <f>Products!AC267</f>
        <v>Content drafted - assets/specs pending</v>
      </c>
      <c r="G406" s="11" t="str">
        <f>Products!G267</f>
        <v>One page per product category</v>
      </c>
      <c r="H406" s="11" t="str">
        <f>IF(Products!AC267="Ready for approval","None",IF(Products!Q267="","Technical specifications; ","")&amp;IF(Products!S267="","primary image; ","")&amp;IF(Products!U267="","datasheet/brochure; ","")&amp;"technical approval")</f>
        <v>Technical specifications; primary image; datasheet/brochure; technical approval</v>
      </c>
    </row>
    <row r="407" spans="1:8" ht="26" x14ac:dyDescent="0.35">
      <c r="A407" s="11">
        <v>268</v>
      </c>
      <c r="B407" s="11" t="s">
        <v>316</v>
      </c>
      <c r="C407" s="11" t="s">
        <v>14</v>
      </c>
      <c r="D407" s="11" t="s">
        <v>318</v>
      </c>
      <c r="E407" s="19" t="str">
        <f>IF(Products!O268&lt;&gt;"","Yes","No")</f>
        <v>Yes</v>
      </c>
      <c r="F407" s="15" t="str">
        <f>Products!AC268</f>
        <v>Content drafted - assets/specs pending</v>
      </c>
      <c r="G407" s="11" t="str">
        <f>Products!G268</f>
        <v>One page per product category</v>
      </c>
      <c r="H407" s="11" t="str">
        <f>IF(Products!AC268="Ready for approval","None",IF(Products!Q268="","Technical specifications; ","")&amp;IF(Products!S268="","primary image; ","")&amp;IF(Products!U268="","datasheet/brochure; ","")&amp;"technical approval")</f>
        <v>Technical specifications; primary image; datasheet/brochure; technical approval</v>
      </c>
    </row>
    <row r="408" spans="1:8" ht="26" x14ac:dyDescent="0.35">
      <c r="A408" s="11">
        <v>269</v>
      </c>
      <c r="B408" s="11" t="s">
        <v>316</v>
      </c>
      <c r="C408" s="11" t="s">
        <v>14</v>
      </c>
      <c r="D408" s="11" t="s">
        <v>319</v>
      </c>
      <c r="E408" s="19" t="str">
        <f>IF(Products!O269&lt;&gt;"","Yes","No")</f>
        <v>Yes</v>
      </c>
      <c r="F408" s="15" t="str">
        <f>Products!AC269</f>
        <v>Content drafted - assets/specs pending</v>
      </c>
      <c r="G408" s="11" t="str">
        <f>Products!G269</f>
        <v>One page per product category</v>
      </c>
      <c r="H408" s="11" t="str">
        <f>IF(Products!AC269="Ready for approval","None",IF(Products!Q269="","Technical specifications; ","")&amp;IF(Products!S269="","primary image; ","")&amp;IF(Products!U269="","datasheet/brochure; ","")&amp;"technical approval")</f>
        <v>Technical specifications; primary image; datasheet/brochure; technical approval</v>
      </c>
    </row>
    <row r="409" spans="1:8" ht="26" x14ac:dyDescent="0.35">
      <c r="A409" s="11">
        <v>270</v>
      </c>
      <c r="B409" s="11" t="s">
        <v>316</v>
      </c>
      <c r="C409" s="11" t="s">
        <v>14</v>
      </c>
      <c r="D409" s="11" t="s">
        <v>320</v>
      </c>
      <c r="E409" s="19" t="str">
        <f>IF(Products!O270&lt;&gt;"","Yes","No")</f>
        <v>Yes</v>
      </c>
      <c r="F409" s="15" t="str">
        <f>Products!AC270</f>
        <v>Content drafted - assets/specs pending</v>
      </c>
      <c r="G409" s="11" t="str">
        <f>Products!G270</f>
        <v>One page per product category</v>
      </c>
      <c r="H409" s="11" t="str">
        <f>IF(Products!AC270="Ready for approval","None",IF(Products!Q270="","Technical specifications; ","")&amp;IF(Products!S270="","primary image; ","")&amp;IF(Products!U270="","datasheet/brochure; ","")&amp;"technical approval")</f>
        <v>Technical specifications; primary image; datasheet/brochure; technical approval</v>
      </c>
    </row>
    <row r="410" spans="1:8" ht="26" x14ac:dyDescent="0.35">
      <c r="A410" s="11">
        <v>271</v>
      </c>
      <c r="B410" s="11" t="s">
        <v>321</v>
      </c>
      <c r="C410" s="11" t="s">
        <v>14</v>
      </c>
      <c r="D410" s="11" t="s">
        <v>322</v>
      </c>
      <c r="E410" s="19" t="str">
        <f>IF(Products!O271&lt;&gt;"","Yes","No")</f>
        <v>Yes</v>
      </c>
      <c r="F410" s="15" t="str">
        <f>Products!AC271</f>
        <v>Content drafted - assets/specs pending</v>
      </c>
      <c r="G410" s="11" t="str">
        <f>Products!G271</f>
        <v>One page per product category</v>
      </c>
      <c r="H410" s="11" t="str">
        <f>IF(Products!AC271="Ready for approval","None",IF(Products!Q271="","Technical specifications; ","")&amp;IF(Products!S271="","primary image; ","")&amp;IF(Products!U271="","datasheet/brochure; ","")&amp;"technical approval")</f>
        <v>Technical specifications; primary image; datasheet/brochure; technical approval</v>
      </c>
    </row>
    <row r="411" spans="1:8" ht="26" x14ac:dyDescent="0.35">
      <c r="A411" s="11">
        <v>272</v>
      </c>
      <c r="B411" s="11" t="s">
        <v>321</v>
      </c>
      <c r="C411" s="11" t="s">
        <v>14</v>
      </c>
      <c r="D411" s="11" t="s">
        <v>323</v>
      </c>
      <c r="E411" s="19" t="str">
        <f>IF(Products!O272&lt;&gt;"","Yes","No")</f>
        <v>Yes</v>
      </c>
      <c r="F411" s="15" t="str">
        <f>Products!AC272</f>
        <v>Content drafted - assets/specs pending</v>
      </c>
      <c r="G411" s="11" t="str">
        <f>Products!G272</f>
        <v>One page per product category</v>
      </c>
      <c r="H411" s="11" t="str">
        <f>IF(Products!AC272="Ready for approval","None",IF(Products!Q272="","Technical specifications; ","")&amp;IF(Products!S272="","primary image; ","")&amp;IF(Products!U272="","datasheet/brochure; ","")&amp;"technical approval")</f>
        <v>Technical specifications; primary image; datasheet/brochure; technical approval</v>
      </c>
    </row>
    <row r="412" spans="1:8" ht="26" x14ac:dyDescent="0.35">
      <c r="A412" s="11">
        <v>273</v>
      </c>
      <c r="B412" s="11" t="s">
        <v>321</v>
      </c>
      <c r="C412" s="11" t="s">
        <v>14</v>
      </c>
      <c r="D412" s="11" t="s">
        <v>324</v>
      </c>
      <c r="E412" s="19" t="str">
        <f>IF(Products!O273&lt;&gt;"","Yes","No")</f>
        <v>Yes</v>
      </c>
      <c r="F412" s="15" t="str">
        <f>Products!AC273</f>
        <v>Content drafted - assets/specs pending</v>
      </c>
      <c r="G412" s="11" t="str">
        <f>Products!G273</f>
        <v>One page per product category</v>
      </c>
      <c r="H412" s="11" t="str">
        <f>IF(Products!AC273="Ready for approval","None",IF(Products!Q273="","Technical specifications; ","")&amp;IF(Products!S273="","primary image; ","")&amp;IF(Products!U273="","datasheet/brochure; ","")&amp;"technical approval")</f>
        <v>Technical specifications; primary image; datasheet/brochure; technical approval</v>
      </c>
    </row>
    <row r="413" spans="1:8" ht="26" x14ac:dyDescent="0.35">
      <c r="A413" s="11">
        <v>274</v>
      </c>
      <c r="B413" s="11" t="s">
        <v>321</v>
      </c>
      <c r="C413" s="11" t="s">
        <v>14</v>
      </c>
      <c r="D413" s="11" t="s">
        <v>325</v>
      </c>
      <c r="E413" s="19" t="str">
        <f>IF(Products!O274&lt;&gt;"","Yes","No")</f>
        <v>Yes</v>
      </c>
      <c r="F413" s="15" t="str">
        <f>Products!AC274</f>
        <v>Content drafted - assets/specs pending</v>
      </c>
      <c r="G413" s="11" t="str">
        <f>Products!G274</f>
        <v>One page per product category</v>
      </c>
      <c r="H413" s="11" t="str">
        <f>IF(Products!AC274="Ready for approval","None",IF(Products!Q274="","Technical specifications; ","")&amp;IF(Products!S274="","primary image; ","")&amp;IF(Products!U274="","datasheet/brochure; ","")&amp;"technical approval")</f>
        <v>Technical specifications; primary image; datasheet/brochure; technical approval</v>
      </c>
    </row>
    <row r="414" spans="1:8" ht="26" x14ac:dyDescent="0.35">
      <c r="A414" s="11">
        <v>275</v>
      </c>
      <c r="B414" s="11" t="s">
        <v>321</v>
      </c>
      <c r="C414" s="11" t="s">
        <v>14</v>
      </c>
      <c r="D414" s="11" t="s">
        <v>326</v>
      </c>
      <c r="E414" s="19" t="str">
        <f>IF(Products!O275&lt;&gt;"","Yes","No")</f>
        <v>Yes</v>
      </c>
      <c r="F414" s="15" t="str">
        <f>Products!AC275</f>
        <v>Content drafted - assets/specs pending</v>
      </c>
      <c r="G414" s="11" t="str">
        <f>Products!G275</f>
        <v>One page per product category</v>
      </c>
      <c r="H414" s="11" t="str">
        <f>IF(Products!AC275="Ready for approval","None",IF(Products!Q275="","Technical specifications; ","")&amp;IF(Products!S275="","primary image; ","")&amp;IF(Products!U275="","datasheet/brochure; ","")&amp;"technical approval")</f>
        <v>Technical specifications; primary image; datasheet/brochure; technical approval</v>
      </c>
    </row>
    <row r="415" spans="1:8" ht="26" x14ac:dyDescent="0.35">
      <c r="A415" s="11">
        <v>276</v>
      </c>
      <c r="B415" s="11" t="s">
        <v>321</v>
      </c>
      <c r="C415" s="11" t="s">
        <v>14</v>
      </c>
      <c r="D415" s="11" t="s">
        <v>327</v>
      </c>
      <c r="E415" s="19" t="str">
        <f>IF(Products!O276&lt;&gt;"","Yes","No")</f>
        <v>Yes</v>
      </c>
      <c r="F415" s="15" t="str">
        <f>Products!AC276</f>
        <v>Content drafted - assets/specs pending</v>
      </c>
      <c r="G415" s="11" t="str">
        <f>Products!G276</f>
        <v>One page per product category</v>
      </c>
      <c r="H415" s="11" t="str">
        <f>IF(Products!AC276="Ready for approval","None",IF(Products!Q276="","Technical specifications; ","")&amp;IF(Products!S276="","primary image; ","")&amp;IF(Products!U276="","datasheet/brochure; ","")&amp;"technical approval")</f>
        <v>Technical specifications; primary image; datasheet/brochure; technical approval</v>
      </c>
    </row>
    <row r="416" spans="1:8" ht="26" x14ac:dyDescent="0.35">
      <c r="A416" s="11">
        <v>277</v>
      </c>
      <c r="B416" s="11" t="s">
        <v>321</v>
      </c>
      <c r="C416" s="11" t="s">
        <v>14</v>
      </c>
      <c r="D416" s="11" t="s">
        <v>328</v>
      </c>
      <c r="E416" s="19" t="str">
        <f>IF(Products!O277&lt;&gt;"","Yes","No")</f>
        <v>Yes</v>
      </c>
      <c r="F416" s="15" t="str">
        <f>Products!AC277</f>
        <v>Content drafted - assets/specs pending</v>
      </c>
      <c r="G416" s="11" t="str">
        <f>Products!G277</f>
        <v>One page per product category</v>
      </c>
      <c r="H416" s="11" t="str">
        <f>IF(Products!AC277="Ready for approval","None",IF(Products!Q277="","Technical specifications; ","")&amp;IF(Products!S277="","primary image; ","")&amp;IF(Products!U277="","datasheet/brochure; ","")&amp;"technical approval")</f>
        <v>Technical specifications; primary image; datasheet/brochure; technical approval</v>
      </c>
    </row>
    <row r="417" spans="1:8" ht="26" x14ac:dyDescent="0.35">
      <c r="A417" s="11">
        <v>278</v>
      </c>
      <c r="B417" s="11" t="s">
        <v>321</v>
      </c>
      <c r="C417" s="11" t="s">
        <v>14</v>
      </c>
      <c r="D417" s="11" t="s">
        <v>329</v>
      </c>
      <c r="E417" s="19" t="str">
        <f>IF(Products!O278&lt;&gt;"","Yes","No")</f>
        <v>Yes</v>
      </c>
      <c r="F417" s="15" t="str">
        <f>Products!AC278</f>
        <v>Content drafted - assets/specs pending</v>
      </c>
      <c r="G417" s="11" t="str">
        <f>Products!G278</f>
        <v>One page per product category</v>
      </c>
      <c r="H417" s="11" t="str">
        <f>IF(Products!AC278="Ready for approval","None",IF(Products!Q278="","Technical specifications; ","")&amp;IF(Products!S278="","primary image; ","")&amp;IF(Products!U278="","datasheet/brochure; ","")&amp;"technical approval")</f>
        <v>Technical specifications; primary image; datasheet/brochure; technical approval</v>
      </c>
    </row>
    <row r="418" spans="1:8" ht="26" x14ac:dyDescent="0.35">
      <c r="A418" s="11">
        <v>279</v>
      </c>
      <c r="B418" s="11" t="s">
        <v>330</v>
      </c>
      <c r="C418" s="11" t="s">
        <v>14</v>
      </c>
      <c r="D418" s="11" t="s">
        <v>331</v>
      </c>
      <c r="E418" s="19" t="str">
        <f>IF(Products!O279&lt;&gt;"","Yes","No")</f>
        <v>Yes</v>
      </c>
      <c r="F418" s="15" t="str">
        <f>Products!AC279</f>
        <v>Content drafted - assets/specs pending</v>
      </c>
      <c r="G418" s="11" t="str">
        <f>Products!G279</f>
        <v>One page per product category</v>
      </c>
      <c r="H418" s="11" t="str">
        <f>IF(Products!AC279="Ready for approval","None",IF(Products!Q279="","Technical specifications; ","")&amp;IF(Products!S279="","primary image; ","")&amp;IF(Products!U279="","datasheet/brochure; ","")&amp;"technical approval")</f>
        <v>Technical specifications; primary image; datasheet/brochure; technical approval</v>
      </c>
    </row>
    <row r="419" spans="1:8" ht="26" x14ac:dyDescent="0.35">
      <c r="A419" s="11">
        <v>280</v>
      </c>
      <c r="B419" s="11" t="s">
        <v>330</v>
      </c>
      <c r="C419" s="11" t="s">
        <v>14</v>
      </c>
      <c r="D419" s="11" t="s">
        <v>332</v>
      </c>
      <c r="E419" s="19" t="str">
        <f>IF(Products!O280&lt;&gt;"","Yes","No")</f>
        <v>Yes</v>
      </c>
      <c r="F419" s="15" t="str">
        <f>Products!AC280</f>
        <v>Content drafted - assets/specs pending</v>
      </c>
      <c r="G419" s="11" t="str">
        <f>Products!G280</f>
        <v>One page per product category</v>
      </c>
      <c r="H419" s="11" t="str">
        <f>IF(Products!AC280="Ready for approval","None",IF(Products!Q280="","Technical specifications; ","")&amp;IF(Products!S280="","primary image; ","")&amp;IF(Products!U280="","datasheet/brochure; ","")&amp;"technical approval")</f>
        <v>Technical specifications; primary image; datasheet/brochure; technical approval</v>
      </c>
    </row>
    <row r="420" spans="1:8" ht="26" x14ac:dyDescent="0.35">
      <c r="A420" s="11">
        <v>281</v>
      </c>
      <c r="B420" s="11" t="s">
        <v>330</v>
      </c>
      <c r="C420" s="11" t="s">
        <v>14</v>
      </c>
      <c r="D420" s="11" t="s">
        <v>333</v>
      </c>
      <c r="E420" s="19" t="str">
        <f>IF(Products!O281&lt;&gt;"","Yes","No")</f>
        <v>Yes</v>
      </c>
      <c r="F420" s="15" t="str">
        <f>Products!AC281</f>
        <v>Content drafted - assets/specs pending</v>
      </c>
      <c r="G420" s="11" t="str">
        <f>Products!G281</f>
        <v>One page per product category</v>
      </c>
      <c r="H420" s="11" t="str">
        <f>IF(Products!AC281="Ready for approval","None",IF(Products!Q281="","Technical specifications; ","")&amp;IF(Products!S281="","primary image; ","")&amp;IF(Products!U281="","datasheet/brochure; ","")&amp;"technical approval")</f>
        <v>Technical specifications; primary image; datasheet/brochure; technical approval</v>
      </c>
    </row>
    <row r="421" spans="1:8" ht="26" x14ac:dyDescent="0.35">
      <c r="A421" s="11">
        <v>282</v>
      </c>
      <c r="B421" s="11" t="s">
        <v>330</v>
      </c>
      <c r="C421" s="11" t="s">
        <v>14</v>
      </c>
      <c r="D421" s="11" t="s">
        <v>334</v>
      </c>
      <c r="E421" s="19" t="str">
        <f>IF(Products!O282&lt;&gt;"","Yes","No")</f>
        <v>Yes</v>
      </c>
      <c r="F421" s="15" t="str">
        <f>Products!AC282</f>
        <v>Content drafted - assets/specs pending</v>
      </c>
      <c r="G421" s="11" t="str">
        <f>Products!G282</f>
        <v>One page per product category</v>
      </c>
      <c r="H421" s="11" t="str">
        <f>IF(Products!AC282="Ready for approval","None",IF(Products!Q282="","Technical specifications; ","")&amp;IF(Products!S282="","primary image; ","")&amp;IF(Products!U282="","datasheet/brochure; ","")&amp;"technical approval")</f>
        <v>Technical specifications; primary image; datasheet/brochure; technical approval</v>
      </c>
    </row>
    <row r="422" spans="1:8" ht="26" x14ac:dyDescent="0.35">
      <c r="A422" s="11">
        <v>283</v>
      </c>
      <c r="B422" s="11" t="s">
        <v>330</v>
      </c>
      <c r="C422" s="11" t="s">
        <v>14</v>
      </c>
      <c r="D422" s="11" t="s">
        <v>335</v>
      </c>
      <c r="E422" s="19" t="str">
        <f>IF(Products!O283&lt;&gt;"","Yes","No")</f>
        <v>Yes</v>
      </c>
      <c r="F422" s="15" t="str">
        <f>Products!AC283</f>
        <v>Content drafted - assets/specs pending</v>
      </c>
      <c r="G422" s="11" t="str">
        <f>Products!G283</f>
        <v>One page per product category</v>
      </c>
      <c r="H422" s="11" t="str">
        <f>IF(Products!AC283="Ready for approval","None",IF(Products!Q283="","Technical specifications; ","")&amp;IF(Products!S283="","primary image; ","")&amp;IF(Products!U283="","datasheet/brochure; ","")&amp;"technical approval")</f>
        <v>Technical specifications; primary image; datasheet/brochure; technical approval</v>
      </c>
    </row>
    <row r="423" spans="1:8" ht="26" x14ac:dyDescent="0.35">
      <c r="A423" s="11">
        <v>284</v>
      </c>
      <c r="B423" s="11" t="s">
        <v>336</v>
      </c>
      <c r="C423" s="11" t="s">
        <v>14</v>
      </c>
      <c r="D423" s="11" t="s">
        <v>337</v>
      </c>
      <c r="E423" s="19" t="str">
        <f>IF(Products!O284&lt;&gt;"","Yes","No")</f>
        <v>Yes</v>
      </c>
      <c r="F423" s="15" t="str">
        <f>Products!AC284</f>
        <v>Content drafted - assets/specs pending</v>
      </c>
      <c r="G423" s="11" t="str">
        <f>Products!G284</f>
        <v>One page per product category</v>
      </c>
      <c r="H423" s="11" t="str">
        <f>IF(Products!AC284="Ready for approval","None",IF(Products!Q284="","Technical specifications; ","")&amp;IF(Products!S284="","primary image; ","")&amp;IF(Products!U284="","datasheet/brochure; ","")&amp;"technical approval")</f>
        <v>Technical specifications; primary image; datasheet/brochure; technical approval</v>
      </c>
    </row>
    <row r="424" spans="1:8" ht="26" x14ac:dyDescent="0.35">
      <c r="A424" s="11">
        <v>285</v>
      </c>
      <c r="B424" s="11" t="s">
        <v>338</v>
      </c>
      <c r="C424" s="11" t="s">
        <v>14</v>
      </c>
      <c r="D424" s="11" t="s">
        <v>339</v>
      </c>
      <c r="E424" s="19" t="str">
        <f>IF(Products!O285&lt;&gt;"","Yes","No")</f>
        <v>Yes</v>
      </c>
      <c r="F424" s="15" t="str">
        <f>Products!AC285</f>
        <v>Content drafted - assets/specs pending</v>
      </c>
      <c r="G424" s="11" t="str">
        <f>Products!G285</f>
        <v>One page per product category</v>
      </c>
      <c r="H424" s="11" t="str">
        <f>IF(Products!AC285="Ready for approval","None",IF(Products!Q285="","Technical specifications; ","")&amp;IF(Products!S285="","primary image; ","")&amp;IF(Products!U285="","datasheet/brochure; ","")&amp;"technical approval")</f>
        <v>Technical specifications; primary image; datasheet/brochure; technical approval</v>
      </c>
    </row>
    <row r="425" spans="1:8" ht="26" x14ac:dyDescent="0.35">
      <c r="A425" s="11">
        <v>286</v>
      </c>
      <c r="B425" s="11" t="s">
        <v>338</v>
      </c>
      <c r="C425" s="11" t="s">
        <v>14</v>
      </c>
      <c r="D425" s="11" t="s">
        <v>340</v>
      </c>
      <c r="E425" s="19" t="str">
        <f>IF(Products!O286&lt;&gt;"","Yes","No")</f>
        <v>Yes</v>
      </c>
      <c r="F425" s="15" t="str">
        <f>Products!AC286</f>
        <v>Content drafted - assets/specs pending</v>
      </c>
      <c r="G425" s="11" t="str">
        <f>Products!G286</f>
        <v>One page per product category</v>
      </c>
      <c r="H425" s="11" t="str">
        <f>IF(Products!AC286="Ready for approval","None",IF(Products!Q286="","Technical specifications; ","")&amp;IF(Products!S286="","primary image; ","")&amp;IF(Products!U286="","datasheet/brochure; ","")&amp;"technical approval")</f>
        <v>Technical specifications; primary image; datasheet/brochure; technical approval</v>
      </c>
    </row>
    <row r="426" spans="1:8" ht="26" x14ac:dyDescent="0.35">
      <c r="A426" s="11">
        <v>287</v>
      </c>
      <c r="B426" s="11" t="s">
        <v>338</v>
      </c>
      <c r="C426" s="11" t="s">
        <v>14</v>
      </c>
      <c r="D426" s="11" t="s">
        <v>341</v>
      </c>
      <c r="E426" s="19" t="str">
        <f>IF(Products!O287&lt;&gt;"","Yes","No")</f>
        <v>Yes</v>
      </c>
      <c r="F426" s="15" t="str">
        <f>Products!AC287</f>
        <v>Content drafted - assets/specs pending</v>
      </c>
      <c r="G426" s="11" t="str">
        <f>Products!G287</f>
        <v>One page per product category</v>
      </c>
      <c r="H426" s="11" t="str">
        <f>IF(Products!AC287="Ready for approval","None",IF(Products!Q287="","Technical specifications; ","")&amp;IF(Products!S287="","primary image; ","")&amp;IF(Products!U287="","datasheet/brochure; ","")&amp;"technical approval")</f>
        <v>Technical specifications; primary image; datasheet/brochure; technical approval</v>
      </c>
    </row>
    <row r="427" spans="1:8" ht="26" x14ac:dyDescent="0.35">
      <c r="A427" s="11">
        <v>288</v>
      </c>
      <c r="B427" s="11" t="s">
        <v>338</v>
      </c>
      <c r="C427" s="11" t="s">
        <v>14</v>
      </c>
      <c r="D427" s="11" t="s">
        <v>342</v>
      </c>
      <c r="E427" s="19" t="str">
        <f>IF(Products!O288&lt;&gt;"","Yes","No")</f>
        <v>Yes</v>
      </c>
      <c r="F427" s="15" t="str">
        <f>Products!AC288</f>
        <v>Content drafted - assets/specs pending</v>
      </c>
      <c r="G427" s="11" t="str">
        <f>Products!G288</f>
        <v>One page per product category</v>
      </c>
      <c r="H427" s="11" t="str">
        <f>IF(Products!AC288="Ready for approval","None",IF(Products!Q288="","Technical specifications; ","")&amp;IF(Products!S288="","primary image; ","")&amp;IF(Products!U288="","datasheet/brochure; ","")&amp;"technical approval")</f>
        <v>Technical specifications; primary image; datasheet/brochure; technical approval</v>
      </c>
    </row>
    <row r="428" spans="1:8" ht="26" x14ac:dyDescent="0.35">
      <c r="A428" s="11">
        <v>289</v>
      </c>
      <c r="B428" s="11" t="s">
        <v>338</v>
      </c>
      <c r="C428" s="11" t="s">
        <v>14</v>
      </c>
      <c r="D428" s="11" t="s">
        <v>343</v>
      </c>
      <c r="E428" s="19" t="str">
        <f>IF(Products!O289&lt;&gt;"","Yes","No")</f>
        <v>Yes</v>
      </c>
      <c r="F428" s="15" t="str">
        <f>Products!AC289</f>
        <v>Content drafted - assets/specs pending</v>
      </c>
      <c r="G428" s="11" t="str">
        <f>Products!G289</f>
        <v>One page per product category</v>
      </c>
      <c r="H428" s="11" t="str">
        <f>IF(Products!AC289="Ready for approval","None",IF(Products!Q289="","Technical specifications; ","")&amp;IF(Products!S289="","primary image; ","")&amp;IF(Products!U289="","datasheet/brochure; ","")&amp;"technical approval")</f>
        <v>Technical specifications; primary image; datasheet/brochure; technical approval</v>
      </c>
    </row>
    <row r="429" spans="1:8" ht="26" x14ac:dyDescent="0.35">
      <c r="A429" s="11">
        <v>290</v>
      </c>
      <c r="B429" s="11" t="s">
        <v>338</v>
      </c>
      <c r="C429" s="11" t="s">
        <v>14</v>
      </c>
      <c r="D429" s="11" t="s">
        <v>344</v>
      </c>
      <c r="E429" s="19" t="str">
        <f>IF(Products!O290&lt;&gt;"","Yes","No")</f>
        <v>Yes</v>
      </c>
      <c r="F429" s="15" t="str">
        <f>Products!AC290</f>
        <v>Content drafted - assets/specs pending</v>
      </c>
      <c r="G429" s="11" t="str">
        <f>Products!G290</f>
        <v>One page per product category</v>
      </c>
      <c r="H429" s="11" t="str">
        <f>IF(Products!AC290="Ready for approval","None",IF(Products!Q290="","Technical specifications; ","")&amp;IF(Products!S290="","primary image; ","")&amp;IF(Products!U290="","datasheet/brochure; ","")&amp;"technical approval")</f>
        <v>Technical specifications; primary image; datasheet/brochure; technical approval</v>
      </c>
    </row>
    <row r="430" spans="1:8" ht="26" x14ac:dyDescent="0.35">
      <c r="A430" s="11">
        <v>291</v>
      </c>
      <c r="B430" s="11" t="s">
        <v>338</v>
      </c>
      <c r="C430" s="11" t="s">
        <v>14</v>
      </c>
      <c r="D430" s="11" t="s">
        <v>345</v>
      </c>
      <c r="E430" s="19" t="str">
        <f>IF(Products!O291&lt;&gt;"","Yes","No")</f>
        <v>Yes</v>
      </c>
      <c r="F430" s="15" t="str">
        <f>Products!AC291</f>
        <v>Content drafted - assets/specs pending</v>
      </c>
      <c r="G430" s="11" t="str">
        <f>Products!G291</f>
        <v>One page per product category</v>
      </c>
      <c r="H430" s="11" t="str">
        <f>IF(Products!AC291="Ready for approval","None",IF(Products!Q291="","Technical specifications; ","")&amp;IF(Products!S291="","primary image; ","")&amp;IF(Products!U291="","datasheet/brochure; ","")&amp;"technical approval")</f>
        <v>Technical specifications; primary image; datasheet/brochure; technical approval</v>
      </c>
    </row>
    <row r="431" spans="1:8" ht="26" x14ac:dyDescent="0.35">
      <c r="A431" s="11">
        <v>292</v>
      </c>
      <c r="B431" s="11" t="s">
        <v>338</v>
      </c>
      <c r="C431" s="11" t="s">
        <v>14</v>
      </c>
      <c r="D431" s="11" t="s">
        <v>346</v>
      </c>
      <c r="E431" s="19" t="str">
        <f>IF(Products!O292&lt;&gt;"","Yes","No")</f>
        <v>Yes</v>
      </c>
      <c r="F431" s="15" t="str">
        <f>Products!AC292</f>
        <v>Content drafted - assets/specs pending</v>
      </c>
      <c r="G431" s="11" t="str">
        <f>Products!G292</f>
        <v>One page per product category</v>
      </c>
      <c r="H431" s="11" t="str">
        <f>IF(Products!AC292="Ready for approval","None",IF(Products!Q292="","Technical specifications; ","")&amp;IF(Products!S292="","primary image; ","")&amp;IF(Products!U292="","datasheet/brochure; ","")&amp;"technical approval")</f>
        <v>Technical specifications; primary image; datasheet/brochure; technical approval</v>
      </c>
    </row>
    <row r="432" spans="1:8" ht="26" x14ac:dyDescent="0.35">
      <c r="A432" s="11">
        <v>293</v>
      </c>
      <c r="B432" s="11" t="s">
        <v>338</v>
      </c>
      <c r="C432" s="11" t="s">
        <v>14</v>
      </c>
      <c r="D432" s="11" t="s">
        <v>347</v>
      </c>
      <c r="E432" s="19" t="str">
        <f>IF(Products!O293&lt;&gt;"","Yes","No")</f>
        <v>Yes</v>
      </c>
      <c r="F432" s="15" t="str">
        <f>Products!AC293</f>
        <v>Content drafted - assets/specs pending</v>
      </c>
      <c r="G432" s="11" t="str">
        <f>Products!G293</f>
        <v>One page per product category</v>
      </c>
      <c r="H432" s="11" t="str">
        <f>IF(Products!AC293="Ready for approval","None",IF(Products!Q293="","Technical specifications; ","")&amp;IF(Products!S293="","primary image; ","")&amp;IF(Products!U293="","datasheet/brochure; ","")&amp;"technical approval")</f>
        <v>Technical specifications; primary image; datasheet/brochure; technical approval</v>
      </c>
    </row>
    <row r="433" spans="1:8" ht="26" x14ac:dyDescent="0.35">
      <c r="A433" s="11">
        <v>294</v>
      </c>
      <c r="B433" s="11" t="s">
        <v>338</v>
      </c>
      <c r="C433" s="11" t="s">
        <v>14</v>
      </c>
      <c r="D433" s="11" t="s">
        <v>348</v>
      </c>
      <c r="E433" s="19" t="str">
        <f>IF(Products!O294&lt;&gt;"","Yes","No")</f>
        <v>Yes</v>
      </c>
      <c r="F433" s="15" t="str">
        <f>Products!AC294</f>
        <v>Content drafted - assets/specs pending</v>
      </c>
      <c r="G433" s="11" t="str">
        <f>Products!G294</f>
        <v>One page per product category</v>
      </c>
      <c r="H433" s="11" t="str">
        <f>IF(Products!AC294="Ready for approval","None",IF(Products!Q294="","Technical specifications; ","")&amp;IF(Products!S294="","primary image; ","")&amp;IF(Products!U294="","datasheet/brochure; ","")&amp;"technical approval")</f>
        <v>Technical specifications; primary image; datasheet/brochure; technical approval</v>
      </c>
    </row>
    <row r="434" spans="1:8" ht="26" x14ac:dyDescent="0.35">
      <c r="A434" s="11">
        <v>295</v>
      </c>
      <c r="B434" s="11" t="s">
        <v>338</v>
      </c>
      <c r="C434" s="11" t="s">
        <v>14</v>
      </c>
      <c r="D434" s="11" t="s">
        <v>349</v>
      </c>
      <c r="E434" s="19" t="str">
        <f>IF(Products!O295&lt;&gt;"","Yes","No")</f>
        <v>Yes</v>
      </c>
      <c r="F434" s="15" t="str">
        <f>Products!AC295</f>
        <v>Content drafted - assets/specs pending</v>
      </c>
      <c r="G434" s="11" t="str">
        <f>Products!G295</f>
        <v>One page per product category</v>
      </c>
      <c r="H434" s="11" t="str">
        <f>IF(Products!AC295="Ready for approval","None",IF(Products!Q295="","Technical specifications; ","")&amp;IF(Products!S295="","primary image; ","")&amp;IF(Products!U295="","datasheet/brochure; ","")&amp;"technical approval")</f>
        <v>Technical specifications; primary image; datasheet/brochure; technical approval</v>
      </c>
    </row>
    <row r="435" spans="1:8" ht="26" x14ac:dyDescent="0.35">
      <c r="A435" s="11">
        <v>296</v>
      </c>
      <c r="B435" s="11" t="s">
        <v>338</v>
      </c>
      <c r="C435" s="11" t="s">
        <v>14</v>
      </c>
      <c r="D435" s="11" t="s">
        <v>350</v>
      </c>
      <c r="E435" s="19" t="str">
        <f>IF(Products!O296&lt;&gt;"","Yes","No")</f>
        <v>Yes</v>
      </c>
      <c r="F435" s="15" t="str">
        <f>Products!AC296</f>
        <v>Content drafted - assets/specs pending</v>
      </c>
      <c r="G435" s="11" t="str">
        <f>Products!G296</f>
        <v>One page per product category</v>
      </c>
      <c r="H435" s="11" t="str">
        <f>IF(Products!AC296="Ready for approval","None",IF(Products!Q296="","Technical specifications; ","")&amp;IF(Products!S296="","primary image; ","")&amp;IF(Products!U296="","datasheet/brochure; ","")&amp;"technical approval")</f>
        <v>Technical specifications; primary image; datasheet/brochure; technical approval</v>
      </c>
    </row>
    <row r="436" spans="1:8" ht="26" x14ac:dyDescent="0.35">
      <c r="A436" s="11">
        <v>297</v>
      </c>
      <c r="B436" s="11" t="s">
        <v>338</v>
      </c>
      <c r="C436" s="11" t="s">
        <v>14</v>
      </c>
      <c r="D436" s="11" t="s">
        <v>329</v>
      </c>
      <c r="E436" s="19" t="str">
        <f>IF(Products!O297&lt;&gt;"","Yes","No")</f>
        <v>Yes</v>
      </c>
      <c r="F436" s="15" t="str">
        <f>Products!AC297</f>
        <v>Content drafted - assets/specs pending</v>
      </c>
      <c r="G436" s="11" t="str">
        <f>Products!G297</f>
        <v>One page per product category</v>
      </c>
      <c r="H436" s="11" t="str">
        <f>IF(Products!AC297="Ready for approval","None",IF(Products!Q297="","Technical specifications; ","")&amp;IF(Products!S297="","primary image; ","")&amp;IF(Products!U297="","datasheet/brochure; ","")&amp;"technical approval")</f>
        <v>Technical specifications; primary image; datasheet/brochure; technical approval</v>
      </c>
    </row>
    <row r="437" spans="1:8" ht="26" x14ac:dyDescent="0.35">
      <c r="A437" s="11">
        <v>298</v>
      </c>
      <c r="B437" s="11" t="s">
        <v>338</v>
      </c>
      <c r="C437" s="11" t="s">
        <v>14</v>
      </c>
      <c r="D437" s="11" t="s">
        <v>351</v>
      </c>
      <c r="E437" s="19" t="str">
        <f>IF(Products!O298&lt;&gt;"","Yes","No")</f>
        <v>Yes</v>
      </c>
      <c r="F437" s="15" t="str">
        <f>Products!AC298</f>
        <v>Content drafted - assets/specs pending</v>
      </c>
      <c r="G437" s="11" t="str">
        <f>Products!G298</f>
        <v>One page per product category</v>
      </c>
      <c r="H437" s="11" t="str">
        <f>IF(Products!AC298="Ready for approval","None",IF(Products!Q298="","Technical specifications; ","")&amp;IF(Products!S298="","primary image; ","")&amp;IF(Products!U298="","datasheet/brochure; ","")&amp;"technical approval")</f>
        <v>Technical specifications; primary image; datasheet/brochure; technical approval</v>
      </c>
    </row>
    <row r="438" spans="1:8" ht="26" x14ac:dyDescent="0.35">
      <c r="A438" s="11">
        <v>299</v>
      </c>
      <c r="B438" s="11" t="s">
        <v>338</v>
      </c>
      <c r="C438" s="11" t="s">
        <v>14</v>
      </c>
      <c r="D438" s="11" t="s">
        <v>352</v>
      </c>
      <c r="E438" s="19" t="str">
        <f>IF(Products!O299&lt;&gt;"","Yes","No")</f>
        <v>Yes</v>
      </c>
      <c r="F438" s="15" t="str">
        <f>Products!AC299</f>
        <v>Content drafted - assets/specs pending</v>
      </c>
      <c r="G438" s="11" t="str">
        <f>Products!G299</f>
        <v>One page per product category</v>
      </c>
      <c r="H438" s="11" t="str">
        <f>IF(Products!AC299="Ready for approval","None",IF(Products!Q299="","Technical specifications; ","")&amp;IF(Products!S299="","primary image; ","")&amp;IF(Products!U299="","datasheet/brochure; ","")&amp;"technical approval")</f>
        <v>Technical specifications; primary image; datasheet/brochure; technical approval</v>
      </c>
    </row>
    <row r="439" spans="1:8" ht="26" x14ac:dyDescent="0.35">
      <c r="A439" s="11">
        <v>300</v>
      </c>
      <c r="B439" s="11" t="s">
        <v>338</v>
      </c>
      <c r="C439" s="11" t="s">
        <v>14</v>
      </c>
      <c r="D439" s="11" t="s">
        <v>353</v>
      </c>
      <c r="E439" s="19" t="str">
        <f>IF(Products!O300&lt;&gt;"","Yes","No")</f>
        <v>Yes</v>
      </c>
      <c r="F439" s="15" t="str">
        <f>Products!AC300</f>
        <v>Content drafted - assets/specs pending</v>
      </c>
      <c r="G439" s="11" t="str">
        <f>Products!G300</f>
        <v>One page per product category</v>
      </c>
      <c r="H439" s="11" t="str">
        <f>IF(Products!AC300="Ready for approval","None",IF(Products!Q300="","Technical specifications; ","")&amp;IF(Products!S300="","primary image; ","")&amp;IF(Products!U300="","datasheet/brochure; ","")&amp;"technical approval")</f>
        <v>Technical specifications; primary image; datasheet/brochure; technical approval</v>
      </c>
    </row>
    <row r="440" spans="1:8" ht="26" x14ac:dyDescent="0.35">
      <c r="A440" s="11">
        <v>301</v>
      </c>
      <c r="B440" s="11" t="s">
        <v>338</v>
      </c>
      <c r="C440" s="11" t="s">
        <v>14</v>
      </c>
      <c r="D440" s="11" t="s">
        <v>354</v>
      </c>
      <c r="E440" s="19" t="str">
        <f>IF(Products!O301&lt;&gt;"","Yes","No")</f>
        <v>Yes</v>
      </c>
      <c r="F440" s="15" t="str">
        <f>Products!AC301</f>
        <v>Content drafted - assets/specs pending</v>
      </c>
      <c r="G440" s="11" t="str">
        <f>Products!G301</f>
        <v>One page per product category</v>
      </c>
      <c r="H440" s="11" t="str">
        <f>IF(Products!AC301="Ready for approval","None",IF(Products!Q301="","Technical specifications; ","")&amp;IF(Products!S301="","primary image; ","")&amp;IF(Products!U301="","datasheet/brochure; ","")&amp;"technical approval")</f>
        <v>Technical specifications; primary image; datasheet/brochure; technical approval</v>
      </c>
    </row>
    <row r="441" spans="1:8" ht="26" x14ac:dyDescent="0.35">
      <c r="A441" s="11">
        <v>302</v>
      </c>
      <c r="B441" s="11" t="s">
        <v>338</v>
      </c>
      <c r="C441" s="11" t="s">
        <v>14</v>
      </c>
      <c r="D441" s="11" t="s">
        <v>355</v>
      </c>
      <c r="E441" s="19" t="str">
        <f>IF(Products!O302&lt;&gt;"","Yes","No")</f>
        <v>Yes</v>
      </c>
      <c r="F441" s="15" t="str">
        <f>Products!AC302</f>
        <v>Content drafted - assets/specs pending</v>
      </c>
      <c r="G441" s="11" t="str">
        <f>Products!G302</f>
        <v>One page per product category</v>
      </c>
      <c r="H441" s="11" t="str">
        <f>IF(Products!AC302="Ready for approval","None",IF(Products!Q302="","Technical specifications; ","")&amp;IF(Products!S302="","primary image; ","")&amp;IF(Products!U302="","datasheet/brochure; ","")&amp;"technical approval")</f>
        <v>Technical specifications; primary image; datasheet/brochure; technical approval</v>
      </c>
    </row>
    <row r="442" spans="1:8" ht="26" x14ac:dyDescent="0.35">
      <c r="A442" s="11">
        <v>303</v>
      </c>
      <c r="B442" s="11" t="s">
        <v>338</v>
      </c>
      <c r="C442" s="11" t="s">
        <v>14</v>
      </c>
      <c r="D442" s="11" t="s">
        <v>356</v>
      </c>
      <c r="E442" s="19" t="str">
        <f>IF(Products!O303&lt;&gt;"","Yes","No")</f>
        <v>Yes</v>
      </c>
      <c r="F442" s="15" t="str">
        <f>Products!AC303</f>
        <v>Content drafted - assets/specs pending</v>
      </c>
      <c r="G442" s="11" t="str">
        <f>Products!G303</f>
        <v>One page per product category</v>
      </c>
      <c r="H442" s="11" t="str">
        <f>IF(Products!AC303="Ready for approval","None",IF(Products!Q303="","Technical specifications; ","")&amp;IF(Products!S303="","primary image; ","")&amp;IF(Products!U303="","datasheet/brochure; ","")&amp;"technical approval")</f>
        <v>Technical specifications; primary image; datasheet/brochure; technical approval</v>
      </c>
    </row>
    <row r="443" spans="1:8" ht="26" x14ac:dyDescent="0.35">
      <c r="A443" s="11">
        <v>304</v>
      </c>
      <c r="B443" s="11" t="s">
        <v>338</v>
      </c>
      <c r="C443" s="11" t="s">
        <v>14</v>
      </c>
      <c r="D443" s="11" t="s">
        <v>357</v>
      </c>
      <c r="E443" s="19" t="str">
        <f>IF(Products!O304&lt;&gt;"","Yes","No")</f>
        <v>Yes</v>
      </c>
      <c r="F443" s="15" t="str">
        <f>Products!AC304</f>
        <v>Content drafted - assets/specs pending</v>
      </c>
      <c r="G443" s="11" t="str">
        <f>Products!G304</f>
        <v>One page per product category</v>
      </c>
      <c r="H443" s="11" t="str">
        <f>IF(Products!AC304="Ready for approval","None",IF(Products!Q304="","Technical specifications; ","")&amp;IF(Products!S304="","primary image; ","")&amp;IF(Products!U304="","datasheet/brochure; ","")&amp;"technical approval")</f>
        <v>Technical specifications; primary image; datasheet/brochure; technical approval</v>
      </c>
    </row>
    <row r="444" spans="1:8" ht="26" x14ac:dyDescent="0.35">
      <c r="A444" s="11">
        <v>305</v>
      </c>
      <c r="B444" s="11" t="s">
        <v>338</v>
      </c>
      <c r="C444" s="11" t="s">
        <v>14</v>
      </c>
      <c r="D444" s="11" t="s">
        <v>358</v>
      </c>
      <c r="E444" s="19" t="str">
        <f>IF(Products!O305&lt;&gt;"","Yes","No")</f>
        <v>Yes</v>
      </c>
      <c r="F444" s="15" t="str">
        <f>Products!AC305</f>
        <v>Content drafted - assets/specs pending</v>
      </c>
      <c r="G444" s="11" t="str">
        <f>Products!G305</f>
        <v>One page per product category</v>
      </c>
      <c r="H444" s="11" t="str">
        <f>IF(Products!AC305="Ready for approval","None",IF(Products!Q305="","Technical specifications; ","")&amp;IF(Products!S305="","primary image; ","")&amp;IF(Products!U305="","datasheet/brochure; ","")&amp;"technical approval")</f>
        <v>Technical specifications; primary image; datasheet/brochure; technical approval</v>
      </c>
    </row>
    <row r="445" spans="1:8" ht="26" x14ac:dyDescent="0.35">
      <c r="A445" s="11">
        <v>306</v>
      </c>
      <c r="B445" s="11" t="s">
        <v>338</v>
      </c>
      <c r="C445" s="11" t="s">
        <v>14</v>
      </c>
      <c r="D445" s="11" t="s">
        <v>359</v>
      </c>
      <c r="E445" s="19" t="str">
        <f>IF(Products!O306&lt;&gt;"","Yes","No")</f>
        <v>Yes</v>
      </c>
      <c r="F445" s="15" t="str">
        <f>Products!AC306</f>
        <v>Content drafted - assets/specs pending</v>
      </c>
      <c r="G445" s="11" t="str">
        <f>Products!G306</f>
        <v>One page per product category</v>
      </c>
      <c r="H445" s="11" t="str">
        <f>IF(Products!AC306="Ready for approval","None",IF(Products!Q306="","Technical specifications; ","")&amp;IF(Products!S306="","primary image; ","")&amp;IF(Products!U306="","datasheet/brochure; ","")&amp;"technical approval")</f>
        <v>Technical specifications; primary image; datasheet/brochure; technical approval</v>
      </c>
    </row>
    <row r="446" spans="1:8" ht="26" x14ac:dyDescent="0.35">
      <c r="A446" s="11">
        <v>307</v>
      </c>
      <c r="B446" s="11" t="s">
        <v>338</v>
      </c>
      <c r="C446" s="11" t="s">
        <v>14</v>
      </c>
      <c r="D446" s="11" t="s">
        <v>360</v>
      </c>
      <c r="E446" s="19" t="str">
        <f>IF(Products!O307&lt;&gt;"","Yes","No")</f>
        <v>Yes</v>
      </c>
      <c r="F446" s="15" t="str">
        <f>Products!AC307</f>
        <v>Content drafted - assets/specs pending</v>
      </c>
      <c r="G446" s="11" t="str">
        <f>Products!G307</f>
        <v>One page per product category</v>
      </c>
      <c r="H446" s="11" t="str">
        <f>IF(Products!AC307="Ready for approval","None",IF(Products!Q307="","Technical specifications; ","")&amp;IF(Products!S307="","primary image; ","")&amp;IF(Products!U307="","datasheet/brochure; ","")&amp;"technical approval")</f>
        <v>Technical specifications; primary image; datasheet/brochure; technical approval</v>
      </c>
    </row>
    <row r="447" spans="1:8" ht="26" x14ac:dyDescent="0.35">
      <c r="A447" s="11">
        <v>308</v>
      </c>
      <c r="B447" s="11" t="s">
        <v>338</v>
      </c>
      <c r="C447" s="11" t="s">
        <v>14</v>
      </c>
      <c r="D447" s="11" t="s">
        <v>361</v>
      </c>
      <c r="E447" s="19" t="str">
        <f>IF(Products!O308&lt;&gt;"","Yes","No")</f>
        <v>Yes</v>
      </c>
      <c r="F447" s="15" t="str">
        <f>Products!AC308</f>
        <v>Content drafted - assets/specs pending</v>
      </c>
      <c r="G447" s="11" t="str">
        <f>Products!G308</f>
        <v>One page per product category</v>
      </c>
      <c r="H447" s="11" t="str">
        <f>IF(Products!AC308="Ready for approval","None",IF(Products!Q308="","Technical specifications; ","")&amp;IF(Products!S308="","primary image; ","")&amp;IF(Products!U308="","datasheet/brochure; ","")&amp;"technical approval")</f>
        <v>Technical specifications; primary image; datasheet/brochure; technical approval</v>
      </c>
    </row>
    <row r="448" spans="1:8" ht="26" x14ac:dyDescent="0.35">
      <c r="A448" s="11">
        <v>309</v>
      </c>
      <c r="B448" s="11" t="s">
        <v>338</v>
      </c>
      <c r="C448" s="11" t="s">
        <v>14</v>
      </c>
      <c r="D448" s="11" t="s">
        <v>362</v>
      </c>
      <c r="E448" s="19" t="str">
        <f>IF(Products!O309&lt;&gt;"","Yes","No")</f>
        <v>Yes</v>
      </c>
      <c r="F448" s="15" t="str">
        <f>Products!AC309</f>
        <v>Content drafted - assets/specs pending</v>
      </c>
      <c r="G448" s="11" t="str">
        <f>Products!G309</f>
        <v>One page per product category</v>
      </c>
      <c r="H448" s="11" t="str">
        <f>IF(Products!AC309="Ready for approval","None",IF(Products!Q309="","Technical specifications; ","")&amp;IF(Products!S309="","primary image; ","")&amp;IF(Products!U309="","datasheet/brochure; ","")&amp;"technical approval")</f>
        <v>Technical specifications; primary image; datasheet/brochure; technical approval</v>
      </c>
    </row>
    <row r="449" spans="1:8" ht="26" x14ac:dyDescent="0.35">
      <c r="A449" s="11">
        <v>310</v>
      </c>
      <c r="B449" s="11" t="s">
        <v>338</v>
      </c>
      <c r="C449" s="11" t="s">
        <v>14</v>
      </c>
      <c r="D449" s="11" t="s">
        <v>363</v>
      </c>
      <c r="E449" s="19" t="str">
        <f>IF(Products!O310&lt;&gt;"","Yes","No")</f>
        <v>Yes</v>
      </c>
      <c r="F449" s="15" t="str">
        <f>Products!AC310</f>
        <v>Content drafted - assets/specs pending</v>
      </c>
      <c r="G449" s="11" t="str">
        <f>Products!G310</f>
        <v>One page per product category</v>
      </c>
      <c r="H449" s="11" t="str">
        <f>IF(Products!AC310="Ready for approval","None",IF(Products!Q310="","Technical specifications; ","")&amp;IF(Products!S310="","primary image; ","")&amp;IF(Products!U310="","datasheet/brochure; ","")&amp;"technical approval")</f>
        <v>Technical specifications; primary image; datasheet/brochure; technical approval</v>
      </c>
    </row>
    <row r="450" spans="1:8" ht="26" x14ac:dyDescent="0.35">
      <c r="A450" s="11">
        <v>311</v>
      </c>
      <c r="B450" s="11" t="s">
        <v>338</v>
      </c>
      <c r="C450" s="11" t="s">
        <v>14</v>
      </c>
      <c r="D450" s="11" t="s">
        <v>364</v>
      </c>
      <c r="E450" s="19" t="str">
        <f>IF(Products!O311&lt;&gt;"","Yes","No")</f>
        <v>Yes</v>
      </c>
      <c r="F450" s="15" t="str">
        <f>Products!AC311</f>
        <v>Content drafted - assets/specs pending</v>
      </c>
      <c r="G450" s="11" t="str">
        <f>Products!G311</f>
        <v>One page per product category</v>
      </c>
      <c r="H450" s="11" t="str">
        <f>IF(Products!AC311="Ready for approval","None",IF(Products!Q311="","Technical specifications; ","")&amp;IF(Products!S311="","primary image; ","")&amp;IF(Products!U311="","datasheet/brochure; ","")&amp;"technical approval")</f>
        <v>Technical specifications; primary image; datasheet/brochure; technical approval</v>
      </c>
    </row>
    <row r="451" spans="1:8" ht="26" x14ac:dyDescent="0.35">
      <c r="A451" s="11">
        <v>312</v>
      </c>
      <c r="B451" s="11" t="s">
        <v>338</v>
      </c>
      <c r="C451" s="11" t="s">
        <v>14</v>
      </c>
      <c r="D451" s="11" t="s">
        <v>365</v>
      </c>
      <c r="E451" s="19" t="str">
        <f>IF(Products!O312&lt;&gt;"","Yes","No")</f>
        <v>Yes</v>
      </c>
      <c r="F451" s="15" t="str">
        <f>Products!AC312</f>
        <v>Content drafted - assets/specs pending</v>
      </c>
      <c r="G451" s="11" t="str">
        <f>Products!G312</f>
        <v>One page per product category</v>
      </c>
      <c r="H451" s="11" t="str">
        <f>IF(Products!AC312="Ready for approval","None",IF(Products!Q312="","Technical specifications; ","")&amp;IF(Products!S312="","primary image; ","")&amp;IF(Products!U312="","datasheet/brochure; ","")&amp;"technical approval")</f>
        <v>Technical specifications; primary image; datasheet/brochure; technical approval</v>
      </c>
    </row>
    <row r="452" spans="1:8" ht="26" x14ac:dyDescent="0.35">
      <c r="A452" s="11">
        <v>313</v>
      </c>
      <c r="B452" s="11" t="s">
        <v>366</v>
      </c>
      <c r="C452" s="11" t="s">
        <v>14</v>
      </c>
      <c r="D452" s="11" t="s">
        <v>367</v>
      </c>
      <c r="E452" s="19" t="str">
        <f>IF(Products!O313&lt;&gt;"","Yes","No")</f>
        <v>Yes</v>
      </c>
      <c r="F452" s="15" t="str">
        <f>Products!AC313</f>
        <v>Content drafted - assets/specs pending</v>
      </c>
      <c r="G452" s="11" t="str">
        <f>Products!G313</f>
        <v>One page per product category</v>
      </c>
      <c r="H452" s="11" t="str">
        <f>IF(Products!AC313="Ready for approval","None",IF(Products!Q313="","Technical specifications; ","")&amp;IF(Products!S313="","primary image; ","")&amp;IF(Products!U313="","datasheet/brochure; ","")&amp;"technical approval")</f>
        <v>Technical specifications; primary image; datasheet/brochure; technical approval</v>
      </c>
    </row>
    <row r="453" spans="1:8" ht="26" x14ac:dyDescent="0.35">
      <c r="A453" s="11">
        <v>314</v>
      </c>
      <c r="B453" s="11" t="s">
        <v>366</v>
      </c>
      <c r="C453" s="11" t="s">
        <v>14</v>
      </c>
      <c r="D453" s="11" t="s">
        <v>368</v>
      </c>
      <c r="E453" s="19" t="str">
        <f>IF(Products!O314&lt;&gt;"","Yes","No")</f>
        <v>Yes</v>
      </c>
      <c r="F453" s="15" t="str">
        <f>Products!AC314</f>
        <v>Content drafted - assets/specs pending</v>
      </c>
      <c r="G453" s="11" t="str">
        <f>Products!G314</f>
        <v>One page per product category</v>
      </c>
      <c r="H453" s="11" t="str">
        <f>IF(Products!AC314="Ready for approval","None",IF(Products!Q314="","Technical specifications; ","")&amp;IF(Products!S314="","primary image; ","")&amp;IF(Products!U314="","datasheet/brochure; ","")&amp;"technical approval")</f>
        <v>Technical specifications; primary image; datasheet/brochure; technical approval</v>
      </c>
    </row>
    <row r="454" spans="1:8" ht="26" x14ac:dyDescent="0.35">
      <c r="A454" s="11">
        <v>315</v>
      </c>
      <c r="B454" s="11" t="s">
        <v>366</v>
      </c>
      <c r="C454" s="11" t="s">
        <v>14</v>
      </c>
      <c r="D454" s="11" t="s">
        <v>369</v>
      </c>
      <c r="E454" s="19" t="str">
        <f>IF(Products!O315&lt;&gt;"","Yes","No")</f>
        <v>Yes</v>
      </c>
      <c r="F454" s="15" t="str">
        <f>Products!AC315</f>
        <v>Content drafted - assets/specs pending</v>
      </c>
      <c r="G454" s="11" t="str">
        <f>Products!G315</f>
        <v>One page per product category</v>
      </c>
      <c r="H454" s="11" t="str">
        <f>IF(Products!AC315="Ready for approval","None",IF(Products!Q315="","Technical specifications; ","")&amp;IF(Products!S315="","primary image; ","")&amp;IF(Products!U315="","datasheet/brochure; ","")&amp;"technical approval")</f>
        <v>Technical specifications; primary image; datasheet/brochure; technical approval</v>
      </c>
    </row>
    <row r="455" spans="1:8" ht="26" x14ac:dyDescent="0.35">
      <c r="A455" s="11">
        <v>316</v>
      </c>
      <c r="B455" s="11" t="s">
        <v>366</v>
      </c>
      <c r="C455" s="11" t="s">
        <v>14</v>
      </c>
      <c r="D455" s="11" t="s">
        <v>370</v>
      </c>
      <c r="E455" s="19" t="str">
        <f>IF(Products!O316&lt;&gt;"","Yes","No")</f>
        <v>Yes</v>
      </c>
      <c r="F455" s="15" t="str">
        <f>Products!AC316</f>
        <v>Content drafted - assets/specs pending</v>
      </c>
      <c r="G455" s="11" t="str">
        <f>Products!G316</f>
        <v>One page per product category</v>
      </c>
      <c r="H455" s="11" t="str">
        <f>IF(Products!AC316="Ready for approval","None",IF(Products!Q316="","Technical specifications; ","")&amp;IF(Products!S316="","primary image; ","")&amp;IF(Products!U316="","datasheet/brochure; ","")&amp;"technical approval")</f>
        <v>Technical specifications; primary image; datasheet/brochure; technical approval</v>
      </c>
    </row>
    <row r="456" spans="1:8" ht="26" x14ac:dyDescent="0.35">
      <c r="A456" s="11">
        <v>317</v>
      </c>
      <c r="B456" s="11" t="s">
        <v>366</v>
      </c>
      <c r="C456" s="11" t="s">
        <v>14</v>
      </c>
      <c r="D456" s="11" t="s">
        <v>371</v>
      </c>
      <c r="E456" s="19" t="str">
        <f>IF(Products!O317&lt;&gt;"","Yes","No")</f>
        <v>Yes</v>
      </c>
      <c r="F456" s="15" t="str">
        <f>Products!AC317</f>
        <v>Content drafted - assets/specs pending</v>
      </c>
      <c r="G456" s="11" t="str">
        <f>Products!G317</f>
        <v>One page per product category</v>
      </c>
      <c r="H456" s="11" t="str">
        <f>IF(Products!AC317="Ready for approval","None",IF(Products!Q317="","Technical specifications; ","")&amp;IF(Products!S317="","primary image; ","")&amp;IF(Products!U317="","datasheet/brochure; ","")&amp;"technical approval")</f>
        <v>Technical specifications; primary image; datasheet/brochure; technical approval</v>
      </c>
    </row>
    <row r="457" spans="1:8" ht="26" x14ac:dyDescent="0.35">
      <c r="A457" s="11">
        <v>318</v>
      </c>
      <c r="B457" s="11" t="s">
        <v>366</v>
      </c>
      <c r="C457" s="11" t="s">
        <v>14</v>
      </c>
      <c r="D457" s="11" t="s">
        <v>372</v>
      </c>
      <c r="E457" s="19" t="str">
        <f>IF(Products!O318&lt;&gt;"","Yes","No")</f>
        <v>Yes</v>
      </c>
      <c r="F457" s="15" t="str">
        <f>Products!AC318</f>
        <v>Content drafted - assets/specs pending</v>
      </c>
      <c r="G457" s="11" t="str">
        <f>Products!G318</f>
        <v>One page per product category</v>
      </c>
      <c r="H457" s="11" t="str">
        <f>IF(Products!AC318="Ready for approval","None",IF(Products!Q318="","Technical specifications; ","")&amp;IF(Products!S318="","primary image; ","")&amp;IF(Products!U318="","datasheet/brochure; ","")&amp;"technical approval")</f>
        <v>Technical specifications; primary image; datasheet/brochure; technical approval</v>
      </c>
    </row>
    <row r="458" spans="1:8" ht="26" x14ac:dyDescent="0.35">
      <c r="A458" s="11">
        <v>319</v>
      </c>
      <c r="B458" s="11" t="s">
        <v>366</v>
      </c>
      <c r="C458" s="11" t="s">
        <v>14</v>
      </c>
      <c r="D458" s="11" t="s">
        <v>373</v>
      </c>
      <c r="E458" s="19" t="str">
        <f>IF(Products!O319&lt;&gt;"","Yes","No")</f>
        <v>Yes</v>
      </c>
      <c r="F458" s="15" t="str">
        <f>Products!AC319</f>
        <v>Content drafted - assets/specs pending</v>
      </c>
      <c r="G458" s="11" t="str">
        <f>Products!G319</f>
        <v>One page per product category</v>
      </c>
      <c r="H458" s="11" t="str">
        <f>IF(Products!AC319="Ready for approval","None",IF(Products!Q319="","Technical specifications; ","")&amp;IF(Products!S319="","primary image; ","")&amp;IF(Products!U319="","datasheet/brochure; ","")&amp;"technical approval")</f>
        <v>Technical specifications; primary image; datasheet/brochure; technical approval</v>
      </c>
    </row>
    <row r="459" spans="1:8" ht="26" x14ac:dyDescent="0.35">
      <c r="A459" s="11">
        <v>320</v>
      </c>
      <c r="B459" s="11" t="s">
        <v>366</v>
      </c>
      <c r="C459" s="11" t="s">
        <v>14</v>
      </c>
      <c r="D459" s="11" t="s">
        <v>374</v>
      </c>
      <c r="E459" s="19" t="str">
        <f>IF(Products!O320&lt;&gt;"","Yes","No")</f>
        <v>Yes</v>
      </c>
      <c r="F459" s="15" t="str">
        <f>Products!AC320</f>
        <v>Content drafted - assets/specs pending</v>
      </c>
      <c r="G459" s="11" t="str">
        <f>Products!G320</f>
        <v>One page per product category</v>
      </c>
      <c r="H459" s="11" t="str">
        <f>IF(Products!AC320="Ready for approval","None",IF(Products!Q320="","Technical specifications; ","")&amp;IF(Products!S320="","primary image; ","")&amp;IF(Products!U320="","datasheet/brochure; ","")&amp;"technical approval")</f>
        <v>Technical specifications; primary image; datasheet/brochure; technical approval</v>
      </c>
    </row>
    <row r="460" spans="1:8" ht="26" x14ac:dyDescent="0.35">
      <c r="A460" s="11">
        <v>321</v>
      </c>
      <c r="B460" s="11" t="s">
        <v>366</v>
      </c>
      <c r="C460" s="11" t="s">
        <v>14</v>
      </c>
      <c r="D460" s="11" t="s">
        <v>375</v>
      </c>
      <c r="E460" s="19" t="str">
        <f>IF(Products!O321&lt;&gt;"","Yes","No")</f>
        <v>Yes</v>
      </c>
      <c r="F460" s="15" t="str">
        <f>Products!AC321</f>
        <v>Content drafted - assets/specs pending</v>
      </c>
      <c r="G460" s="11" t="str">
        <f>Products!G321</f>
        <v>One page per product category</v>
      </c>
      <c r="H460" s="11" t="str">
        <f>IF(Products!AC321="Ready for approval","None",IF(Products!Q321="","Technical specifications; ","")&amp;IF(Products!S321="","primary image; ","")&amp;IF(Products!U321="","datasheet/brochure; ","")&amp;"technical approval")</f>
        <v>Technical specifications; primary image; datasheet/brochure; technical approval</v>
      </c>
    </row>
    <row r="461" spans="1:8" ht="26" x14ac:dyDescent="0.35">
      <c r="A461" s="11">
        <v>322</v>
      </c>
      <c r="B461" s="11" t="s">
        <v>366</v>
      </c>
      <c r="C461" s="11" t="s">
        <v>14</v>
      </c>
      <c r="D461" s="11" t="s">
        <v>376</v>
      </c>
      <c r="E461" s="19" t="str">
        <f>IF(Products!O322&lt;&gt;"","Yes","No")</f>
        <v>Yes</v>
      </c>
      <c r="F461" s="15" t="str">
        <f>Products!AC322</f>
        <v>Content drafted - assets/specs pending</v>
      </c>
      <c r="G461" s="11" t="str">
        <f>Products!G322</f>
        <v>One page per product category</v>
      </c>
      <c r="H461" s="11" t="str">
        <f>IF(Products!AC322="Ready for approval","None",IF(Products!Q322="","Technical specifications; ","")&amp;IF(Products!S322="","primary image; ","")&amp;IF(Products!U322="","datasheet/brochure; ","")&amp;"technical approval")</f>
        <v>Technical specifications; primary image; datasheet/brochure; technical approval</v>
      </c>
    </row>
    <row r="462" spans="1:8" ht="26" x14ac:dyDescent="0.35">
      <c r="A462" s="11">
        <v>323</v>
      </c>
      <c r="B462" s="11" t="s">
        <v>377</v>
      </c>
      <c r="C462" s="11" t="s">
        <v>14</v>
      </c>
      <c r="D462" s="11" t="s">
        <v>378</v>
      </c>
      <c r="E462" s="19" t="str">
        <f>IF(Products!O323&lt;&gt;"","Yes","No")</f>
        <v>Yes</v>
      </c>
      <c r="F462" s="15" t="str">
        <f>Products!AC323</f>
        <v>Content drafted - assets/specs pending</v>
      </c>
      <c r="G462" s="11" t="str">
        <f>Products!G323</f>
        <v>One page per product category</v>
      </c>
      <c r="H462" s="11" t="str">
        <f>IF(Products!AC323="Ready for approval","None",IF(Products!Q323="","Technical specifications; ","")&amp;IF(Products!S323="","primary image; ","")&amp;IF(Products!U323="","datasheet/brochure; ","")&amp;"technical approval")</f>
        <v>Technical specifications; primary image; datasheet/brochure; technical approval</v>
      </c>
    </row>
    <row r="463" spans="1:8" ht="26" x14ac:dyDescent="0.35">
      <c r="A463" s="11">
        <v>324</v>
      </c>
      <c r="B463" s="11" t="s">
        <v>377</v>
      </c>
      <c r="C463" s="11" t="s">
        <v>14</v>
      </c>
      <c r="D463" s="11" t="s">
        <v>379</v>
      </c>
      <c r="E463" s="19" t="str">
        <f>IF(Products!O324&lt;&gt;"","Yes","No")</f>
        <v>Yes</v>
      </c>
      <c r="F463" s="15" t="str">
        <f>Products!AC324</f>
        <v>Content drafted - assets/specs pending</v>
      </c>
      <c r="G463" s="11" t="str">
        <f>Products!G324</f>
        <v>One page per product category</v>
      </c>
      <c r="H463" s="11" t="str">
        <f>IF(Products!AC324="Ready for approval","None",IF(Products!Q324="","Technical specifications; ","")&amp;IF(Products!S324="","primary image; ","")&amp;IF(Products!U324="","datasheet/brochure; ","")&amp;"technical approval")</f>
        <v>Technical specifications; primary image; datasheet/brochure; technical approval</v>
      </c>
    </row>
    <row r="464" spans="1:8" ht="26" x14ac:dyDescent="0.35">
      <c r="A464" s="11">
        <v>325</v>
      </c>
      <c r="B464" s="11" t="s">
        <v>377</v>
      </c>
      <c r="C464" s="11" t="s">
        <v>14</v>
      </c>
      <c r="D464" s="11" t="s">
        <v>380</v>
      </c>
      <c r="E464" s="19" t="str">
        <f>IF(Products!O325&lt;&gt;"","Yes","No")</f>
        <v>Yes</v>
      </c>
      <c r="F464" s="15" t="str">
        <f>Products!AC325</f>
        <v>Content drafted - assets/specs pending</v>
      </c>
      <c r="G464" s="11" t="str">
        <f>Products!G325</f>
        <v>One page per product category</v>
      </c>
      <c r="H464" s="11" t="str">
        <f>IF(Products!AC325="Ready for approval","None",IF(Products!Q325="","Technical specifications; ","")&amp;IF(Products!S325="","primary image; ","")&amp;IF(Products!U325="","datasheet/brochure; ","")&amp;"technical approval")</f>
        <v>Technical specifications; primary image; datasheet/brochure; technical approval</v>
      </c>
    </row>
    <row r="465" spans="1:8" ht="26" x14ac:dyDescent="0.35">
      <c r="A465" s="11">
        <v>326</v>
      </c>
      <c r="B465" s="11" t="s">
        <v>377</v>
      </c>
      <c r="C465" s="11" t="s">
        <v>14</v>
      </c>
      <c r="D465" s="11" t="s">
        <v>381</v>
      </c>
      <c r="E465" s="19" t="str">
        <f>IF(Products!O326&lt;&gt;"","Yes","No")</f>
        <v>Yes</v>
      </c>
      <c r="F465" s="15" t="str">
        <f>Products!AC326</f>
        <v>Content drafted - assets/specs pending</v>
      </c>
      <c r="G465" s="11" t="str">
        <f>Products!G326</f>
        <v>One page per product category</v>
      </c>
      <c r="H465" s="11" t="str">
        <f>IF(Products!AC326="Ready for approval","None",IF(Products!Q326="","Technical specifications; ","")&amp;IF(Products!S326="","primary image; ","")&amp;IF(Products!U326="","datasheet/brochure; ","")&amp;"technical approval")</f>
        <v>Technical specifications; primary image; datasheet/brochure; technical approval</v>
      </c>
    </row>
    <row r="466" spans="1:8" ht="26" x14ac:dyDescent="0.35">
      <c r="A466" s="11">
        <v>327</v>
      </c>
      <c r="B466" s="11" t="s">
        <v>377</v>
      </c>
      <c r="C466" s="11" t="s">
        <v>14</v>
      </c>
      <c r="D466" s="11" t="s">
        <v>382</v>
      </c>
      <c r="E466" s="19" t="str">
        <f>IF(Products!O327&lt;&gt;"","Yes","No")</f>
        <v>Yes</v>
      </c>
      <c r="F466" s="15" t="str">
        <f>Products!AC327</f>
        <v>Content drafted - assets/specs pending</v>
      </c>
      <c r="G466" s="11" t="str">
        <f>Products!G327</f>
        <v>One page per product category</v>
      </c>
      <c r="H466" s="11" t="str">
        <f>IF(Products!AC327="Ready for approval","None",IF(Products!Q327="","Technical specifications; ","")&amp;IF(Products!S327="","primary image; ","")&amp;IF(Products!U327="","datasheet/brochure; ","")&amp;"technical approval")</f>
        <v>Technical specifications; primary image; datasheet/brochure; technical approval</v>
      </c>
    </row>
    <row r="467" spans="1:8" ht="26" x14ac:dyDescent="0.35">
      <c r="A467" s="11">
        <v>328</v>
      </c>
      <c r="B467" s="11" t="s">
        <v>377</v>
      </c>
      <c r="C467" s="11" t="s">
        <v>14</v>
      </c>
      <c r="D467" s="11" t="s">
        <v>383</v>
      </c>
      <c r="E467" s="19" t="str">
        <f>IF(Products!O328&lt;&gt;"","Yes","No")</f>
        <v>Yes</v>
      </c>
      <c r="F467" s="15" t="str">
        <f>Products!AC328</f>
        <v>Content drafted - assets/specs pending</v>
      </c>
      <c r="G467" s="11" t="str">
        <f>Products!G328</f>
        <v>One page per product category</v>
      </c>
      <c r="H467" s="11" t="str">
        <f>IF(Products!AC328="Ready for approval","None",IF(Products!Q328="","Technical specifications; ","")&amp;IF(Products!S328="","primary image; ","")&amp;IF(Products!U328="","datasheet/brochure; ","")&amp;"technical approval")</f>
        <v>Technical specifications; primary image; datasheet/brochure; technical approval</v>
      </c>
    </row>
    <row r="468" spans="1:8" ht="26" x14ac:dyDescent="0.35">
      <c r="A468" s="11">
        <v>329</v>
      </c>
      <c r="B468" s="11" t="s">
        <v>377</v>
      </c>
      <c r="C468" s="11" t="s">
        <v>14</v>
      </c>
      <c r="D468" s="11" t="s">
        <v>384</v>
      </c>
      <c r="E468" s="19" t="str">
        <f>IF(Products!O329&lt;&gt;"","Yes","No")</f>
        <v>Yes</v>
      </c>
      <c r="F468" s="15" t="str">
        <f>Products!AC329</f>
        <v>Content drafted - assets/specs pending</v>
      </c>
      <c r="G468" s="11" t="str">
        <f>Products!G329</f>
        <v>One page per product category</v>
      </c>
      <c r="H468" s="11" t="str">
        <f>IF(Products!AC329="Ready for approval","None",IF(Products!Q329="","Technical specifications; ","")&amp;IF(Products!S329="","primary image; ","")&amp;IF(Products!U329="","datasheet/brochure; ","")&amp;"technical approval")</f>
        <v>Technical specifications; primary image; datasheet/brochure; technical approval</v>
      </c>
    </row>
    <row r="469" spans="1:8" ht="26" x14ac:dyDescent="0.35">
      <c r="A469" s="11">
        <v>330</v>
      </c>
      <c r="B469" s="11" t="s">
        <v>377</v>
      </c>
      <c r="C469" s="11" t="s">
        <v>14</v>
      </c>
      <c r="D469" s="11" t="s">
        <v>385</v>
      </c>
      <c r="E469" s="19" t="str">
        <f>IF(Products!O330&lt;&gt;"","Yes","No")</f>
        <v>Yes</v>
      </c>
      <c r="F469" s="15" t="str">
        <f>Products!AC330</f>
        <v>Content drafted - assets/specs pending</v>
      </c>
      <c r="G469" s="11" t="str">
        <f>Products!G330</f>
        <v>One page per product category</v>
      </c>
      <c r="H469" s="11" t="str">
        <f>IF(Products!AC330="Ready for approval","None",IF(Products!Q330="","Technical specifications; ","")&amp;IF(Products!S330="","primary image; ","")&amp;IF(Products!U330="","datasheet/brochure; ","")&amp;"technical approval")</f>
        <v>Technical specifications; primary image; datasheet/brochure; technical approval</v>
      </c>
    </row>
    <row r="470" spans="1:8" ht="26" x14ac:dyDescent="0.35">
      <c r="A470" s="11">
        <v>331</v>
      </c>
      <c r="B470" s="11" t="s">
        <v>377</v>
      </c>
      <c r="C470" s="11" t="s">
        <v>14</v>
      </c>
      <c r="D470" s="11" t="s">
        <v>386</v>
      </c>
      <c r="E470" s="19" t="str">
        <f>IF(Products!O331&lt;&gt;"","Yes","No")</f>
        <v>Yes</v>
      </c>
      <c r="F470" s="15" t="str">
        <f>Products!AC331</f>
        <v>Content drafted - assets/specs pending</v>
      </c>
      <c r="G470" s="11" t="str">
        <f>Products!G331</f>
        <v>One page per product category</v>
      </c>
      <c r="H470" s="11" t="str">
        <f>IF(Products!AC331="Ready for approval","None",IF(Products!Q331="","Technical specifications; ","")&amp;IF(Products!S331="","primary image; ","")&amp;IF(Products!U331="","datasheet/brochure; ","")&amp;"technical approval")</f>
        <v>Technical specifications; primary image; datasheet/brochure; technical approval</v>
      </c>
    </row>
    <row r="471" spans="1:8" ht="26" x14ac:dyDescent="0.35">
      <c r="A471" s="11">
        <v>332</v>
      </c>
      <c r="B471" s="11" t="s">
        <v>387</v>
      </c>
      <c r="C471" s="11" t="s">
        <v>16</v>
      </c>
      <c r="D471" s="11" t="s">
        <v>388</v>
      </c>
      <c r="E471" s="19" t="str">
        <f>IF(Products!O332&lt;&gt;"","Yes","No")</f>
        <v>Yes</v>
      </c>
      <c r="F471" s="15" t="str">
        <f>Products!AC332</f>
        <v>Content drafted - assets/specs pending</v>
      </c>
      <c r="G471" s="11" t="str">
        <f>Products!G332</f>
        <v>One page per product category</v>
      </c>
      <c r="H471" s="11" t="str">
        <f>IF(Products!AC332="Ready for approval","None",IF(Products!Q332="","Technical specifications; ","")&amp;IF(Products!S332="","primary image; ","")&amp;IF(Products!U332="","datasheet/brochure; ","")&amp;"technical approval")</f>
        <v>Technical specifications; primary image; datasheet/brochure; technical approval</v>
      </c>
    </row>
    <row r="472" spans="1:8" ht="26" x14ac:dyDescent="0.35">
      <c r="A472" s="11">
        <v>333</v>
      </c>
      <c r="B472" s="11" t="s">
        <v>387</v>
      </c>
      <c r="C472" s="11" t="s">
        <v>16</v>
      </c>
      <c r="D472" s="11" t="s">
        <v>389</v>
      </c>
      <c r="E472" s="19" t="str">
        <f>IF(Products!O333&lt;&gt;"","Yes","No")</f>
        <v>Yes</v>
      </c>
      <c r="F472" s="15" t="str">
        <f>Products!AC333</f>
        <v>Content drafted - assets/specs pending</v>
      </c>
      <c r="G472" s="11" t="str">
        <f>Products!G333</f>
        <v>One page per product category</v>
      </c>
      <c r="H472" s="11" t="str">
        <f>IF(Products!AC333="Ready for approval","None",IF(Products!Q333="","Technical specifications; ","")&amp;IF(Products!S333="","primary image; ","")&amp;IF(Products!U333="","datasheet/brochure; ","")&amp;"technical approval")</f>
        <v>Technical specifications; primary image; datasheet/brochure; technical approval</v>
      </c>
    </row>
    <row r="473" spans="1:8" ht="26" x14ac:dyDescent="0.35">
      <c r="A473" s="11">
        <v>334</v>
      </c>
      <c r="B473" s="11" t="s">
        <v>387</v>
      </c>
      <c r="C473" s="11" t="s">
        <v>16</v>
      </c>
      <c r="D473" s="11" t="s">
        <v>390</v>
      </c>
      <c r="E473" s="19" t="str">
        <f>IF(Products!O334&lt;&gt;"","Yes","No")</f>
        <v>Yes</v>
      </c>
      <c r="F473" s="15" t="str">
        <f>Products!AC334</f>
        <v>Content drafted - assets/specs pending</v>
      </c>
      <c r="G473" s="11" t="str">
        <f>Products!G334</f>
        <v>One page per product category</v>
      </c>
      <c r="H473" s="11" t="str">
        <f>IF(Products!AC334="Ready for approval","None",IF(Products!Q334="","Technical specifications; ","")&amp;IF(Products!S334="","primary image; ","")&amp;IF(Products!U334="","datasheet/brochure; ","")&amp;"technical approval")</f>
        <v>Technical specifications; primary image; datasheet/brochure; technical approval</v>
      </c>
    </row>
    <row r="474" spans="1:8" ht="26" x14ac:dyDescent="0.35">
      <c r="A474" s="11">
        <v>335</v>
      </c>
      <c r="B474" s="11" t="s">
        <v>387</v>
      </c>
      <c r="C474" s="11" t="s">
        <v>16</v>
      </c>
      <c r="D474" s="11" t="s">
        <v>391</v>
      </c>
      <c r="E474" s="19" t="str">
        <f>IF(Products!O335&lt;&gt;"","Yes","No")</f>
        <v>Yes</v>
      </c>
      <c r="F474" s="15" t="str">
        <f>Products!AC335</f>
        <v>Content drafted - assets/specs pending</v>
      </c>
      <c r="G474" s="11" t="str">
        <f>Products!G335</f>
        <v>One page per product category</v>
      </c>
      <c r="H474" s="11" t="str">
        <f>IF(Products!AC335="Ready for approval","None",IF(Products!Q335="","Technical specifications; ","")&amp;IF(Products!S335="","primary image; ","")&amp;IF(Products!U335="","datasheet/brochure; ","")&amp;"technical approval")</f>
        <v>Technical specifications; primary image; datasheet/brochure; technical approval</v>
      </c>
    </row>
    <row r="475" spans="1:8" ht="26" x14ac:dyDescent="0.35">
      <c r="A475" s="11">
        <v>336</v>
      </c>
      <c r="B475" s="11" t="s">
        <v>387</v>
      </c>
      <c r="C475" s="11" t="s">
        <v>16</v>
      </c>
      <c r="D475" s="11" t="s">
        <v>392</v>
      </c>
      <c r="E475" s="19" t="str">
        <f>IF(Products!O336&lt;&gt;"","Yes","No")</f>
        <v>Yes</v>
      </c>
      <c r="F475" s="15" t="str">
        <f>Products!AC336</f>
        <v>Content drafted - assets/specs pending</v>
      </c>
      <c r="G475" s="11" t="str">
        <f>Products!G336</f>
        <v>One page per product category</v>
      </c>
      <c r="H475" s="11" t="str">
        <f>IF(Products!AC336="Ready for approval","None",IF(Products!Q336="","Technical specifications; ","")&amp;IF(Products!S336="","primary image; ","")&amp;IF(Products!U336="","datasheet/brochure; ","")&amp;"technical approval")</f>
        <v>Technical specifications; primary image; datasheet/brochure; technical approval</v>
      </c>
    </row>
    <row r="476" spans="1:8" ht="26" x14ac:dyDescent="0.35">
      <c r="A476" s="11">
        <v>337</v>
      </c>
      <c r="B476" s="11" t="s">
        <v>387</v>
      </c>
      <c r="C476" s="11" t="s">
        <v>16</v>
      </c>
      <c r="D476" s="11" t="s">
        <v>393</v>
      </c>
      <c r="E476" s="19" t="str">
        <f>IF(Products!O337&lt;&gt;"","Yes","No")</f>
        <v>Yes</v>
      </c>
      <c r="F476" s="15" t="str">
        <f>Products!AC337</f>
        <v>Content drafted - assets/specs pending</v>
      </c>
      <c r="G476" s="11" t="str">
        <f>Products!G337</f>
        <v>One page per product category</v>
      </c>
      <c r="H476" s="11" t="str">
        <f>IF(Products!AC337="Ready for approval","None",IF(Products!Q337="","Technical specifications; ","")&amp;IF(Products!S337="","primary image; ","")&amp;IF(Products!U337="","datasheet/brochure; ","")&amp;"technical approval")</f>
        <v>Technical specifications; primary image; datasheet/brochure; technical approval</v>
      </c>
    </row>
    <row r="477" spans="1:8" ht="26" x14ac:dyDescent="0.35">
      <c r="A477" s="11">
        <v>338</v>
      </c>
      <c r="B477" s="11" t="s">
        <v>387</v>
      </c>
      <c r="C477" s="11" t="s">
        <v>16</v>
      </c>
      <c r="D477" s="11" t="s">
        <v>394</v>
      </c>
      <c r="E477" s="19" t="str">
        <f>IF(Products!O338&lt;&gt;"","Yes","No")</f>
        <v>Yes</v>
      </c>
      <c r="F477" s="15" t="str">
        <f>Products!AC338</f>
        <v>Content drafted - assets/specs pending</v>
      </c>
      <c r="G477" s="11" t="str">
        <f>Products!G338</f>
        <v>One page per product category</v>
      </c>
      <c r="H477" s="11" t="str">
        <f>IF(Products!AC338="Ready for approval","None",IF(Products!Q338="","Technical specifications; ","")&amp;IF(Products!S338="","primary image; ","")&amp;IF(Products!U338="","datasheet/brochure; ","")&amp;"technical approval")</f>
        <v>Technical specifications; primary image; datasheet/brochure; technical approval</v>
      </c>
    </row>
    <row r="478" spans="1:8" ht="26" x14ac:dyDescent="0.35">
      <c r="A478" s="11">
        <v>339</v>
      </c>
      <c r="B478" s="11" t="s">
        <v>387</v>
      </c>
      <c r="C478" s="11" t="s">
        <v>16</v>
      </c>
      <c r="D478" s="11" t="s">
        <v>395</v>
      </c>
      <c r="E478" s="19" t="str">
        <f>IF(Products!O339&lt;&gt;"","Yes","No")</f>
        <v>Yes</v>
      </c>
      <c r="F478" s="15" t="str">
        <f>Products!AC339</f>
        <v>Content drafted - assets/specs pending</v>
      </c>
      <c r="G478" s="11" t="str">
        <f>Products!G339</f>
        <v>One page per product category</v>
      </c>
      <c r="H478" s="11" t="str">
        <f>IF(Products!AC339="Ready for approval","None",IF(Products!Q339="","Technical specifications; ","")&amp;IF(Products!S339="","primary image; ","")&amp;IF(Products!U339="","datasheet/brochure; ","")&amp;"technical approval")</f>
        <v>Technical specifications; primary image; datasheet/brochure; technical approval</v>
      </c>
    </row>
    <row r="479" spans="1:8" ht="26" x14ac:dyDescent="0.35">
      <c r="A479" s="11">
        <v>340</v>
      </c>
      <c r="B479" s="11" t="s">
        <v>387</v>
      </c>
      <c r="C479" s="11" t="s">
        <v>16</v>
      </c>
      <c r="D479" s="11" t="s">
        <v>396</v>
      </c>
      <c r="E479" s="19" t="str">
        <f>IF(Products!O340&lt;&gt;"","Yes","No")</f>
        <v>Yes</v>
      </c>
      <c r="F479" s="15" t="str">
        <f>Products!AC340</f>
        <v>Content drafted - assets/specs pending</v>
      </c>
      <c r="G479" s="11" t="str">
        <f>Products!G340</f>
        <v>One page per product category</v>
      </c>
      <c r="H479" s="11" t="str">
        <f>IF(Products!AC340="Ready for approval","None",IF(Products!Q340="","Technical specifications; ","")&amp;IF(Products!S340="","primary image; ","")&amp;IF(Products!U340="","datasheet/brochure; ","")&amp;"technical approval")</f>
        <v>Technical specifications; primary image; datasheet/brochure; technical approval</v>
      </c>
    </row>
    <row r="480" spans="1:8" ht="26" x14ac:dyDescent="0.35">
      <c r="A480" s="11">
        <v>341</v>
      </c>
      <c r="B480" s="11" t="s">
        <v>387</v>
      </c>
      <c r="C480" s="11" t="s">
        <v>16</v>
      </c>
      <c r="D480" s="11" t="s">
        <v>397</v>
      </c>
      <c r="E480" s="19" t="str">
        <f>IF(Products!O341&lt;&gt;"","Yes","No")</f>
        <v>Yes</v>
      </c>
      <c r="F480" s="15" t="str">
        <f>Products!AC341</f>
        <v>Content drafted - assets/specs pending</v>
      </c>
      <c r="G480" s="11" t="str">
        <f>Products!G341</f>
        <v>One page per product category</v>
      </c>
      <c r="H480" s="11" t="str">
        <f>IF(Products!AC341="Ready for approval","None",IF(Products!Q341="","Technical specifications; ","")&amp;IF(Products!S341="","primary image; ","")&amp;IF(Products!U341="","datasheet/brochure; ","")&amp;"technical approval")</f>
        <v>Technical specifications; primary image; datasheet/brochure; technical approval</v>
      </c>
    </row>
    <row r="481" spans="1:8" ht="26" x14ac:dyDescent="0.35">
      <c r="A481" s="11">
        <v>342</v>
      </c>
      <c r="B481" s="11" t="s">
        <v>387</v>
      </c>
      <c r="C481" s="11" t="s">
        <v>16</v>
      </c>
      <c r="D481" s="11" t="s">
        <v>398</v>
      </c>
      <c r="E481" s="19" t="str">
        <f>IF(Products!O342&lt;&gt;"","Yes","No")</f>
        <v>Yes</v>
      </c>
      <c r="F481" s="15" t="str">
        <f>Products!AC342</f>
        <v>Content drafted - assets/specs pending</v>
      </c>
      <c r="G481" s="11" t="str">
        <f>Products!G342</f>
        <v>One page per product category</v>
      </c>
      <c r="H481" s="11" t="str">
        <f>IF(Products!AC342="Ready for approval","None",IF(Products!Q342="","Technical specifications; ","")&amp;IF(Products!S342="","primary image; ","")&amp;IF(Products!U342="","datasheet/brochure; ","")&amp;"technical approval")</f>
        <v>Technical specifications; primary image; datasheet/brochure; technical approval</v>
      </c>
    </row>
    <row r="482" spans="1:8" ht="26" x14ac:dyDescent="0.35">
      <c r="A482" s="11">
        <v>343</v>
      </c>
      <c r="B482" s="11" t="s">
        <v>387</v>
      </c>
      <c r="C482" s="11" t="s">
        <v>16</v>
      </c>
      <c r="D482" s="11" t="s">
        <v>399</v>
      </c>
      <c r="E482" s="19" t="str">
        <f>IF(Products!O343&lt;&gt;"","Yes","No")</f>
        <v>Yes</v>
      </c>
      <c r="F482" s="15" t="str">
        <f>Products!AC343</f>
        <v>Content drafted - assets/specs pending</v>
      </c>
      <c r="G482" s="11" t="str">
        <f>Products!G343</f>
        <v>One page per product category</v>
      </c>
      <c r="H482" s="11" t="str">
        <f>IF(Products!AC343="Ready for approval","None",IF(Products!Q343="","Technical specifications; ","")&amp;IF(Products!S343="","primary image; ","")&amp;IF(Products!U343="","datasheet/brochure; ","")&amp;"technical approval")</f>
        <v>Technical specifications; primary image; datasheet/brochure; technical approval</v>
      </c>
    </row>
    <row r="483" spans="1:8" ht="26" x14ac:dyDescent="0.35">
      <c r="A483" s="11">
        <v>344</v>
      </c>
      <c r="B483" s="11" t="s">
        <v>387</v>
      </c>
      <c r="C483" s="11" t="s">
        <v>16</v>
      </c>
      <c r="D483" s="11" t="s">
        <v>400</v>
      </c>
      <c r="E483" s="19" t="str">
        <f>IF(Products!O344&lt;&gt;"","Yes","No")</f>
        <v>Yes</v>
      </c>
      <c r="F483" s="15" t="str">
        <f>Products!AC344</f>
        <v>Content drafted - assets/specs pending</v>
      </c>
      <c r="G483" s="11" t="str">
        <f>Products!G344</f>
        <v>One page per product category</v>
      </c>
      <c r="H483" s="11" t="str">
        <f>IF(Products!AC344="Ready for approval","None",IF(Products!Q344="","Technical specifications; ","")&amp;IF(Products!S344="","primary image; ","")&amp;IF(Products!U344="","datasheet/brochure; ","")&amp;"technical approval")</f>
        <v>Technical specifications; primary image; datasheet/brochure; technical approval</v>
      </c>
    </row>
    <row r="484" spans="1:8" ht="26" x14ac:dyDescent="0.35">
      <c r="A484" s="11">
        <v>345</v>
      </c>
      <c r="B484" s="11" t="s">
        <v>387</v>
      </c>
      <c r="C484" s="11" t="s">
        <v>16</v>
      </c>
      <c r="D484" s="11" t="s">
        <v>401</v>
      </c>
      <c r="E484" s="19" t="str">
        <f>IF(Products!O345&lt;&gt;"","Yes","No")</f>
        <v>Yes</v>
      </c>
      <c r="F484" s="15" t="str">
        <f>Products!AC345</f>
        <v>Content drafted - assets/specs pending</v>
      </c>
      <c r="G484" s="11" t="str">
        <f>Products!G345</f>
        <v>One page per product category</v>
      </c>
      <c r="H484" s="11" t="str">
        <f>IF(Products!AC345="Ready for approval","None",IF(Products!Q345="","Technical specifications; ","")&amp;IF(Products!S345="","primary image; ","")&amp;IF(Products!U345="","datasheet/brochure; ","")&amp;"technical approval")</f>
        <v>Technical specifications; primary image; datasheet/brochure; technical approval</v>
      </c>
    </row>
    <row r="485" spans="1:8" ht="26" x14ac:dyDescent="0.35">
      <c r="A485" s="11">
        <v>346</v>
      </c>
      <c r="B485" s="11" t="s">
        <v>387</v>
      </c>
      <c r="C485" s="11" t="s">
        <v>16</v>
      </c>
      <c r="D485" s="11" t="s">
        <v>402</v>
      </c>
      <c r="E485" s="19" t="str">
        <f>IF(Products!O346&lt;&gt;"","Yes","No")</f>
        <v>Yes</v>
      </c>
      <c r="F485" s="15" t="str">
        <f>Products!AC346</f>
        <v>Content drafted - assets/specs pending</v>
      </c>
      <c r="G485" s="11" t="str">
        <f>Products!G346</f>
        <v>One page per product category</v>
      </c>
      <c r="H485" s="11" t="str">
        <f>IF(Products!AC346="Ready for approval","None",IF(Products!Q346="","Technical specifications; ","")&amp;IF(Products!S346="","primary image; ","")&amp;IF(Products!U346="","datasheet/brochure; ","")&amp;"technical approval")</f>
        <v>Technical specifications; primary image; datasheet/brochure; technical approval</v>
      </c>
    </row>
    <row r="486" spans="1:8" ht="26" x14ac:dyDescent="0.35">
      <c r="A486" s="11">
        <v>347</v>
      </c>
      <c r="B486" s="11" t="s">
        <v>387</v>
      </c>
      <c r="C486" s="11" t="s">
        <v>16</v>
      </c>
      <c r="D486" s="11" t="s">
        <v>403</v>
      </c>
      <c r="E486" s="19" t="str">
        <f>IF(Products!O347&lt;&gt;"","Yes","No")</f>
        <v>Yes</v>
      </c>
      <c r="F486" s="15" t="str">
        <f>Products!AC347</f>
        <v>Content drafted - assets/specs pending</v>
      </c>
      <c r="G486" s="11" t="str">
        <f>Products!G347</f>
        <v>One page per product category</v>
      </c>
      <c r="H486" s="11" t="str">
        <f>IF(Products!AC347="Ready for approval","None",IF(Products!Q347="","Technical specifications; ","")&amp;IF(Products!S347="","primary image; ","")&amp;IF(Products!U347="","datasheet/brochure; ","")&amp;"technical approval")</f>
        <v>Technical specifications; primary image; datasheet/brochure; technical approval</v>
      </c>
    </row>
    <row r="487" spans="1:8" ht="26" x14ac:dyDescent="0.35">
      <c r="A487" s="11">
        <v>348</v>
      </c>
      <c r="B487" s="11" t="s">
        <v>387</v>
      </c>
      <c r="C487" s="11" t="s">
        <v>16</v>
      </c>
      <c r="D487" s="11" t="s">
        <v>404</v>
      </c>
      <c r="E487" s="19" t="str">
        <f>IF(Products!O348&lt;&gt;"","Yes","No")</f>
        <v>Yes</v>
      </c>
      <c r="F487" s="15" t="str">
        <f>Products!AC348</f>
        <v>Content drafted - assets/specs pending</v>
      </c>
      <c r="G487" s="11" t="str">
        <f>Products!G348</f>
        <v>One page per product category</v>
      </c>
      <c r="H487" s="11" t="str">
        <f>IF(Products!AC348="Ready for approval","None",IF(Products!Q348="","Technical specifications; ","")&amp;IF(Products!S348="","primary image; ","")&amp;IF(Products!U348="","datasheet/brochure; ","")&amp;"technical approval")</f>
        <v>Technical specifications; primary image; datasheet/brochure; technical approval</v>
      </c>
    </row>
    <row r="488" spans="1:8" ht="26" x14ac:dyDescent="0.35">
      <c r="A488" s="11">
        <v>349</v>
      </c>
      <c r="B488" s="11" t="s">
        <v>387</v>
      </c>
      <c r="C488" s="11" t="s">
        <v>16</v>
      </c>
      <c r="D488" s="11" t="s">
        <v>405</v>
      </c>
      <c r="E488" s="19" t="str">
        <f>IF(Products!O349&lt;&gt;"","Yes","No")</f>
        <v>Yes</v>
      </c>
      <c r="F488" s="15" t="str">
        <f>Products!AC349</f>
        <v>Content drafted - assets/specs pending</v>
      </c>
      <c r="G488" s="11" t="str">
        <f>Products!G349</f>
        <v>One page per product category</v>
      </c>
      <c r="H488" s="11" t="str">
        <f>IF(Products!AC349="Ready for approval","None",IF(Products!Q349="","Technical specifications; ","")&amp;IF(Products!S349="","primary image; ","")&amp;IF(Products!U349="","datasheet/brochure; ","")&amp;"technical approval")</f>
        <v>Technical specifications; primary image; datasheet/brochure; technical approval</v>
      </c>
    </row>
    <row r="489" spans="1:8" ht="26" x14ac:dyDescent="0.35">
      <c r="A489" s="11">
        <v>350</v>
      </c>
      <c r="B489" s="11" t="s">
        <v>387</v>
      </c>
      <c r="C489" s="11" t="s">
        <v>16</v>
      </c>
      <c r="D489" s="11" t="s">
        <v>406</v>
      </c>
      <c r="E489" s="19" t="str">
        <f>IF(Products!O350&lt;&gt;"","Yes","No")</f>
        <v>Yes</v>
      </c>
      <c r="F489" s="15" t="str">
        <f>Products!AC350</f>
        <v>Content drafted - assets/specs pending</v>
      </c>
      <c r="G489" s="11" t="str">
        <f>Products!G350</f>
        <v>One page per product category</v>
      </c>
      <c r="H489" s="11" t="str">
        <f>IF(Products!AC350="Ready for approval","None",IF(Products!Q350="","Technical specifications; ","")&amp;IF(Products!S350="","primary image; ","")&amp;IF(Products!U350="","datasheet/brochure; ","")&amp;"technical approval")</f>
        <v>Technical specifications; primary image; datasheet/brochure; technical approval</v>
      </c>
    </row>
    <row r="490" spans="1:8" ht="26" x14ac:dyDescent="0.35">
      <c r="A490" s="11">
        <v>351</v>
      </c>
      <c r="B490" s="11" t="s">
        <v>387</v>
      </c>
      <c r="C490" s="11" t="s">
        <v>16</v>
      </c>
      <c r="D490" s="11" t="s">
        <v>407</v>
      </c>
      <c r="E490" s="19" t="str">
        <f>IF(Products!O351&lt;&gt;"","Yes","No")</f>
        <v>Yes</v>
      </c>
      <c r="F490" s="15" t="str">
        <f>Products!AC351</f>
        <v>Content drafted - assets/specs pending</v>
      </c>
      <c r="G490" s="11" t="str">
        <f>Products!G351</f>
        <v>One page per product category</v>
      </c>
      <c r="H490" s="11" t="str">
        <f>IF(Products!AC351="Ready for approval","None",IF(Products!Q351="","Technical specifications; ","")&amp;IF(Products!S351="","primary image; ","")&amp;IF(Products!U351="","datasheet/brochure; ","")&amp;"technical approval")</f>
        <v>Technical specifications; primary image; datasheet/brochure; technical approval</v>
      </c>
    </row>
    <row r="491" spans="1:8" ht="26" x14ac:dyDescent="0.35">
      <c r="A491" s="11">
        <v>352</v>
      </c>
      <c r="B491" s="11" t="s">
        <v>387</v>
      </c>
      <c r="C491" s="11" t="s">
        <v>16</v>
      </c>
      <c r="D491" s="11" t="s">
        <v>408</v>
      </c>
      <c r="E491" s="19" t="str">
        <f>IF(Products!O352&lt;&gt;"","Yes","No")</f>
        <v>Yes</v>
      </c>
      <c r="F491" s="15" t="str">
        <f>Products!AC352</f>
        <v>Content drafted - assets/specs pending</v>
      </c>
      <c r="G491" s="11" t="str">
        <f>Products!G352</f>
        <v>One page per product category</v>
      </c>
      <c r="H491" s="11" t="str">
        <f>IF(Products!AC352="Ready for approval","None",IF(Products!Q352="","Technical specifications; ","")&amp;IF(Products!S352="","primary image; ","")&amp;IF(Products!U352="","datasheet/brochure; ","")&amp;"technical approval")</f>
        <v>Technical specifications; primary image; datasheet/brochure; technical approval</v>
      </c>
    </row>
    <row r="492" spans="1:8" ht="26" x14ac:dyDescent="0.35">
      <c r="A492" s="11">
        <v>353</v>
      </c>
      <c r="B492" s="11" t="s">
        <v>387</v>
      </c>
      <c r="C492" s="11" t="s">
        <v>16</v>
      </c>
      <c r="D492" s="11" t="s">
        <v>409</v>
      </c>
      <c r="E492" s="19" t="str">
        <f>IF(Products!O353&lt;&gt;"","Yes","No")</f>
        <v>Yes</v>
      </c>
      <c r="F492" s="15" t="str">
        <f>Products!AC353</f>
        <v>Content drafted - assets/specs pending</v>
      </c>
      <c r="G492" s="11" t="str">
        <f>Products!G353</f>
        <v>One page per product category</v>
      </c>
      <c r="H492" s="11" t="str">
        <f>IF(Products!AC353="Ready for approval","None",IF(Products!Q353="","Technical specifications; ","")&amp;IF(Products!S353="","primary image; ","")&amp;IF(Products!U353="","datasheet/brochure; ","")&amp;"technical approval")</f>
        <v>Technical specifications; primary image; datasheet/brochure; technical approval</v>
      </c>
    </row>
    <row r="493" spans="1:8" ht="26" x14ac:dyDescent="0.35">
      <c r="A493" s="11">
        <v>354</v>
      </c>
      <c r="B493" s="11" t="s">
        <v>387</v>
      </c>
      <c r="C493" s="11" t="s">
        <v>16</v>
      </c>
      <c r="D493" s="11" t="s">
        <v>410</v>
      </c>
      <c r="E493" s="19" t="str">
        <f>IF(Products!O354&lt;&gt;"","Yes","No")</f>
        <v>Yes</v>
      </c>
      <c r="F493" s="15" t="str">
        <f>Products!AC354</f>
        <v>Content drafted - assets/specs pending</v>
      </c>
      <c r="G493" s="11" t="str">
        <f>Products!G354</f>
        <v>One page per product category</v>
      </c>
      <c r="H493" s="11" t="str">
        <f>IF(Products!AC354="Ready for approval","None",IF(Products!Q354="","Technical specifications; ","")&amp;IF(Products!S354="","primary image; ","")&amp;IF(Products!U354="","datasheet/brochure; ","")&amp;"technical approval")</f>
        <v>Technical specifications; primary image; datasheet/brochure; technical approval</v>
      </c>
    </row>
    <row r="494" spans="1:8" ht="26" x14ac:dyDescent="0.35">
      <c r="A494" s="11">
        <v>355</v>
      </c>
      <c r="B494" s="11" t="s">
        <v>387</v>
      </c>
      <c r="C494" s="11" t="s">
        <v>16</v>
      </c>
      <c r="D494" s="11" t="s">
        <v>411</v>
      </c>
      <c r="E494" s="19" t="str">
        <f>IF(Products!O355&lt;&gt;"","Yes","No")</f>
        <v>Yes</v>
      </c>
      <c r="F494" s="15" t="str">
        <f>Products!AC355</f>
        <v>Content drafted - assets/specs pending</v>
      </c>
      <c r="G494" s="11" t="str">
        <f>Products!G355</f>
        <v>One page per product category</v>
      </c>
      <c r="H494" s="11" t="str">
        <f>IF(Products!AC355="Ready for approval","None",IF(Products!Q355="","Technical specifications; ","")&amp;IF(Products!S355="","primary image; ","")&amp;IF(Products!U355="","datasheet/brochure; ","")&amp;"technical approval")</f>
        <v>Technical specifications; primary image; datasheet/brochure; technical approval</v>
      </c>
    </row>
    <row r="495" spans="1:8" ht="26" x14ac:dyDescent="0.35">
      <c r="A495" s="11">
        <v>356</v>
      </c>
      <c r="B495" s="11" t="s">
        <v>387</v>
      </c>
      <c r="C495" s="11" t="s">
        <v>16</v>
      </c>
      <c r="D495" s="11" t="s">
        <v>412</v>
      </c>
      <c r="E495" s="19" t="str">
        <f>IF(Products!O356&lt;&gt;"","Yes","No")</f>
        <v>Yes</v>
      </c>
      <c r="F495" s="15" t="str">
        <f>Products!AC356</f>
        <v>Content drafted - assets/specs pending</v>
      </c>
      <c r="G495" s="11" t="str">
        <f>Products!G356</f>
        <v>One page per product category</v>
      </c>
      <c r="H495" s="11" t="str">
        <f>IF(Products!AC356="Ready for approval","None",IF(Products!Q356="","Technical specifications; ","")&amp;IF(Products!S356="","primary image; ","")&amp;IF(Products!U356="","datasheet/brochure; ","")&amp;"technical approval")</f>
        <v>Technical specifications; primary image; datasheet/brochure; technical approval</v>
      </c>
    </row>
    <row r="496" spans="1:8" ht="26" x14ac:dyDescent="0.35">
      <c r="A496" s="11">
        <v>357</v>
      </c>
      <c r="B496" s="11" t="s">
        <v>387</v>
      </c>
      <c r="C496" s="11" t="s">
        <v>16</v>
      </c>
      <c r="D496" s="11" t="s">
        <v>413</v>
      </c>
      <c r="E496" s="19" t="str">
        <f>IF(Products!O357&lt;&gt;"","Yes","No")</f>
        <v>Yes</v>
      </c>
      <c r="F496" s="15" t="str">
        <f>Products!AC357</f>
        <v>Content drafted - assets/specs pending</v>
      </c>
      <c r="G496" s="11" t="str">
        <f>Products!G357</f>
        <v>One page per product category</v>
      </c>
      <c r="H496" s="11" t="str">
        <f>IF(Products!AC357="Ready for approval","None",IF(Products!Q357="","Technical specifications; ","")&amp;IF(Products!S357="","primary image; ","")&amp;IF(Products!U357="","datasheet/brochure; ","")&amp;"technical approval")</f>
        <v>Technical specifications; primary image; datasheet/brochure; technical approval</v>
      </c>
    </row>
    <row r="497" spans="1:8" ht="26" x14ac:dyDescent="0.35">
      <c r="A497" s="11">
        <v>358</v>
      </c>
      <c r="B497" s="11" t="s">
        <v>387</v>
      </c>
      <c r="C497" s="11" t="s">
        <v>16</v>
      </c>
      <c r="D497" s="11" t="s">
        <v>414</v>
      </c>
      <c r="E497" s="19" t="str">
        <f>IF(Products!O358&lt;&gt;"","Yes","No")</f>
        <v>Yes</v>
      </c>
      <c r="F497" s="15" t="str">
        <f>Products!AC358</f>
        <v>Content drafted - assets/specs pending</v>
      </c>
      <c r="G497" s="11" t="str">
        <f>Products!G358</f>
        <v>One page per product category</v>
      </c>
      <c r="H497" s="11" t="str">
        <f>IF(Products!AC358="Ready for approval","None",IF(Products!Q358="","Technical specifications; ","")&amp;IF(Products!S358="","primary image; ","")&amp;IF(Products!U358="","datasheet/brochure; ","")&amp;"technical approval")</f>
        <v>Technical specifications; primary image; datasheet/brochure; technical approval</v>
      </c>
    </row>
    <row r="498" spans="1:8" ht="26" x14ac:dyDescent="0.35">
      <c r="A498" s="11">
        <v>359</v>
      </c>
      <c r="B498" s="11" t="s">
        <v>387</v>
      </c>
      <c r="C498" s="11" t="s">
        <v>16</v>
      </c>
      <c r="D498" s="11" t="s">
        <v>415</v>
      </c>
      <c r="E498" s="19" t="str">
        <f>IF(Products!O359&lt;&gt;"","Yes","No")</f>
        <v>Yes</v>
      </c>
      <c r="F498" s="15" t="str">
        <f>Products!AC359</f>
        <v>Content drafted - assets/specs pending</v>
      </c>
      <c r="G498" s="11" t="str">
        <f>Products!G359</f>
        <v>One page per product category</v>
      </c>
      <c r="H498" s="11" t="str">
        <f>IF(Products!AC359="Ready for approval","None",IF(Products!Q359="","Technical specifications; ","")&amp;IF(Products!S359="","primary image; ","")&amp;IF(Products!U359="","datasheet/brochure; ","")&amp;"technical approval")</f>
        <v>Technical specifications; primary image; datasheet/brochure; technical approval</v>
      </c>
    </row>
    <row r="499" spans="1:8" ht="26" x14ac:dyDescent="0.35">
      <c r="A499" s="11">
        <v>360</v>
      </c>
      <c r="B499" s="11" t="s">
        <v>387</v>
      </c>
      <c r="C499" s="11" t="s">
        <v>16</v>
      </c>
      <c r="D499" s="11" t="s">
        <v>416</v>
      </c>
      <c r="E499" s="19" t="str">
        <f>IF(Products!O360&lt;&gt;"","Yes","No")</f>
        <v>Yes</v>
      </c>
      <c r="F499" s="15" t="str">
        <f>Products!AC360</f>
        <v>Content drafted - assets/specs pending</v>
      </c>
      <c r="G499" s="11" t="str">
        <f>Products!G360</f>
        <v>One page per product category</v>
      </c>
      <c r="H499" s="11" t="str">
        <f>IF(Products!AC360="Ready for approval","None",IF(Products!Q360="","Technical specifications; ","")&amp;IF(Products!S360="","primary image; ","")&amp;IF(Products!U360="","datasheet/brochure; ","")&amp;"technical approval")</f>
        <v>Technical specifications; primary image; datasheet/brochure; technical approval</v>
      </c>
    </row>
    <row r="500" spans="1:8" ht="26" x14ac:dyDescent="0.35">
      <c r="A500" s="11">
        <v>361</v>
      </c>
      <c r="B500" s="11" t="s">
        <v>387</v>
      </c>
      <c r="C500" s="11" t="s">
        <v>16</v>
      </c>
      <c r="D500" s="11" t="s">
        <v>417</v>
      </c>
      <c r="E500" s="19" t="str">
        <f>IF(Products!O361&lt;&gt;"","Yes","No")</f>
        <v>Yes</v>
      </c>
      <c r="F500" s="15" t="str">
        <f>Products!AC361</f>
        <v>Content drafted - assets/specs pending</v>
      </c>
      <c r="G500" s="11" t="str">
        <f>Products!G361</f>
        <v>One page per product category</v>
      </c>
      <c r="H500" s="11" t="str">
        <f>IF(Products!AC361="Ready for approval","None",IF(Products!Q361="","Technical specifications; ","")&amp;IF(Products!S361="","primary image; ","")&amp;IF(Products!U361="","datasheet/brochure; ","")&amp;"technical approval")</f>
        <v>Technical specifications; primary image; datasheet/brochure; technical approval</v>
      </c>
    </row>
    <row r="501" spans="1:8" ht="26" x14ac:dyDescent="0.35">
      <c r="A501" s="11">
        <v>362</v>
      </c>
      <c r="B501" s="11" t="s">
        <v>387</v>
      </c>
      <c r="C501" s="11" t="s">
        <v>16</v>
      </c>
      <c r="D501" s="11" t="s">
        <v>418</v>
      </c>
      <c r="E501" s="19" t="str">
        <f>IF(Products!O362&lt;&gt;"","Yes","No")</f>
        <v>Yes</v>
      </c>
      <c r="F501" s="15" t="str">
        <f>Products!AC362</f>
        <v>Content drafted - assets/specs pending</v>
      </c>
      <c r="G501" s="11" t="str">
        <f>Products!G362</f>
        <v>One page per product category</v>
      </c>
      <c r="H501" s="11" t="str">
        <f>IF(Products!AC362="Ready for approval","None",IF(Products!Q362="","Technical specifications; ","")&amp;IF(Products!S362="","primary image; ","")&amp;IF(Products!U362="","datasheet/brochure; ","")&amp;"technical approval")</f>
        <v>Technical specifications; primary image; datasheet/brochure; technical approval</v>
      </c>
    </row>
    <row r="502" spans="1:8" ht="26" x14ac:dyDescent="0.35">
      <c r="A502" s="11">
        <v>363</v>
      </c>
      <c r="B502" s="11" t="s">
        <v>387</v>
      </c>
      <c r="C502" s="11" t="s">
        <v>16</v>
      </c>
      <c r="D502" s="11" t="s">
        <v>419</v>
      </c>
      <c r="E502" s="19" t="str">
        <f>IF(Products!O363&lt;&gt;"","Yes","No")</f>
        <v>Yes</v>
      </c>
      <c r="F502" s="15" t="str">
        <f>Products!AC363</f>
        <v>Content drafted - assets/specs pending</v>
      </c>
      <c r="G502" s="11" t="str">
        <f>Products!G363</f>
        <v>One page per product category</v>
      </c>
      <c r="H502" s="11" t="str">
        <f>IF(Products!AC363="Ready for approval","None",IF(Products!Q363="","Technical specifications; ","")&amp;IF(Products!S363="","primary image; ","")&amp;IF(Products!U363="","datasheet/brochure; ","")&amp;"technical approval")</f>
        <v>Technical specifications; primary image; datasheet/brochure; technical approval</v>
      </c>
    </row>
    <row r="503" spans="1:8" ht="26" x14ac:dyDescent="0.35">
      <c r="A503" s="11">
        <v>364</v>
      </c>
      <c r="B503" s="11" t="s">
        <v>387</v>
      </c>
      <c r="C503" s="11" t="s">
        <v>16</v>
      </c>
      <c r="D503" s="11" t="s">
        <v>420</v>
      </c>
      <c r="E503" s="19" t="str">
        <f>IF(Products!O364&lt;&gt;"","Yes","No")</f>
        <v>Yes</v>
      </c>
      <c r="F503" s="15" t="str">
        <f>Products!AC364</f>
        <v>Content drafted - assets/specs pending</v>
      </c>
      <c r="G503" s="11" t="str">
        <f>Products!G364</f>
        <v>One page per product category</v>
      </c>
      <c r="H503" s="11" t="str">
        <f>IF(Products!AC364="Ready for approval","None",IF(Products!Q364="","Technical specifications; ","")&amp;IF(Products!S364="","primary image; ","")&amp;IF(Products!U364="","datasheet/brochure; ","")&amp;"technical approval")</f>
        <v>Technical specifications; primary image; datasheet/brochure; technical approval</v>
      </c>
    </row>
    <row r="504" spans="1:8" ht="26" x14ac:dyDescent="0.35">
      <c r="A504" s="11">
        <v>365</v>
      </c>
      <c r="B504" s="11" t="s">
        <v>387</v>
      </c>
      <c r="C504" s="11" t="s">
        <v>16</v>
      </c>
      <c r="D504" s="11" t="s">
        <v>421</v>
      </c>
      <c r="E504" s="19" t="str">
        <f>IF(Products!O365&lt;&gt;"","Yes","No")</f>
        <v>Yes</v>
      </c>
      <c r="F504" s="15" t="str">
        <f>Products!AC365</f>
        <v>Content drafted - assets/specs pending</v>
      </c>
      <c r="G504" s="11" t="str">
        <f>Products!G365</f>
        <v>One page per product category</v>
      </c>
      <c r="H504" s="11" t="str">
        <f>IF(Products!AC365="Ready for approval","None",IF(Products!Q365="","Technical specifications; ","")&amp;IF(Products!S365="","primary image; ","")&amp;IF(Products!U365="","datasheet/brochure; ","")&amp;"technical approval")</f>
        <v>Technical specifications; primary image; datasheet/brochure; technical approval</v>
      </c>
    </row>
    <row r="505" spans="1:8" ht="26" x14ac:dyDescent="0.35">
      <c r="A505" s="11">
        <v>366</v>
      </c>
      <c r="B505" s="11" t="s">
        <v>387</v>
      </c>
      <c r="C505" s="11" t="s">
        <v>16</v>
      </c>
      <c r="D505" s="11" t="s">
        <v>422</v>
      </c>
      <c r="E505" s="19" t="str">
        <f>IF(Products!O366&lt;&gt;"","Yes","No")</f>
        <v>Yes</v>
      </c>
      <c r="F505" s="15" t="str">
        <f>Products!AC366</f>
        <v>Content drafted - assets/specs pending</v>
      </c>
      <c r="G505" s="11" t="str">
        <f>Products!G366</f>
        <v>One page per product category</v>
      </c>
      <c r="H505" s="11" t="str">
        <f>IF(Products!AC366="Ready for approval","None",IF(Products!Q366="","Technical specifications; ","")&amp;IF(Products!S366="","primary image; ","")&amp;IF(Products!U366="","datasheet/brochure; ","")&amp;"technical approval")</f>
        <v>Technical specifications; primary image; datasheet/brochure; technical approval</v>
      </c>
    </row>
    <row r="506" spans="1:8" ht="26" x14ac:dyDescent="0.35">
      <c r="A506" s="11">
        <v>367</v>
      </c>
      <c r="B506" s="11" t="s">
        <v>387</v>
      </c>
      <c r="C506" s="11" t="s">
        <v>16</v>
      </c>
      <c r="D506" s="11" t="s">
        <v>423</v>
      </c>
      <c r="E506" s="19" t="str">
        <f>IF(Products!O367&lt;&gt;"","Yes","No")</f>
        <v>Yes</v>
      </c>
      <c r="F506" s="15" t="str">
        <f>Products!AC367</f>
        <v>Content drafted - assets/specs pending</v>
      </c>
      <c r="G506" s="11" t="str">
        <f>Products!G367</f>
        <v>One page per product category</v>
      </c>
      <c r="H506" s="11" t="str">
        <f>IF(Products!AC367="Ready for approval","None",IF(Products!Q367="","Technical specifications; ","")&amp;IF(Products!S367="","primary image; ","")&amp;IF(Products!U367="","datasheet/brochure; ","")&amp;"technical approval")</f>
        <v>Technical specifications; primary image; datasheet/brochure; technical approval</v>
      </c>
    </row>
    <row r="507" spans="1:8" ht="26" x14ac:dyDescent="0.35">
      <c r="A507" s="11">
        <v>368</v>
      </c>
      <c r="B507" s="11" t="s">
        <v>387</v>
      </c>
      <c r="C507" s="11" t="s">
        <v>16</v>
      </c>
      <c r="D507" s="11" t="s">
        <v>424</v>
      </c>
      <c r="E507" s="19" t="str">
        <f>IF(Products!O368&lt;&gt;"","Yes","No")</f>
        <v>Yes</v>
      </c>
      <c r="F507" s="15" t="str">
        <f>Products!AC368</f>
        <v>Content drafted - assets/specs pending</v>
      </c>
      <c r="G507" s="11" t="str">
        <f>Products!G368</f>
        <v>One page per product category</v>
      </c>
      <c r="H507" s="11" t="str">
        <f>IF(Products!AC368="Ready for approval","None",IF(Products!Q368="","Technical specifications; ","")&amp;IF(Products!S368="","primary image; ","")&amp;IF(Products!U368="","datasheet/brochure; ","")&amp;"technical approval")</f>
        <v>Technical specifications; primary image; datasheet/brochure; technical approval</v>
      </c>
    </row>
    <row r="508" spans="1:8" ht="26" x14ac:dyDescent="0.35">
      <c r="A508" s="11">
        <v>369</v>
      </c>
      <c r="B508" s="11" t="s">
        <v>425</v>
      </c>
      <c r="C508" s="11" t="s">
        <v>16</v>
      </c>
      <c r="D508" s="11" t="s">
        <v>426</v>
      </c>
      <c r="E508" s="19" t="str">
        <f>IF(Products!O369&lt;&gt;"","Yes","No")</f>
        <v>Yes</v>
      </c>
      <c r="F508" s="15" t="str">
        <f>Products!AC369</f>
        <v>Content drafted - assets/specs pending</v>
      </c>
      <c r="G508" s="11" t="str">
        <f>Products!G369</f>
        <v>One page per product category</v>
      </c>
      <c r="H508" s="11" t="str">
        <f>IF(Products!AC369="Ready for approval","None",IF(Products!Q369="","Technical specifications; ","")&amp;IF(Products!S369="","primary image; ","")&amp;IF(Products!U369="","datasheet/brochure; ","")&amp;"technical approval")</f>
        <v>Technical specifications; primary image; datasheet/brochure; technical approval</v>
      </c>
    </row>
    <row r="509" spans="1:8" ht="26" x14ac:dyDescent="0.35">
      <c r="A509" s="11">
        <v>370</v>
      </c>
      <c r="B509" s="11" t="s">
        <v>425</v>
      </c>
      <c r="C509" s="11" t="s">
        <v>16</v>
      </c>
      <c r="D509" s="11" t="s">
        <v>427</v>
      </c>
      <c r="E509" s="19" t="str">
        <f>IF(Products!O370&lt;&gt;"","Yes","No")</f>
        <v>Yes</v>
      </c>
      <c r="F509" s="15" t="str">
        <f>Products!AC370</f>
        <v>Content drafted - assets/specs pending</v>
      </c>
      <c r="G509" s="11" t="str">
        <f>Products!G370</f>
        <v>One page per product category</v>
      </c>
      <c r="H509" s="11" t="str">
        <f>IF(Products!AC370="Ready for approval","None",IF(Products!Q370="","Technical specifications; ","")&amp;IF(Products!S370="","primary image; ","")&amp;IF(Products!U370="","datasheet/brochure; ","")&amp;"technical approval")</f>
        <v>Technical specifications; primary image; datasheet/brochure; technical approval</v>
      </c>
    </row>
    <row r="510" spans="1:8" ht="26" x14ac:dyDescent="0.35">
      <c r="A510" s="11">
        <v>371</v>
      </c>
      <c r="B510" s="11" t="s">
        <v>425</v>
      </c>
      <c r="C510" s="11" t="s">
        <v>16</v>
      </c>
      <c r="D510" s="11" t="s">
        <v>428</v>
      </c>
      <c r="E510" s="19" t="str">
        <f>IF(Products!O371&lt;&gt;"","Yes","No")</f>
        <v>Yes</v>
      </c>
      <c r="F510" s="15" t="str">
        <f>Products!AC371</f>
        <v>Content drafted - assets/specs pending</v>
      </c>
      <c r="G510" s="11" t="str">
        <f>Products!G371</f>
        <v>One page per product category</v>
      </c>
      <c r="H510" s="11" t="str">
        <f>IF(Products!AC371="Ready for approval","None",IF(Products!Q371="","Technical specifications; ","")&amp;IF(Products!S371="","primary image; ","")&amp;IF(Products!U371="","datasheet/brochure; ","")&amp;"technical approval")</f>
        <v>Technical specifications; primary image; datasheet/brochure; technical approval</v>
      </c>
    </row>
    <row r="511" spans="1:8" ht="26" x14ac:dyDescent="0.35">
      <c r="A511" s="11">
        <v>372</v>
      </c>
      <c r="B511" s="11" t="s">
        <v>425</v>
      </c>
      <c r="C511" s="11" t="s">
        <v>16</v>
      </c>
      <c r="D511" s="11" t="s">
        <v>429</v>
      </c>
      <c r="E511" s="19" t="str">
        <f>IF(Products!O372&lt;&gt;"","Yes","No")</f>
        <v>Yes</v>
      </c>
      <c r="F511" s="15" t="str">
        <f>Products!AC372</f>
        <v>Content drafted - assets/specs pending</v>
      </c>
      <c r="G511" s="11" t="str">
        <f>Products!G372</f>
        <v>One page per product category</v>
      </c>
      <c r="H511" s="11" t="str">
        <f>IF(Products!AC372="Ready for approval","None",IF(Products!Q372="","Technical specifications; ","")&amp;IF(Products!S372="","primary image; ","")&amp;IF(Products!U372="","datasheet/brochure; ","")&amp;"technical approval")</f>
        <v>Technical specifications; primary image; datasheet/brochure; technical approval</v>
      </c>
    </row>
    <row r="512" spans="1:8" ht="26" x14ac:dyDescent="0.35">
      <c r="A512" s="11">
        <v>373</v>
      </c>
      <c r="B512" s="11" t="s">
        <v>425</v>
      </c>
      <c r="C512" s="11" t="s">
        <v>16</v>
      </c>
      <c r="D512" s="11" t="s">
        <v>430</v>
      </c>
      <c r="E512" s="19" t="str">
        <f>IF(Products!O373&lt;&gt;"","Yes","No")</f>
        <v>Yes</v>
      </c>
      <c r="F512" s="15" t="str">
        <f>Products!AC373</f>
        <v>Content drafted - assets/specs pending</v>
      </c>
      <c r="G512" s="11" t="str">
        <f>Products!G373</f>
        <v>One page per product category</v>
      </c>
      <c r="H512" s="11" t="str">
        <f>IF(Products!AC373="Ready for approval","None",IF(Products!Q373="","Technical specifications; ","")&amp;IF(Products!S373="","primary image; ","")&amp;IF(Products!U373="","datasheet/brochure; ","")&amp;"technical approval")</f>
        <v>Technical specifications; primary image; datasheet/brochure; technical approval</v>
      </c>
    </row>
    <row r="513" spans="1:8" ht="26" x14ac:dyDescent="0.35">
      <c r="A513" s="11">
        <v>374</v>
      </c>
      <c r="B513" s="11" t="s">
        <v>425</v>
      </c>
      <c r="C513" s="11" t="s">
        <v>16</v>
      </c>
      <c r="D513" s="11" t="s">
        <v>431</v>
      </c>
      <c r="E513" s="19" t="str">
        <f>IF(Products!O374&lt;&gt;"","Yes","No")</f>
        <v>Yes</v>
      </c>
      <c r="F513" s="15" t="str">
        <f>Products!AC374</f>
        <v>Content drafted - assets/specs pending</v>
      </c>
      <c r="G513" s="11" t="str">
        <f>Products!G374</f>
        <v>One page per product category</v>
      </c>
      <c r="H513" s="11" t="str">
        <f>IF(Products!AC374="Ready for approval","None",IF(Products!Q374="","Technical specifications; ","")&amp;IF(Products!S374="","primary image; ","")&amp;IF(Products!U374="","datasheet/brochure; ","")&amp;"technical approval")</f>
        <v>Technical specifications; primary image; datasheet/brochure; technical approval</v>
      </c>
    </row>
    <row r="514" spans="1:8" ht="26" x14ac:dyDescent="0.35">
      <c r="A514" s="11">
        <v>375</v>
      </c>
      <c r="B514" s="11" t="s">
        <v>425</v>
      </c>
      <c r="C514" s="11" t="s">
        <v>16</v>
      </c>
      <c r="D514" s="11" t="s">
        <v>432</v>
      </c>
      <c r="E514" s="19" t="str">
        <f>IF(Products!O375&lt;&gt;"","Yes","No")</f>
        <v>Yes</v>
      </c>
      <c r="F514" s="15" t="str">
        <f>Products!AC375</f>
        <v>Content drafted - assets/specs pending</v>
      </c>
      <c r="G514" s="11" t="str">
        <f>Products!G375</f>
        <v>One page per product category</v>
      </c>
      <c r="H514" s="11" t="str">
        <f>IF(Products!AC375="Ready for approval","None",IF(Products!Q375="","Technical specifications; ","")&amp;IF(Products!S375="","primary image; ","")&amp;IF(Products!U375="","datasheet/brochure; ","")&amp;"technical approval")</f>
        <v>Technical specifications; primary image; datasheet/brochure; technical approval</v>
      </c>
    </row>
    <row r="515" spans="1:8" ht="26" x14ac:dyDescent="0.35">
      <c r="A515" s="11">
        <v>376</v>
      </c>
      <c r="B515" s="11" t="s">
        <v>425</v>
      </c>
      <c r="C515" s="11" t="s">
        <v>16</v>
      </c>
      <c r="D515" s="11" t="s">
        <v>433</v>
      </c>
      <c r="E515" s="19" t="str">
        <f>IF(Products!O376&lt;&gt;"","Yes","No")</f>
        <v>Yes</v>
      </c>
      <c r="F515" s="15" t="str">
        <f>Products!AC376</f>
        <v>Content drafted - assets/specs pending</v>
      </c>
      <c r="G515" s="11" t="str">
        <f>Products!G376</f>
        <v>One page per product category</v>
      </c>
      <c r="H515" s="11" t="str">
        <f>IF(Products!AC376="Ready for approval","None",IF(Products!Q376="","Technical specifications; ","")&amp;IF(Products!S376="","primary image; ","")&amp;IF(Products!U376="","datasheet/brochure; ","")&amp;"technical approval")</f>
        <v>Technical specifications; primary image; datasheet/brochure; technical approval</v>
      </c>
    </row>
    <row r="516" spans="1:8" ht="26" x14ac:dyDescent="0.35">
      <c r="A516" s="11">
        <v>377</v>
      </c>
      <c r="B516" s="11" t="s">
        <v>425</v>
      </c>
      <c r="C516" s="11" t="s">
        <v>16</v>
      </c>
      <c r="D516" s="11" t="s">
        <v>434</v>
      </c>
      <c r="E516" s="19" t="str">
        <f>IF(Products!O377&lt;&gt;"","Yes","No")</f>
        <v>Yes</v>
      </c>
      <c r="F516" s="15" t="str">
        <f>Products!AC377</f>
        <v>Content drafted - assets/specs pending</v>
      </c>
      <c r="G516" s="11" t="str">
        <f>Products!G377</f>
        <v>One page per product category</v>
      </c>
      <c r="H516" s="11" t="str">
        <f>IF(Products!AC377="Ready for approval","None",IF(Products!Q377="","Technical specifications; ","")&amp;IF(Products!S377="","primary image; ","")&amp;IF(Products!U377="","datasheet/brochure; ","")&amp;"technical approval")</f>
        <v>Technical specifications; primary image; datasheet/brochure; technical approval</v>
      </c>
    </row>
    <row r="517" spans="1:8" ht="26" x14ac:dyDescent="0.35">
      <c r="A517" s="11">
        <v>378</v>
      </c>
      <c r="B517" s="11" t="s">
        <v>425</v>
      </c>
      <c r="C517" s="11" t="s">
        <v>16</v>
      </c>
      <c r="D517" s="11" t="s">
        <v>435</v>
      </c>
      <c r="E517" s="19" t="str">
        <f>IF(Products!O378&lt;&gt;"","Yes","No")</f>
        <v>Yes</v>
      </c>
      <c r="F517" s="15" t="str">
        <f>Products!AC378</f>
        <v>Content drafted - assets/specs pending</v>
      </c>
      <c r="G517" s="11" t="str">
        <f>Products!G378</f>
        <v>One page per product category</v>
      </c>
      <c r="H517" s="11" t="str">
        <f>IF(Products!AC378="Ready for approval","None",IF(Products!Q378="","Technical specifications; ","")&amp;IF(Products!S378="","primary image; ","")&amp;IF(Products!U378="","datasheet/brochure; ","")&amp;"technical approval")</f>
        <v>Technical specifications; primary image; datasheet/brochure; technical approval</v>
      </c>
    </row>
    <row r="518" spans="1:8" ht="26" x14ac:dyDescent="0.35">
      <c r="A518" s="11">
        <v>379</v>
      </c>
      <c r="B518" s="11" t="s">
        <v>425</v>
      </c>
      <c r="C518" s="11" t="s">
        <v>16</v>
      </c>
      <c r="D518" s="11" t="s">
        <v>436</v>
      </c>
      <c r="E518" s="19" t="str">
        <f>IF(Products!O379&lt;&gt;"","Yes","No")</f>
        <v>Yes</v>
      </c>
      <c r="F518" s="15" t="str">
        <f>Products!AC379</f>
        <v>Content drafted - assets/specs pending</v>
      </c>
      <c r="G518" s="11" t="str">
        <f>Products!G379</f>
        <v>One page per product category</v>
      </c>
      <c r="H518" s="11" t="str">
        <f>IF(Products!AC379="Ready for approval","None",IF(Products!Q379="","Technical specifications; ","")&amp;IF(Products!S379="","primary image; ","")&amp;IF(Products!U379="","datasheet/brochure; ","")&amp;"technical approval")</f>
        <v>Technical specifications; primary image; datasheet/brochure; technical approval</v>
      </c>
    </row>
    <row r="519" spans="1:8" ht="26" x14ac:dyDescent="0.35">
      <c r="A519" s="11">
        <v>380</v>
      </c>
      <c r="B519" s="11" t="s">
        <v>425</v>
      </c>
      <c r="C519" s="11" t="s">
        <v>16</v>
      </c>
      <c r="D519" s="11" t="s">
        <v>437</v>
      </c>
      <c r="E519" s="19" t="str">
        <f>IF(Products!O380&lt;&gt;"","Yes","No")</f>
        <v>Yes</v>
      </c>
      <c r="F519" s="15" t="str">
        <f>Products!AC380</f>
        <v>Content drafted - assets/specs pending</v>
      </c>
      <c r="G519" s="11" t="str">
        <f>Products!G380</f>
        <v>One page per product category</v>
      </c>
      <c r="H519" s="11" t="str">
        <f>IF(Products!AC380="Ready for approval","None",IF(Products!Q380="","Technical specifications; ","")&amp;IF(Products!S380="","primary image; ","")&amp;IF(Products!U380="","datasheet/brochure; ","")&amp;"technical approval")</f>
        <v>Technical specifications; primary image; datasheet/brochure; technical approval</v>
      </c>
    </row>
    <row r="520" spans="1:8" ht="26" x14ac:dyDescent="0.35">
      <c r="A520" s="11">
        <v>381</v>
      </c>
      <c r="B520" s="11" t="s">
        <v>425</v>
      </c>
      <c r="C520" s="11" t="s">
        <v>16</v>
      </c>
      <c r="D520" s="11" t="s">
        <v>438</v>
      </c>
      <c r="E520" s="19" t="str">
        <f>IF(Products!O381&lt;&gt;"","Yes","No")</f>
        <v>Yes</v>
      </c>
      <c r="F520" s="15" t="str">
        <f>Products!AC381</f>
        <v>Content drafted - assets/specs pending</v>
      </c>
      <c r="G520" s="11" t="str">
        <f>Products!G381</f>
        <v>One page per product category</v>
      </c>
      <c r="H520" s="11" t="str">
        <f>IF(Products!AC381="Ready for approval","None",IF(Products!Q381="","Technical specifications; ","")&amp;IF(Products!S381="","primary image; ","")&amp;IF(Products!U381="","datasheet/brochure; ","")&amp;"technical approval")</f>
        <v>Technical specifications; primary image; datasheet/brochure; technical approval</v>
      </c>
    </row>
    <row r="521" spans="1:8" ht="26" x14ac:dyDescent="0.35">
      <c r="A521" s="11">
        <v>382</v>
      </c>
      <c r="B521" s="11" t="s">
        <v>425</v>
      </c>
      <c r="C521" s="11" t="s">
        <v>16</v>
      </c>
      <c r="D521" s="11" t="s">
        <v>439</v>
      </c>
      <c r="E521" s="19" t="str">
        <f>IF(Products!O382&lt;&gt;"","Yes","No")</f>
        <v>Yes</v>
      </c>
      <c r="F521" s="15" t="str">
        <f>Products!AC382</f>
        <v>Content drafted - assets/specs pending</v>
      </c>
      <c r="G521" s="11" t="str">
        <f>Products!G382</f>
        <v>One page per product category</v>
      </c>
      <c r="H521" s="11" t="str">
        <f>IF(Products!AC382="Ready for approval","None",IF(Products!Q382="","Technical specifications; ","")&amp;IF(Products!S382="","primary image; ","")&amp;IF(Products!U382="","datasheet/brochure; ","")&amp;"technical approval")</f>
        <v>Technical specifications; primary image; datasheet/brochure; technical approval</v>
      </c>
    </row>
    <row r="522" spans="1:8" ht="26" x14ac:dyDescent="0.35">
      <c r="A522" s="11">
        <v>383</v>
      </c>
      <c r="B522" s="11" t="s">
        <v>425</v>
      </c>
      <c r="C522" s="11" t="s">
        <v>16</v>
      </c>
      <c r="D522" s="11" t="s">
        <v>440</v>
      </c>
      <c r="E522" s="19" t="str">
        <f>IF(Products!O383&lt;&gt;"","Yes","No")</f>
        <v>Yes</v>
      </c>
      <c r="F522" s="15" t="str">
        <f>Products!AC383</f>
        <v>Content drafted - assets/specs pending</v>
      </c>
      <c r="G522" s="11" t="str">
        <f>Products!G383</f>
        <v>One page per product category</v>
      </c>
      <c r="H522" s="11" t="str">
        <f>IF(Products!AC383="Ready for approval","None",IF(Products!Q383="","Technical specifications; ","")&amp;IF(Products!S383="","primary image; ","")&amp;IF(Products!U383="","datasheet/brochure; ","")&amp;"technical approval")</f>
        <v>Technical specifications; primary image; datasheet/brochure; technical approval</v>
      </c>
    </row>
    <row r="523" spans="1:8" ht="26" x14ac:dyDescent="0.35">
      <c r="A523" s="11">
        <v>384</v>
      </c>
      <c r="B523" s="11" t="s">
        <v>425</v>
      </c>
      <c r="C523" s="11" t="s">
        <v>16</v>
      </c>
      <c r="D523" s="11" t="s">
        <v>441</v>
      </c>
      <c r="E523" s="19" t="str">
        <f>IF(Products!O384&lt;&gt;"","Yes","No")</f>
        <v>Yes</v>
      </c>
      <c r="F523" s="15" t="str">
        <f>Products!AC384</f>
        <v>Content drafted - assets/specs pending</v>
      </c>
      <c r="G523" s="11" t="str">
        <f>Products!G384</f>
        <v>One page per product category</v>
      </c>
      <c r="H523" s="11" t="str">
        <f>IF(Products!AC384="Ready for approval","None",IF(Products!Q384="","Technical specifications; ","")&amp;IF(Products!S384="","primary image; ","")&amp;IF(Products!U384="","datasheet/brochure; ","")&amp;"technical approval")</f>
        <v>Technical specifications; primary image; datasheet/brochure; technical approval</v>
      </c>
    </row>
    <row r="524" spans="1:8" ht="26" x14ac:dyDescent="0.35">
      <c r="A524" s="11">
        <v>385</v>
      </c>
      <c r="B524" s="11" t="s">
        <v>425</v>
      </c>
      <c r="C524" s="11" t="s">
        <v>16</v>
      </c>
      <c r="D524" s="11" t="s">
        <v>442</v>
      </c>
      <c r="E524" s="19" t="str">
        <f>IF(Products!O385&lt;&gt;"","Yes","No")</f>
        <v>Yes</v>
      </c>
      <c r="F524" s="15" t="str">
        <f>Products!AC385</f>
        <v>Content drafted - assets/specs pending</v>
      </c>
      <c r="G524" s="11" t="str">
        <f>Products!G385</f>
        <v>One page per product category</v>
      </c>
      <c r="H524" s="11" t="str">
        <f>IF(Products!AC385="Ready for approval","None",IF(Products!Q385="","Technical specifications; ","")&amp;IF(Products!S385="","primary image; ","")&amp;IF(Products!U385="","datasheet/brochure; ","")&amp;"technical approval")</f>
        <v>Technical specifications; primary image; datasheet/brochure; technical approval</v>
      </c>
    </row>
    <row r="525" spans="1:8" ht="26" x14ac:dyDescent="0.35">
      <c r="A525" s="11">
        <v>386</v>
      </c>
      <c r="B525" s="11" t="s">
        <v>443</v>
      </c>
      <c r="C525" s="11" t="s">
        <v>16</v>
      </c>
      <c r="D525" s="11" t="s">
        <v>444</v>
      </c>
      <c r="E525" s="19" t="str">
        <f>IF(Products!O386&lt;&gt;"","Yes","No")</f>
        <v>Yes</v>
      </c>
      <c r="F525" s="15" t="str">
        <f>Products!AC386</f>
        <v>Content drafted - assets/specs pending</v>
      </c>
      <c r="G525" s="11" t="str">
        <f>Products!G386</f>
        <v>One page per product category</v>
      </c>
      <c r="H525" s="11" t="str">
        <f>IF(Products!AC386="Ready for approval","None",IF(Products!Q386="","Technical specifications; ","")&amp;IF(Products!S386="","primary image; ","")&amp;IF(Products!U386="","datasheet/brochure; ","")&amp;"technical approval")</f>
        <v>Technical specifications; primary image; datasheet/brochure; technical approval</v>
      </c>
    </row>
    <row r="526" spans="1:8" ht="26" x14ac:dyDescent="0.35">
      <c r="A526" s="11">
        <v>387</v>
      </c>
      <c r="B526" s="11" t="s">
        <v>443</v>
      </c>
      <c r="C526" s="11" t="s">
        <v>16</v>
      </c>
      <c r="D526" s="11" t="s">
        <v>445</v>
      </c>
      <c r="E526" s="19" t="str">
        <f>IF(Products!O387&lt;&gt;"","Yes","No")</f>
        <v>Yes</v>
      </c>
      <c r="F526" s="15" t="str">
        <f>Products!AC387</f>
        <v>Content drafted - assets/specs pending</v>
      </c>
      <c r="G526" s="11" t="str">
        <f>Products!G387</f>
        <v>One page per product category</v>
      </c>
      <c r="H526" s="11" t="str">
        <f>IF(Products!AC387="Ready for approval","None",IF(Products!Q387="","Technical specifications; ","")&amp;IF(Products!S387="","primary image; ","")&amp;IF(Products!U387="","datasheet/brochure; ","")&amp;"technical approval")</f>
        <v>Technical specifications; primary image; datasheet/brochure; technical approval</v>
      </c>
    </row>
    <row r="527" spans="1:8" ht="26" x14ac:dyDescent="0.35">
      <c r="A527" s="11">
        <v>388</v>
      </c>
      <c r="B527" s="11" t="s">
        <v>443</v>
      </c>
      <c r="C527" s="11" t="s">
        <v>16</v>
      </c>
      <c r="D527" s="11" t="s">
        <v>446</v>
      </c>
      <c r="E527" s="19" t="str">
        <f>IF(Products!O388&lt;&gt;"","Yes","No")</f>
        <v>Yes</v>
      </c>
      <c r="F527" s="15" t="str">
        <f>Products!AC388</f>
        <v>Content drafted - assets/specs pending</v>
      </c>
      <c r="G527" s="11" t="str">
        <f>Products!G388</f>
        <v>One page per product category</v>
      </c>
      <c r="H527" s="11" t="str">
        <f>IF(Products!AC388="Ready for approval","None",IF(Products!Q388="","Technical specifications; ","")&amp;IF(Products!S388="","primary image; ","")&amp;IF(Products!U388="","datasheet/brochure; ","")&amp;"technical approval")</f>
        <v>Technical specifications; primary image; datasheet/brochure; technical approval</v>
      </c>
    </row>
    <row r="528" spans="1:8" ht="26" x14ac:dyDescent="0.35">
      <c r="A528" s="11">
        <v>389</v>
      </c>
      <c r="B528" s="11" t="s">
        <v>447</v>
      </c>
      <c r="C528" s="11" t="s">
        <v>16</v>
      </c>
      <c r="D528" s="11" t="s">
        <v>448</v>
      </c>
      <c r="E528" s="19" t="str">
        <f>IF(Products!O389&lt;&gt;"","Yes","No")</f>
        <v>Yes</v>
      </c>
      <c r="F528" s="15" t="str">
        <f>Products!AC389</f>
        <v>Content drafted - assets/specs pending</v>
      </c>
      <c r="G528" s="11" t="str">
        <f>Products!G389</f>
        <v>One page per product category</v>
      </c>
      <c r="H528" s="11" t="str">
        <f>IF(Products!AC389="Ready for approval","None",IF(Products!Q389="","Technical specifications; ","")&amp;IF(Products!S389="","primary image; ","")&amp;IF(Products!U389="","datasheet/brochure; ","")&amp;"technical approval")</f>
        <v>Technical specifications; primary image; datasheet/brochure; technical approval</v>
      </c>
    </row>
    <row r="529" spans="1:8" ht="26" x14ac:dyDescent="0.35">
      <c r="A529" s="11">
        <v>390</v>
      </c>
      <c r="B529" s="11" t="s">
        <v>447</v>
      </c>
      <c r="C529" s="11" t="s">
        <v>16</v>
      </c>
      <c r="D529" s="11" t="s">
        <v>449</v>
      </c>
      <c r="E529" s="19" t="str">
        <f>IF(Products!O390&lt;&gt;"","Yes","No")</f>
        <v>Yes</v>
      </c>
      <c r="F529" s="15" t="str">
        <f>Products!AC390</f>
        <v>Content drafted - assets/specs pending</v>
      </c>
      <c r="G529" s="11" t="str">
        <f>Products!G390</f>
        <v>One page per product category</v>
      </c>
      <c r="H529" s="11" t="str">
        <f>IF(Products!AC390="Ready for approval","None",IF(Products!Q390="","Technical specifications; ","")&amp;IF(Products!S390="","primary image; ","")&amp;IF(Products!U390="","datasheet/brochure; ","")&amp;"technical approval")</f>
        <v>Technical specifications; primary image; datasheet/brochure; technical approval</v>
      </c>
    </row>
    <row r="530" spans="1:8" ht="26" x14ac:dyDescent="0.35">
      <c r="A530" s="11">
        <v>391</v>
      </c>
      <c r="B530" s="11" t="s">
        <v>447</v>
      </c>
      <c r="C530" s="11" t="s">
        <v>16</v>
      </c>
      <c r="D530" s="11" t="s">
        <v>450</v>
      </c>
      <c r="E530" s="19" t="str">
        <f>IF(Products!O391&lt;&gt;"","Yes","No")</f>
        <v>Yes</v>
      </c>
      <c r="F530" s="15" t="str">
        <f>Products!AC391</f>
        <v>Content drafted - assets/specs pending</v>
      </c>
      <c r="G530" s="11" t="str">
        <f>Products!G391</f>
        <v>One page per product category</v>
      </c>
      <c r="H530" s="11" t="str">
        <f>IF(Products!AC391="Ready for approval","None",IF(Products!Q391="","Technical specifications; ","")&amp;IF(Products!S391="","primary image; ","")&amp;IF(Products!U391="","datasheet/brochure; ","")&amp;"technical approval")</f>
        <v>Technical specifications; primary image; datasheet/brochure; technical approval</v>
      </c>
    </row>
    <row r="531" spans="1:8" ht="26" x14ac:dyDescent="0.35">
      <c r="A531" s="11">
        <v>392</v>
      </c>
      <c r="B531" s="11" t="s">
        <v>447</v>
      </c>
      <c r="C531" s="11" t="s">
        <v>16</v>
      </c>
      <c r="D531" s="11" t="s">
        <v>451</v>
      </c>
      <c r="E531" s="19" t="str">
        <f>IF(Products!O392&lt;&gt;"","Yes","No")</f>
        <v>Yes</v>
      </c>
      <c r="F531" s="15" t="str">
        <f>Products!AC392</f>
        <v>Content drafted - assets/specs pending</v>
      </c>
      <c r="G531" s="11" t="str">
        <f>Products!G392</f>
        <v>One page per product category</v>
      </c>
      <c r="H531" s="11" t="str">
        <f>IF(Products!AC392="Ready for approval","None",IF(Products!Q392="","Technical specifications; ","")&amp;IF(Products!S392="","primary image; ","")&amp;IF(Products!U392="","datasheet/brochure; ","")&amp;"technical approval")</f>
        <v>Technical specifications; primary image; datasheet/brochure; technical approval</v>
      </c>
    </row>
    <row r="532" spans="1:8" ht="26" x14ac:dyDescent="0.35">
      <c r="A532" s="11">
        <v>393</v>
      </c>
      <c r="B532" s="11" t="s">
        <v>447</v>
      </c>
      <c r="C532" s="11" t="s">
        <v>16</v>
      </c>
      <c r="D532" s="11" t="s">
        <v>452</v>
      </c>
      <c r="E532" s="19" t="str">
        <f>IF(Products!O393&lt;&gt;"","Yes","No")</f>
        <v>Yes</v>
      </c>
      <c r="F532" s="15" t="str">
        <f>Products!AC393</f>
        <v>Content drafted - assets/specs pending</v>
      </c>
      <c r="G532" s="11" t="str">
        <f>Products!G393</f>
        <v>One page per product category</v>
      </c>
      <c r="H532" s="11" t="str">
        <f>IF(Products!AC393="Ready for approval","None",IF(Products!Q393="","Technical specifications; ","")&amp;IF(Products!S393="","primary image; ","")&amp;IF(Products!U393="","datasheet/brochure; ","")&amp;"technical approval")</f>
        <v>Technical specifications; primary image; datasheet/brochure; technical approval</v>
      </c>
    </row>
    <row r="533" spans="1:8" ht="26" x14ac:dyDescent="0.35">
      <c r="A533" s="11">
        <v>394</v>
      </c>
      <c r="B533" s="11" t="s">
        <v>453</v>
      </c>
      <c r="C533" s="11" t="s">
        <v>17</v>
      </c>
      <c r="D533" s="11" t="s">
        <v>454</v>
      </c>
      <c r="E533" s="19" t="str">
        <f>IF(Products!O394&lt;&gt;"","Yes","No")</f>
        <v>Yes</v>
      </c>
      <c r="F533" s="15" t="str">
        <f>Products!AC394</f>
        <v>Content drafted - assets/specs pending</v>
      </c>
      <c r="G533" s="11" t="str">
        <f>Products!G394</f>
        <v>One page per product category</v>
      </c>
      <c r="H533" s="11" t="str">
        <f>IF(Products!AC394="Ready for approval","None",IF(Products!Q394="","Technical specifications; ","")&amp;IF(Products!S394="","primary image; ","")&amp;IF(Products!U394="","datasheet/brochure; ","")&amp;"technical approval")</f>
        <v>Technical specifications; primary image; datasheet/brochure; technical approval</v>
      </c>
    </row>
    <row r="534" spans="1:8" ht="26" x14ac:dyDescent="0.35">
      <c r="A534" s="11">
        <v>395</v>
      </c>
      <c r="B534" s="11" t="s">
        <v>453</v>
      </c>
      <c r="C534" s="11" t="s">
        <v>17</v>
      </c>
      <c r="D534" s="11" t="s">
        <v>455</v>
      </c>
      <c r="E534" s="19" t="str">
        <f>IF(Products!O395&lt;&gt;"","Yes","No")</f>
        <v>Yes</v>
      </c>
      <c r="F534" s="15" t="str">
        <f>Products!AC395</f>
        <v>Content drafted - assets/specs pending</v>
      </c>
      <c r="G534" s="11" t="str">
        <f>Products!G395</f>
        <v>One page per product category</v>
      </c>
      <c r="H534" s="11" t="str">
        <f>IF(Products!AC395="Ready for approval","None",IF(Products!Q395="","Technical specifications; ","")&amp;IF(Products!S395="","primary image; ","")&amp;IF(Products!U395="","datasheet/brochure; ","")&amp;"technical approval")</f>
        <v>Technical specifications; primary image; datasheet/brochure; technical approval</v>
      </c>
    </row>
    <row r="535" spans="1:8" ht="26" x14ac:dyDescent="0.35">
      <c r="A535" s="11">
        <v>396</v>
      </c>
      <c r="B535" s="11" t="s">
        <v>453</v>
      </c>
      <c r="C535" s="11" t="s">
        <v>17</v>
      </c>
      <c r="D535" s="11" t="s">
        <v>456</v>
      </c>
      <c r="E535" s="19" t="str">
        <f>IF(Products!O396&lt;&gt;"","Yes","No")</f>
        <v>Yes</v>
      </c>
      <c r="F535" s="15" t="str">
        <f>Products!AC396</f>
        <v>Content drafted - assets/specs pending</v>
      </c>
      <c r="G535" s="11" t="str">
        <f>Products!G396</f>
        <v>One page per product category</v>
      </c>
      <c r="H535" s="11" t="str">
        <f>IF(Products!AC396="Ready for approval","None",IF(Products!Q396="","Technical specifications; ","")&amp;IF(Products!S396="","primary image; ","")&amp;IF(Products!U396="","datasheet/brochure; ","")&amp;"technical approval")</f>
        <v>Technical specifications; primary image; datasheet/brochure; technical approval</v>
      </c>
    </row>
    <row r="536" spans="1:8" ht="26" x14ac:dyDescent="0.35">
      <c r="A536" s="11">
        <v>397</v>
      </c>
      <c r="B536" s="11" t="s">
        <v>453</v>
      </c>
      <c r="C536" s="11" t="s">
        <v>17</v>
      </c>
      <c r="D536" s="11" t="s">
        <v>457</v>
      </c>
      <c r="E536" s="19" t="str">
        <f>IF(Products!O397&lt;&gt;"","Yes","No")</f>
        <v>Yes</v>
      </c>
      <c r="F536" s="15" t="str">
        <f>Products!AC397</f>
        <v>Content drafted - assets/specs pending</v>
      </c>
      <c r="G536" s="11" t="str">
        <f>Products!G397</f>
        <v>One page per product category</v>
      </c>
      <c r="H536" s="11" t="str">
        <f>IF(Products!AC397="Ready for approval","None",IF(Products!Q397="","Technical specifications; ","")&amp;IF(Products!S397="","primary image; ","")&amp;IF(Products!U397="","datasheet/brochure; ","")&amp;"technical approval")</f>
        <v>Technical specifications; primary image; datasheet/brochure; technical approval</v>
      </c>
    </row>
    <row r="537" spans="1:8" ht="26" x14ac:dyDescent="0.35">
      <c r="A537" s="11">
        <v>398</v>
      </c>
      <c r="B537" s="11" t="s">
        <v>458</v>
      </c>
      <c r="C537" s="11" t="s">
        <v>17</v>
      </c>
      <c r="D537" s="11" t="s">
        <v>459</v>
      </c>
      <c r="E537" s="19" t="str">
        <f>IF(Products!O398&lt;&gt;"","Yes","No")</f>
        <v>Yes</v>
      </c>
      <c r="F537" s="15" t="str">
        <f>Products!AC398</f>
        <v>Content drafted - assets/specs pending</v>
      </c>
      <c r="G537" s="11" t="str">
        <f>Products!G398</f>
        <v>One page per product category</v>
      </c>
      <c r="H537" s="11" t="str">
        <f>IF(Products!AC398="Ready for approval","None",IF(Products!Q398="","Technical specifications; ","")&amp;IF(Products!S398="","primary image; ","")&amp;IF(Products!U398="","datasheet/brochure; ","")&amp;"technical approval")</f>
        <v>Technical specifications; primary image; datasheet/brochure; technical approval</v>
      </c>
    </row>
    <row r="538" spans="1:8" ht="26" x14ac:dyDescent="0.35">
      <c r="A538" s="11">
        <v>399</v>
      </c>
      <c r="B538" s="11" t="s">
        <v>458</v>
      </c>
      <c r="C538" s="11" t="s">
        <v>17</v>
      </c>
      <c r="D538" s="11" t="s">
        <v>460</v>
      </c>
      <c r="E538" s="19" t="str">
        <f>IF(Products!O399&lt;&gt;"","Yes","No")</f>
        <v>Yes</v>
      </c>
      <c r="F538" s="15" t="str">
        <f>Products!AC399</f>
        <v>Content drafted - assets/specs pending</v>
      </c>
      <c r="G538" s="11" t="str">
        <f>Products!G399</f>
        <v>One page per product category</v>
      </c>
      <c r="H538" s="11" t="str">
        <f>IF(Products!AC399="Ready for approval","None",IF(Products!Q399="","Technical specifications; ","")&amp;IF(Products!S399="","primary image; ","")&amp;IF(Products!U399="","datasheet/brochure; ","")&amp;"technical approval")</f>
        <v>Technical specifications; primary image; datasheet/brochure; technical approval</v>
      </c>
    </row>
    <row r="539" spans="1:8" ht="26" x14ac:dyDescent="0.35">
      <c r="A539" s="11">
        <v>400</v>
      </c>
      <c r="B539" s="11" t="s">
        <v>458</v>
      </c>
      <c r="C539" s="11" t="s">
        <v>17</v>
      </c>
      <c r="D539" s="11" t="s">
        <v>461</v>
      </c>
      <c r="E539" s="19" t="str">
        <f>IF(Products!O400&lt;&gt;"","Yes","No")</f>
        <v>Yes</v>
      </c>
      <c r="F539" s="15" t="str">
        <f>Products!AC400</f>
        <v>Content drafted - assets/specs pending</v>
      </c>
      <c r="G539" s="11" t="str">
        <f>Products!G400</f>
        <v>One page per product category</v>
      </c>
      <c r="H539" s="11" t="str">
        <f>IF(Products!AC400="Ready for approval","None",IF(Products!Q400="","Technical specifications; ","")&amp;IF(Products!S400="","primary image; ","")&amp;IF(Products!U400="","datasheet/brochure; ","")&amp;"technical approval")</f>
        <v>Technical specifications; primary image; datasheet/brochure; technical approval</v>
      </c>
    </row>
    <row r="540" spans="1:8" ht="26" x14ac:dyDescent="0.35">
      <c r="A540" s="11">
        <v>401</v>
      </c>
      <c r="B540" s="11" t="s">
        <v>458</v>
      </c>
      <c r="C540" s="11" t="s">
        <v>17</v>
      </c>
      <c r="D540" s="11" t="s">
        <v>462</v>
      </c>
      <c r="E540" s="19" t="str">
        <f>IF(Products!O401&lt;&gt;"","Yes","No")</f>
        <v>Yes</v>
      </c>
      <c r="F540" s="15" t="str">
        <f>Products!AC401</f>
        <v>Content drafted - assets/specs pending</v>
      </c>
      <c r="G540" s="11" t="str">
        <f>Products!G401</f>
        <v>One page per product category</v>
      </c>
      <c r="H540" s="11" t="str">
        <f>IF(Products!AC401="Ready for approval","None",IF(Products!Q401="","Technical specifications; ","")&amp;IF(Products!S401="","primary image; ","")&amp;IF(Products!U401="","datasheet/brochure; ","")&amp;"technical approval")</f>
        <v>Technical specifications; primary image; datasheet/brochure; technical approval</v>
      </c>
    </row>
    <row r="541" spans="1:8" ht="26" x14ac:dyDescent="0.35">
      <c r="A541" s="11">
        <v>402</v>
      </c>
      <c r="B541" s="11" t="s">
        <v>463</v>
      </c>
      <c r="C541" s="11" t="s">
        <v>17</v>
      </c>
      <c r="D541" s="11" t="s">
        <v>464</v>
      </c>
      <c r="E541" s="19" t="str">
        <f>IF(Products!O402&lt;&gt;"","Yes","No")</f>
        <v>Yes</v>
      </c>
      <c r="F541" s="15" t="str">
        <f>Products!AC402</f>
        <v>Content drafted - assets/specs pending</v>
      </c>
      <c r="G541" s="11" t="str">
        <f>Products!G402</f>
        <v>One page per product category</v>
      </c>
      <c r="H541" s="11" t="str">
        <f>IF(Products!AC402="Ready for approval","None",IF(Products!Q402="","Technical specifications; ","")&amp;IF(Products!S402="","primary image; ","")&amp;IF(Products!U402="","datasheet/brochure; ","")&amp;"technical approval")</f>
        <v>Technical specifications; primary image; datasheet/brochure; technical approval</v>
      </c>
    </row>
    <row r="542" spans="1:8" ht="26" x14ac:dyDescent="0.35">
      <c r="A542" s="11">
        <v>403</v>
      </c>
      <c r="B542" s="11" t="s">
        <v>465</v>
      </c>
      <c r="C542" s="11" t="s">
        <v>17</v>
      </c>
      <c r="D542" s="11" t="s">
        <v>466</v>
      </c>
      <c r="E542" s="19" t="str">
        <f>IF(Products!O403&lt;&gt;"","Yes","No")</f>
        <v>Yes</v>
      </c>
      <c r="F542" s="15" t="str">
        <f>Products!AC403</f>
        <v>Content drafted - assets/specs pending</v>
      </c>
      <c r="G542" s="11" t="str">
        <f>Products!G403</f>
        <v>One page per product category</v>
      </c>
      <c r="H542" s="11" t="str">
        <f>IF(Products!AC403="Ready for approval","None",IF(Products!Q403="","Technical specifications; ","")&amp;IF(Products!S403="","primary image; ","")&amp;IF(Products!U403="","datasheet/brochure; ","")&amp;"technical approval")</f>
        <v>Technical specifications; primary image; datasheet/brochure; technical approval</v>
      </c>
    </row>
    <row r="543" spans="1:8" ht="26" x14ac:dyDescent="0.35">
      <c r="A543" s="11">
        <v>404</v>
      </c>
      <c r="B543" s="11" t="s">
        <v>467</v>
      </c>
      <c r="C543" s="11" t="s">
        <v>28</v>
      </c>
      <c r="D543" s="11" t="s">
        <v>468</v>
      </c>
      <c r="E543" s="19" t="str">
        <f>IF(Products!O404&lt;&gt;"","Yes","No")</f>
        <v>Yes</v>
      </c>
      <c r="F543" s="15" t="str">
        <f>Products!AC404</f>
        <v>Content drafted - assets/specs pending</v>
      </c>
      <c r="G543" s="11" t="str">
        <f>Products!G404</f>
        <v>One page per product category</v>
      </c>
      <c r="H543" s="11" t="str">
        <f>IF(Products!AC404="Ready for approval","None",IF(Products!Q404="","Technical specifications; ","")&amp;IF(Products!S404="","primary image; ","")&amp;IF(Products!U404="","datasheet/brochure; ","")&amp;"technical approval")</f>
        <v>Technical specifications; primary image; datasheet/brochure; technical approval</v>
      </c>
    </row>
    <row r="544" spans="1:8" ht="26" x14ac:dyDescent="0.35">
      <c r="A544" s="11">
        <v>405</v>
      </c>
      <c r="B544" s="11" t="s">
        <v>467</v>
      </c>
      <c r="C544" s="11" t="s">
        <v>28</v>
      </c>
      <c r="D544" s="11" t="s">
        <v>469</v>
      </c>
      <c r="E544" s="19" t="str">
        <f>IF(Products!O405&lt;&gt;"","Yes","No")</f>
        <v>Yes</v>
      </c>
      <c r="F544" s="15" t="str">
        <f>Products!AC405</f>
        <v>Content drafted - assets/specs pending</v>
      </c>
      <c r="G544" s="11" t="str">
        <f>Products!G405</f>
        <v>One page per product category</v>
      </c>
      <c r="H544" s="11" t="str">
        <f>IF(Products!AC405="Ready for approval","None",IF(Products!Q405="","Technical specifications; ","")&amp;IF(Products!S405="","primary image; ","")&amp;IF(Products!U405="","datasheet/brochure; ","")&amp;"technical approval")</f>
        <v>Technical specifications; primary image; datasheet/brochure; technical approval</v>
      </c>
    </row>
    <row r="545" spans="1:8" ht="26" x14ac:dyDescent="0.35">
      <c r="A545" s="11">
        <v>406</v>
      </c>
      <c r="B545" s="11" t="s">
        <v>467</v>
      </c>
      <c r="C545" s="11" t="s">
        <v>28</v>
      </c>
      <c r="D545" s="11" t="s">
        <v>470</v>
      </c>
      <c r="E545" s="19" t="str">
        <f>IF(Products!O406&lt;&gt;"","Yes","No")</f>
        <v>Yes</v>
      </c>
      <c r="F545" s="15" t="str">
        <f>Products!AC406</f>
        <v>Content drafted - assets/specs pending</v>
      </c>
      <c r="G545" s="11" t="str">
        <f>Products!G406</f>
        <v>One page per product category</v>
      </c>
      <c r="H545" s="11" t="str">
        <f>IF(Products!AC406="Ready for approval","None",IF(Products!Q406="","Technical specifications; ","")&amp;IF(Products!S406="","primary image; ","")&amp;IF(Products!U406="","datasheet/brochure; ","")&amp;"technical approval")</f>
        <v>Technical specifications; primary image; datasheet/brochure; technical approval</v>
      </c>
    </row>
    <row r="546" spans="1:8" ht="26" x14ac:dyDescent="0.35">
      <c r="A546" s="11">
        <v>407</v>
      </c>
      <c r="B546" s="11" t="s">
        <v>467</v>
      </c>
      <c r="C546" s="11" t="s">
        <v>28</v>
      </c>
      <c r="D546" s="11" t="s">
        <v>471</v>
      </c>
      <c r="E546" s="19" t="str">
        <f>IF(Products!O407&lt;&gt;"","Yes","No")</f>
        <v>Yes</v>
      </c>
      <c r="F546" s="15" t="str">
        <f>Products!AC407</f>
        <v>Content drafted - assets/specs pending</v>
      </c>
      <c r="G546" s="11" t="str">
        <f>Products!G407</f>
        <v>One page per product category</v>
      </c>
      <c r="H546" s="11" t="str">
        <f>IF(Products!AC407="Ready for approval","None",IF(Products!Q407="","Technical specifications; ","")&amp;IF(Products!S407="","primary image; ","")&amp;IF(Products!U407="","datasheet/brochure; ","")&amp;"technical approval")</f>
        <v>Technical specifications; primary image; datasheet/brochure; technical approval</v>
      </c>
    </row>
    <row r="547" spans="1:8" ht="26" x14ac:dyDescent="0.35">
      <c r="A547" s="11">
        <v>408</v>
      </c>
      <c r="B547" s="11" t="s">
        <v>467</v>
      </c>
      <c r="C547" s="11" t="s">
        <v>28</v>
      </c>
      <c r="D547" s="11" t="s">
        <v>472</v>
      </c>
      <c r="E547" s="19" t="str">
        <f>IF(Products!O408&lt;&gt;"","Yes","No")</f>
        <v>Yes</v>
      </c>
      <c r="F547" s="15" t="str">
        <f>Products!AC408</f>
        <v>Content drafted - assets/specs pending</v>
      </c>
      <c r="G547" s="11" t="str">
        <f>Products!G408</f>
        <v>One page per product category</v>
      </c>
      <c r="H547" s="11" t="str">
        <f>IF(Products!AC408="Ready for approval","None",IF(Products!Q408="","Technical specifications; ","")&amp;IF(Products!S408="","primary image; ","")&amp;IF(Products!U408="","datasheet/brochure; ","")&amp;"technical approval")</f>
        <v>Technical specifications; primary image; datasheet/brochure; technical approval</v>
      </c>
    </row>
    <row r="548" spans="1:8" ht="26" x14ac:dyDescent="0.35">
      <c r="A548" s="11">
        <v>409</v>
      </c>
      <c r="B548" s="11" t="s">
        <v>467</v>
      </c>
      <c r="C548" s="11" t="s">
        <v>28</v>
      </c>
      <c r="D548" s="11" t="s">
        <v>473</v>
      </c>
      <c r="E548" s="19" t="str">
        <f>IF(Products!O409&lt;&gt;"","Yes","No")</f>
        <v>Yes</v>
      </c>
      <c r="F548" s="15" t="str">
        <f>Products!AC409</f>
        <v>Content drafted - assets/specs pending</v>
      </c>
      <c r="G548" s="11" t="str">
        <f>Products!G409</f>
        <v>One page per product category</v>
      </c>
      <c r="H548" s="11" t="str">
        <f>IF(Products!AC409="Ready for approval","None",IF(Products!Q409="","Technical specifications; ","")&amp;IF(Products!S409="","primary image; ","")&amp;IF(Products!U409="","datasheet/brochure; ","")&amp;"technical approval")</f>
        <v>Technical specifications; primary image; datasheet/brochure; technical approval</v>
      </c>
    </row>
    <row r="549" spans="1:8" ht="26" x14ac:dyDescent="0.35">
      <c r="A549" s="11">
        <v>410</v>
      </c>
      <c r="B549" s="11" t="s">
        <v>467</v>
      </c>
      <c r="C549" s="11" t="s">
        <v>28</v>
      </c>
      <c r="D549" s="11" t="s">
        <v>474</v>
      </c>
      <c r="E549" s="19" t="str">
        <f>IF(Products!O410&lt;&gt;"","Yes","No")</f>
        <v>Yes</v>
      </c>
      <c r="F549" s="15" t="str">
        <f>Products!AC410</f>
        <v>Content drafted - assets/specs pending</v>
      </c>
      <c r="G549" s="11" t="str">
        <f>Products!G410</f>
        <v>One page per product category</v>
      </c>
      <c r="H549" s="11" t="str">
        <f>IF(Products!AC410="Ready for approval","None",IF(Products!Q410="","Technical specifications; ","")&amp;IF(Products!S410="","primary image; ","")&amp;IF(Products!U410="","datasheet/brochure; ","")&amp;"technical approval")</f>
        <v>Technical specifications; primary image; datasheet/brochure; technical approval</v>
      </c>
    </row>
    <row r="550" spans="1:8" ht="26" x14ac:dyDescent="0.35">
      <c r="A550" s="11">
        <v>411</v>
      </c>
      <c r="B550" s="11" t="s">
        <v>467</v>
      </c>
      <c r="C550" s="11" t="s">
        <v>28</v>
      </c>
      <c r="D550" s="11" t="s">
        <v>475</v>
      </c>
      <c r="E550" s="19" t="str">
        <f>IF(Products!O411&lt;&gt;"","Yes","No")</f>
        <v>Yes</v>
      </c>
      <c r="F550" s="15" t="str">
        <f>Products!AC411</f>
        <v>Content drafted - assets/specs pending</v>
      </c>
      <c r="G550" s="11" t="str">
        <f>Products!G411</f>
        <v>One page per product category</v>
      </c>
      <c r="H550" s="11" t="str">
        <f>IF(Products!AC411="Ready for approval","None",IF(Products!Q411="","Technical specifications; ","")&amp;IF(Products!S411="","primary image; ","")&amp;IF(Products!U411="","datasheet/brochure; ","")&amp;"technical approval")</f>
        <v>Technical specifications; primary image; datasheet/brochure; technical approval</v>
      </c>
    </row>
    <row r="551" spans="1:8" ht="26" x14ac:dyDescent="0.35">
      <c r="A551" s="11">
        <v>412</v>
      </c>
      <c r="B551" s="11" t="s">
        <v>467</v>
      </c>
      <c r="C551" s="11" t="s">
        <v>28</v>
      </c>
      <c r="D551" s="11" t="s">
        <v>476</v>
      </c>
      <c r="E551" s="19" t="str">
        <f>IF(Products!O412&lt;&gt;"","Yes","No")</f>
        <v>Yes</v>
      </c>
      <c r="F551" s="15" t="str">
        <f>Products!AC412</f>
        <v>Content drafted - assets/specs pending</v>
      </c>
      <c r="G551" s="11" t="str">
        <f>Products!G412</f>
        <v>One page per product category</v>
      </c>
      <c r="H551" s="11" t="str">
        <f>IF(Products!AC412="Ready for approval","None",IF(Products!Q412="","Technical specifications; ","")&amp;IF(Products!S412="","primary image; ","")&amp;IF(Products!U412="","datasheet/brochure; ","")&amp;"technical approval")</f>
        <v>Technical specifications; primary image; datasheet/brochure; technical approval</v>
      </c>
    </row>
    <row r="552" spans="1:8" ht="26" x14ac:dyDescent="0.35">
      <c r="A552" s="11">
        <v>413</v>
      </c>
      <c r="B552" s="11" t="s">
        <v>467</v>
      </c>
      <c r="C552" s="11" t="s">
        <v>28</v>
      </c>
      <c r="D552" s="11" t="s">
        <v>477</v>
      </c>
      <c r="E552" s="19" t="str">
        <f>IF(Products!O413&lt;&gt;"","Yes","No")</f>
        <v>Yes</v>
      </c>
      <c r="F552" s="15" t="str">
        <f>Products!AC413</f>
        <v>Content drafted - assets/specs pending</v>
      </c>
      <c r="G552" s="11" t="str">
        <f>Products!G413</f>
        <v>One page per product category</v>
      </c>
      <c r="H552" s="11" t="str">
        <f>IF(Products!AC413="Ready for approval","None",IF(Products!Q413="","Technical specifications; ","")&amp;IF(Products!S413="","primary image; ","")&amp;IF(Products!U413="","datasheet/brochure; ","")&amp;"technical approval")</f>
        <v>Technical specifications; primary image; datasheet/brochure; technical approval</v>
      </c>
    </row>
    <row r="553" spans="1:8" ht="26" x14ac:dyDescent="0.35">
      <c r="A553" s="11">
        <v>414</v>
      </c>
      <c r="B553" s="11" t="s">
        <v>467</v>
      </c>
      <c r="C553" s="11" t="s">
        <v>28</v>
      </c>
      <c r="D553" s="11" t="s">
        <v>478</v>
      </c>
      <c r="E553" s="19" t="str">
        <f>IF(Products!O414&lt;&gt;"","Yes","No")</f>
        <v>Yes</v>
      </c>
      <c r="F553" s="15" t="str">
        <f>Products!AC414</f>
        <v>Content drafted - assets/specs pending</v>
      </c>
      <c r="G553" s="11" t="str">
        <f>Products!G414</f>
        <v>One page per product category</v>
      </c>
      <c r="H553" s="11" t="str">
        <f>IF(Products!AC414="Ready for approval","None",IF(Products!Q414="","Technical specifications; ","")&amp;IF(Products!S414="","primary image; ","")&amp;IF(Products!U414="","datasheet/brochure; ","")&amp;"technical approval")</f>
        <v>Technical specifications; primary image; datasheet/brochure; technical approval</v>
      </c>
    </row>
    <row r="554" spans="1:8" ht="26" x14ac:dyDescent="0.35">
      <c r="A554" s="11">
        <v>415</v>
      </c>
      <c r="B554" s="11" t="s">
        <v>467</v>
      </c>
      <c r="C554" s="11" t="s">
        <v>28</v>
      </c>
      <c r="D554" s="11" t="s">
        <v>479</v>
      </c>
      <c r="E554" s="19" t="str">
        <f>IF(Products!O415&lt;&gt;"","Yes","No")</f>
        <v>Yes</v>
      </c>
      <c r="F554" s="15" t="str">
        <f>Products!AC415</f>
        <v>Content drafted - assets/specs pending</v>
      </c>
      <c r="G554" s="11" t="str">
        <f>Products!G415</f>
        <v>One page per product category</v>
      </c>
      <c r="H554" s="11" t="str">
        <f>IF(Products!AC415="Ready for approval","None",IF(Products!Q415="","Technical specifications; ","")&amp;IF(Products!S415="","primary image; ","")&amp;IF(Products!U415="","datasheet/brochure; ","")&amp;"technical approval")</f>
        <v>Technical specifications; primary image; datasheet/brochure; technical approval</v>
      </c>
    </row>
    <row r="555" spans="1:8" ht="26" x14ac:dyDescent="0.35">
      <c r="A555" s="11">
        <v>416</v>
      </c>
      <c r="B555" s="11" t="s">
        <v>480</v>
      </c>
      <c r="C555" s="11" t="s">
        <v>28</v>
      </c>
      <c r="D555" s="11" t="s">
        <v>481</v>
      </c>
      <c r="E555" s="19" t="str">
        <f>IF(Products!O416&lt;&gt;"","Yes","No")</f>
        <v>Yes</v>
      </c>
      <c r="F555" s="15" t="str">
        <f>Products!AC416</f>
        <v>Content drafted - assets/specs pending</v>
      </c>
      <c r="G555" s="11" t="str">
        <f>Products!G416</f>
        <v>One page per product category</v>
      </c>
      <c r="H555" s="11" t="str">
        <f>IF(Products!AC416="Ready for approval","None",IF(Products!Q416="","Technical specifications; ","")&amp;IF(Products!S416="","primary image; ","")&amp;IF(Products!U416="","datasheet/brochure; ","")&amp;"technical approval")</f>
        <v>Technical specifications; primary image; datasheet/brochure; technical approval</v>
      </c>
    </row>
    <row r="556" spans="1:8" ht="26" x14ac:dyDescent="0.35">
      <c r="A556" s="11">
        <v>417</v>
      </c>
      <c r="B556" s="11" t="s">
        <v>480</v>
      </c>
      <c r="C556" s="11" t="s">
        <v>28</v>
      </c>
      <c r="D556" s="11" t="s">
        <v>482</v>
      </c>
      <c r="E556" s="19" t="str">
        <f>IF(Products!O417&lt;&gt;"","Yes","No")</f>
        <v>Yes</v>
      </c>
      <c r="F556" s="15" t="str">
        <f>Products!AC417</f>
        <v>Content drafted - assets/specs pending</v>
      </c>
      <c r="G556" s="11" t="str">
        <f>Products!G417</f>
        <v>One page per product category</v>
      </c>
      <c r="H556" s="11" t="str">
        <f>IF(Products!AC417="Ready for approval","None",IF(Products!Q417="","Technical specifications; ","")&amp;IF(Products!S417="","primary image; ","")&amp;IF(Products!U417="","datasheet/brochure; ","")&amp;"technical approval")</f>
        <v>Technical specifications; primary image; datasheet/brochure; technical approval</v>
      </c>
    </row>
    <row r="557" spans="1:8" ht="26" x14ac:dyDescent="0.35">
      <c r="A557" s="11">
        <v>418</v>
      </c>
      <c r="B557" s="11" t="s">
        <v>480</v>
      </c>
      <c r="C557" s="11" t="s">
        <v>28</v>
      </c>
      <c r="D557" s="11" t="s">
        <v>483</v>
      </c>
      <c r="E557" s="19" t="str">
        <f>IF(Products!O418&lt;&gt;"","Yes","No")</f>
        <v>Yes</v>
      </c>
      <c r="F557" s="15" t="str">
        <f>Products!AC418</f>
        <v>Content drafted - assets/specs pending</v>
      </c>
      <c r="G557" s="11" t="str">
        <f>Products!G418</f>
        <v>One page per product category</v>
      </c>
      <c r="H557" s="11" t="str">
        <f>IF(Products!AC418="Ready for approval","None",IF(Products!Q418="","Technical specifications; ","")&amp;IF(Products!S418="","primary image; ","")&amp;IF(Products!U418="","datasheet/brochure; ","")&amp;"technical approval")</f>
        <v>Technical specifications; primary image; datasheet/brochure; technical approval</v>
      </c>
    </row>
    <row r="558" spans="1:8" ht="26" x14ac:dyDescent="0.35">
      <c r="A558" s="11">
        <v>419</v>
      </c>
      <c r="B558" s="11" t="s">
        <v>480</v>
      </c>
      <c r="C558" s="11" t="s">
        <v>28</v>
      </c>
      <c r="D558" s="11" t="s">
        <v>484</v>
      </c>
      <c r="E558" s="19" t="str">
        <f>IF(Products!O419&lt;&gt;"","Yes","No")</f>
        <v>Yes</v>
      </c>
      <c r="F558" s="15" t="str">
        <f>Products!AC419</f>
        <v>Content drafted - assets/specs pending</v>
      </c>
      <c r="G558" s="11" t="str">
        <f>Products!G419</f>
        <v>One page per product category</v>
      </c>
      <c r="H558" s="11" t="str">
        <f>IF(Products!AC419="Ready for approval","None",IF(Products!Q419="","Technical specifications; ","")&amp;IF(Products!S419="","primary image; ","")&amp;IF(Products!U419="","datasheet/brochure; ","")&amp;"technical approval")</f>
        <v>Technical specifications; primary image; datasheet/brochure; technical approval</v>
      </c>
    </row>
    <row r="559" spans="1:8" ht="26" x14ac:dyDescent="0.35">
      <c r="A559" s="11">
        <v>420</v>
      </c>
      <c r="B559" s="11" t="s">
        <v>480</v>
      </c>
      <c r="C559" s="11" t="s">
        <v>28</v>
      </c>
      <c r="D559" s="11" t="s">
        <v>485</v>
      </c>
      <c r="E559" s="19" t="str">
        <f>IF(Products!O420&lt;&gt;"","Yes","No")</f>
        <v>Yes</v>
      </c>
      <c r="F559" s="15" t="str">
        <f>Products!AC420</f>
        <v>Content drafted - assets/specs pending</v>
      </c>
      <c r="G559" s="11" t="str">
        <f>Products!G420</f>
        <v>One page per product category</v>
      </c>
      <c r="H559" s="11" t="str">
        <f>IF(Products!AC420="Ready for approval","None",IF(Products!Q420="","Technical specifications; ","")&amp;IF(Products!S420="","primary image; ","")&amp;IF(Products!U420="","datasheet/brochure; ","")&amp;"technical approval")</f>
        <v>Technical specifications; primary image; datasheet/brochure; technical approval</v>
      </c>
    </row>
    <row r="560" spans="1:8" ht="26" x14ac:dyDescent="0.35">
      <c r="A560" s="11">
        <v>421</v>
      </c>
      <c r="B560" s="11" t="s">
        <v>480</v>
      </c>
      <c r="C560" s="11" t="s">
        <v>28</v>
      </c>
      <c r="D560" s="11" t="s">
        <v>486</v>
      </c>
      <c r="E560" s="19" t="str">
        <f>IF(Products!O421&lt;&gt;"","Yes","No")</f>
        <v>Yes</v>
      </c>
      <c r="F560" s="15" t="str">
        <f>Products!AC421</f>
        <v>Content drafted - assets/specs pending</v>
      </c>
      <c r="G560" s="11" t="str">
        <f>Products!G421</f>
        <v>One page per product category</v>
      </c>
      <c r="H560" s="11" t="str">
        <f>IF(Products!AC421="Ready for approval","None",IF(Products!Q421="","Technical specifications; ","")&amp;IF(Products!S421="","primary image; ","")&amp;IF(Products!U421="","datasheet/brochure; ","")&amp;"technical approval")</f>
        <v>Technical specifications; primary image; datasheet/brochure; technical approval</v>
      </c>
    </row>
    <row r="561" spans="1:8" ht="26" x14ac:dyDescent="0.35">
      <c r="A561" s="11">
        <v>422</v>
      </c>
      <c r="B561" s="11" t="s">
        <v>480</v>
      </c>
      <c r="C561" s="11" t="s">
        <v>28</v>
      </c>
      <c r="D561" s="11" t="s">
        <v>487</v>
      </c>
      <c r="E561" s="19" t="str">
        <f>IF(Products!O422&lt;&gt;"","Yes","No")</f>
        <v>Yes</v>
      </c>
      <c r="F561" s="15" t="str">
        <f>Products!AC422</f>
        <v>Content drafted - assets/specs pending</v>
      </c>
      <c r="G561" s="11" t="str">
        <f>Products!G422</f>
        <v>One page per product category</v>
      </c>
      <c r="H561" s="11" t="str">
        <f>IF(Products!AC422="Ready for approval","None",IF(Products!Q422="","Technical specifications; ","")&amp;IF(Products!S422="","primary image; ","")&amp;IF(Products!U422="","datasheet/brochure; ","")&amp;"technical approval")</f>
        <v>Technical specifications; primary image; datasheet/brochure; technical approval</v>
      </c>
    </row>
    <row r="562" spans="1:8" ht="26" x14ac:dyDescent="0.35">
      <c r="A562" s="11">
        <v>423</v>
      </c>
      <c r="B562" s="11" t="s">
        <v>480</v>
      </c>
      <c r="C562" s="11" t="s">
        <v>28</v>
      </c>
      <c r="D562" s="11" t="s">
        <v>488</v>
      </c>
      <c r="E562" s="19" t="str">
        <f>IF(Products!O423&lt;&gt;"","Yes","No")</f>
        <v>Yes</v>
      </c>
      <c r="F562" s="15" t="str">
        <f>Products!AC423</f>
        <v>Content drafted - assets/specs pending</v>
      </c>
      <c r="G562" s="11" t="str">
        <f>Products!G423</f>
        <v>One page per product category</v>
      </c>
      <c r="H562" s="11" t="str">
        <f>IF(Products!AC423="Ready for approval","None",IF(Products!Q423="","Technical specifications; ","")&amp;IF(Products!S423="","primary image; ","")&amp;IF(Products!U423="","datasheet/brochure; ","")&amp;"technical approval")</f>
        <v>Technical specifications; primary image; datasheet/brochure; technical approval</v>
      </c>
    </row>
    <row r="563" spans="1:8" ht="26" x14ac:dyDescent="0.35">
      <c r="A563" s="11">
        <v>424</v>
      </c>
      <c r="B563" s="11" t="s">
        <v>480</v>
      </c>
      <c r="C563" s="11" t="s">
        <v>28</v>
      </c>
      <c r="D563" s="11" t="s">
        <v>489</v>
      </c>
      <c r="E563" s="19" t="str">
        <f>IF(Products!O424&lt;&gt;"","Yes","No")</f>
        <v>Yes</v>
      </c>
      <c r="F563" s="15" t="str">
        <f>Products!AC424</f>
        <v>Content drafted - assets/specs pending</v>
      </c>
      <c r="G563" s="11" t="str">
        <f>Products!G424</f>
        <v>One page per product category</v>
      </c>
      <c r="H563" s="11" t="str">
        <f>IF(Products!AC424="Ready for approval","None",IF(Products!Q424="","Technical specifications; ","")&amp;IF(Products!S424="","primary image; ","")&amp;IF(Products!U424="","datasheet/brochure; ","")&amp;"technical approval")</f>
        <v>Technical specifications; primary image; datasheet/brochure; technical approval</v>
      </c>
    </row>
    <row r="564" spans="1:8" ht="26" x14ac:dyDescent="0.35">
      <c r="A564" s="11">
        <v>425</v>
      </c>
      <c r="B564" s="11" t="s">
        <v>480</v>
      </c>
      <c r="C564" s="11" t="s">
        <v>28</v>
      </c>
      <c r="D564" s="11" t="s">
        <v>490</v>
      </c>
      <c r="E564" s="19" t="str">
        <f>IF(Products!O425&lt;&gt;"","Yes","No")</f>
        <v>Yes</v>
      </c>
      <c r="F564" s="15" t="str">
        <f>Products!AC425</f>
        <v>Content drafted - assets/specs pending</v>
      </c>
      <c r="G564" s="11" t="str">
        <f>Products!G425</f>
        <v>One page per product category</v>
      </c>
      <c r="H564" s="11" t="str">
        <f>IF(Products!AC425="Ready for approval","None",IF(Products!Q425="","Technical specifications; ","")&amp;IF(Products!S425="","primary image; ","")&amp;IF(Products!U425="","datasheet/brochure; ","")&amp;"technical approval")</f>
        <v>Technical specifications; primary image; datasheet/brochure; technical approval</v>
      </c>
    </row>
    <row r="565" spans="1:8" ht="26" x14ac:dyDescent="0.35">
      <c r="A565" s="11">
        <v>426</v>
      </c>
      <c r="B565" s="11" t="s">
        <v>480</v>
      </c>
      <c r="C565" s="11" t="s">
        <v>28</v>
      </c>
      <c r="D565" s="11" t="s">
        <v>491</v>
      </c>
      <c r="E565" s="19" t="str">
        <f>IF(Products!O426&lt;&gt;"","Yes","No")</f>
        <v>Yes</v>
      </c>
      <c r="F565" s="15" t="str">
        <f>Products!AC426</f>
        <v>Content drafted - assets/specs pending</v>
      </c>
      <c r="G565" s="11" t="str">
        <f>Products!G426</f>
        <v>One page per product category</v>
      </c>
      <c r="H565" s="11" t="str">
        <f>IF(Products!AC426="Ready for approval","None",IF(Products!Q426="","Technical specifications; ","")&amp;IF(Products!S426="","primary image; ","")&amp;IF(Products!U426="","datasheet/brochure; ","")&amp;"technical approval")</f>
        <v>Technical specifications; primary image; datasheet/brochure; technical approval</v>
      </c>
    </row>
    <row r="566" spans="1:8" ht="26" x14ac:dyDescent="0.35">
      <c r="A566" s="11">
        <v>427</v>
      </c>
      <c r="B566" s="11" t="s">
        <v>480</v>
      </c>
      <c r="C566" s="11" t="s">
        <v>28</v>
      </c>
      <c r="D566" s="11" t="s">
        <v>492</v>
      </c>
      <c r="E566" s="19" t="str">
        <f>IF(Products!O427&lt;&gt;"","Yes","No")</f>
        <v>Yes</v>
      </c>
      <c r="F566" s="15" t="str">
        <f>Products!AC427</f>
        <v>Content drafted - assets/specs pending</v>
      </c>
      <c r="G566" s="11" t="str">
        <f>Products!G427</f>
        <v>One page per product category</v>
      </c>
      <c r="H566" s="11" t="str">
        <f>IF(Products!AC427="Ready for approval","None",IF(Products!Q427="","Technical specifications; ","")&amp;IF(Products!S427="","primary image; ","")&amp;IF(Products!U427="","datasheet/brochure; ","")&amp;"technical approval")</f>
        <v>Technical specifications; primary image; datasheet/brochure; technical approval</v>
      </c>
    </row>
    <row r="567" spans="1:8" ht="26" x14ac:dyDescent="0.35">
      <c r="A567" s="11">
        <v>428</v>
      </c>
      <c r="B567" s="11" t="s">
        <v>480</v>
      </c>
      <c r="C567" s="11" t="s">
        <v>28</v>
      </c>
      <c r="D567" s="11" t="s">
        <v>493</v>
      </c>
      <c r="E567" s="19" t="str">
        <f>IF(Products!O428&lt;&gt;"","Yes","No")</f>
        <v>Yes</v>
      </c>
      <c r="F567" s="15" t="str">
        <f>Products!AC428</f>
        <v>Content drafted - assets/specs pending</v>
      </c>
      <c r="G567" s="11" t="str">
        <f>Products!G428</f>
        <v>One page per product category</v>
      </c>
      <c r="H567" s="11" t="str">
        <f>IF(Products!AC428="Ready for approval","None",IF(Products!Q428="","Technical specifications; ","")&amp;IF(Products!S428="","primary image; ","")&amp;IF(Products!U428="","datasheet/brochure; ","")&amp;"technical approval")</f>
        <v>Technical specifications; primary image; datasheet/brochure; technical approval</v>
      </c>
    </row>
    <row r="568" spans="1:8" ht="26" x14ac:dyDescent="0.35">
      <c r="A568" s="11">
        <v>429</v>
      </c>
      <c r="B568" s="11" t="s">
        <v>480</v>
      </c>
      <c r="C568" s="11" t="s">
        <v>28</v>
      </c>
      <c r="D568" s="11" t="s">
        <v>494</v>
      </c>
      <c r="E568" s="19" t="str">
        <f>IF(Products!O429&lt;&gt;"","Yes","No")</f>
        <v>Yes</v>
      </c>
      <c r="F568" s="15" t="str">
        <f>Products!AC429</f>
        <v>Content drafted - assets/specs pending</v>
      </c>
      <c r="G568" s="11" t="str">
        <f>Products!G429</f>
        <v>One page per product category</v>
      </c>
      <c r="H568" s="11" t="str">
        <f>IF(Products!AC429="Ready for approval","None",IF(Products!Q429="","Technical specifications; ","")&amp;IF(Products!S429="","primary image; ","")&amp;IF(Products!U429="","datasheet/brochure; ","")&amp;"technical approval")</f>
        <v>Technical specifications; primary image; datasheet/brochure; technical approval</v>
      </c>
    </row>
    <row r="569" spans="1:8" ht="26" x14ac:dyDescent="0.35">
      <c r="A569" s="11">
        <v>430</v>
      </c>
      <c r="B569" s="11" t="s">
        <v>480</v>
      </c>
      <c r="C569" s="11" t="s">
        <v>28</v>
      </c>
      <c r="D569" s="11" t="s">
        <v>495</v>
      </c>
      <c r="E569" s="19" t="str">
        <f>IF(Products!O430&lt;&gt;"","Yes","No")</f>
        <v>Yes</v>
      </c>
      <c r="F569" s="15" t="str">
        <f>Products!AC430</f>
        <v>Content drafted - assets/specs pending</v>
      </c>
      <c r="G569" s="11" t="str">
        <f>Products!G430</f>
        <v>One page per product category</v>
      </c>
      <c r="H569" s="11" t="str">
        <f>IF(Products!AC430="Ready for approval","None",IF(Products!Q430="","Technical specifications; ","")&amp;IF(Products!S430="","primary image; ","")&amp;IF(Products!U430="","datasheet/brochure; ","")&amp;"technical approval")</f>
        <v>Technical specifications; primary image; datasheet/brochure; technical approval</v>
      </c>
    </row>
    <row r="570" spans="1:8" ht="26" x14ac:dyDescent="0.35">
      <c r="A570" s="11">
        <v>431</v>
      </c>
      <c r="B570" s="11" t="s">
        <v>496</v>
      </c>
      <c r="C570" s="11" t="s">
        <v>28</v>
      </c>
      <c r="D570" s="11" t="s">
        <v>497</v>
      </c>
      <c r="E570" s="19" t="str">
        <f>IF(Products!O431&lt;&gt;"","Yes","No")</f>
        <v>Yes</v>
      </c>
      <c r="F570" s="15" t="str">
        <f>Products!AC431</f>
        <v>Content drafted - assets/specs pending</v>
      </c>
      <c r="G570" s="11" t="str">
        <f>Products!G431</f>
        <v>One page per product category</v>
      </c>
      <c r="H570" s="11" t="str">
        <f>IF(Products!AC431="Ready for approval","None",IF(Products!Q431="","Technical specifications; ","")&amp;IF(Products!S431="","primary image; ","")&amp;IF(Products!U431="","datasheet/brochure; ","")&amp;"technical approval")</f>
        <v>Technical specifications; primary image; datasheet/brochure; technical approval</v>
      </c>
    </row>
    <row r="571" spans="1:8" ht="26" x14ac:dyDescent="0.35">
      <c r="A571" s="11">
        <v>432</v>
      </c>
      <c r="B571" s="11" t="s">
        <v>496</v>
      </c>
      <c r="C571" s="11" t="s">
        <v>28</v>
      </c>
      <c r="D571" s="11" t="s">
        <v>498</v>
      </c>
      <c r="E571" s="19" t="str">
        <f>IF(Products!O432&lt;&gt;"","Yes","No")</f>
        <v>Yes</v>
      </c>
      <c r="F571" s="15" t="str">
        <f>Products!AC432</f>
        <v>Content drafted - assets/specs pending</v>
      </c>
      <c r="G571" s="11" t="str">
        <f>Products!G432</f>
        <v>One page per product category</v>
      </c>
      <c r="H571" s="11" t="str">
        <f>IF(Products!AC432="Ready for approval","None",IF(Products!Q432="","Technical specifications; ","")&amp;IF(Products!S432="","primary image; ","")&amp;IF(Products!U432="","datasheet/brochure; ","")&amp;"technical approval")</f>
        <v>Technical specifications; primary image; datasheet/brochure; technical approval</v>
      </c>
    </row>
    <row r="572" spans="1:8" ht="26" x14ac:dyDescent="0.35">
      <c r="A572" s="11">
        <v>433</v>
      </c>
      <c r="B572" s="11" t="s">
        <v>496</v>
      </c>
      <c r="C572" s="11" t="s">
        <v>28</v>
      </c>
      <c r="D572" s="11" t="s">
        <v>499</v>
      </c>
      <c r="E572" s="19" t="str">
        <f>IF(Products!O433&lt;&gt;"","Yes","No")</f>
        <v>Yes</v>
      </c>
      <c r="F572" s="15" t="str">
        <f>Products!AC433</f>
        <v>Content drafted - assets/specs pending</v>
      </c>
      <c r="G572" s="11" t="str">
        <f>Products!G433</f>
        <v>One page per product category</v>
      </c>
      <c r="H572" s="11" t="str">
        <f>IF(Products!AC433="Ready for approval","None",IF(Products!Q433="","Technical specifications; ","")&amp;IF(Products!S433="","primary image; ","")&amp;IF(Products!U433="","datasheet/brochure; ","")&amp;"technical approval")</f>
        <v>Technical specifications; primary image; datasheet/brochure; technical approval</v>
      </c>
    </row>
    <row r="573" spans="1:8" ht="26" x14ac:dyDescent="0.35">
      <c r="A573" s="11">
        <v>434</v>
      </c>
      <c r="B573" s="11" t="s">
        <v>496</v>
      </c>
      <c r="C573" s="11" t="s">
        <v>28</v>
      </c>
      <c r="D573" s="11" t="s">
        <v>500</v>
      </c>
      <c r="E573" s="19" t="str">
        <f>IF(Products!O434&lt;&gt;"","Yes","No")</f>
        <v>Yes</v>
      </c>
      <c r="F573" s="15" t="str">
        <f>Products!AC434</f>
        <v>Content drafted - assets/specs pending</v>
      </c>
      <c r="G573" s="11" t="str">
        <f>Products!G434</f>
        <v>One page per product category</v>
      </c>
      <c r="H573" s="11" t="str">
        <f>IF(Products!AC434="Ready for approval","None",IF(Products!Q434="","Technical specifications; ","")&amp;IF(Products!S434="","primary image; ","")&amp;IF(Products!U434="","datasheet/brochure; ","")&amp;"technical approval")</f>
        <v>Technical specifications; primary image; datasheet/brochure; technical approval</v>
      </c>
    </row>
    <row r="574" spans="1:8" ht="26" x14ac:dyDescent="0.35">
      <c r="A574" s="11">
        <v>435</v>
      </c>
      <c r="B574" s="11" t="s">
        <v>496</v>
      </c>
      <c r="C574" s="11" t="s">
        <v>28</v>
      </c>
      <c r="D574" s="11" t="s">
        <v>501</v>
      </c>
      <c r="E574" s="19" t="str">
        <f>IF(Products!O435&lt;&gt;"","Yes","No")</f>
        <v>Yes</v>
      </c>
      <c r="F574" s="15" t="str">
        <f>Products!AC435</f>
        <v>Content drafted - assets/specs pending</v>
      </c>
      <c r="G574" s="11" t="str">
        <f>Products!G435</f>
        <v>One page per product category</v>
      </c>
      <c r="H574" s="11" t="str">
        <f>IF(Products!AC435="Ready for approval","None",IF(Products!Q435="","Technical specifications; ","")&amp;IF(Products!S435="","primary image; ","")&amp;IF(Products!U435="","datasheet/brochure; ","")&amp;"technical approval")</f>
        <v>Technical specifications; primary image; datasheet/brochure; technical approval</v>
      </c>
    </row>
    <row r="575" spans="1:8" ht="26" x14ac:dyDescent="0.35">
      <c r="A575" s="11">
        <v>436</v>
      </c>
      <c r="B575" s="11" t="s">
        <v>496</v>
      </c>
      <c r="C575" s="11" t="s">
        <v>28</v>
      </c>
      <c r="D575" s="11" t="s">
        <v>502</v>
      </c>
      <c r="E575" s="19" t="str">
        <f>IF(Products!O436&lt;&gt;"","Yes","No")</f>
        <v>Yes</v>
      </c>
      <c r="F575" s="15" t="str">
        <f>Products!AC436</f>
        <v>Content drafted - assets/specs pending</v>
      </c>
      <c r="G575" s="11" t="str">
        <f>Products!G436</f>
        <v>One page per product category</v>
      </c>
      <c r="H575" s="11" t="str">
        <f>IF(Products!AC436="Ready for approval","None",IF(Products!Q436="","Technical specifications; ","")&amp;IF(Products!S436="","primary image; ","")&amp;IF(Products!U436="","datasheet/brochure; ","")&amp;"technical approval")</f>
        <v>Technical specifications; primary image; datasheet/brochure; technical approval</v>
      </c>
    </row>
    <row r="576" spans="1:8" ht="26" x14ac:dyDescent="0.35">
      <c r="A576" s="11">
        <v>437</v>
      </c>
      <c r="B576" s="11" t="s">
        <v>496</v>
      </c>
      <c r="C576" s="11" t="s">
        <v>28</v>
      </c>
      <c r="D576" s="11" t="s">
        <v>503</v>
      </c>
      <c r="E576" s="19" t="str">
        <f>IF(Products!O437&lt;&gt;"","Yes","No")</f>
        <v>Yes</v>
      </c>
      <c r="F576" s="15" t="str">
        <f>Products!AC437</f>
        <v>Content drafted - assets/specs pending</v>
      </c>
      <c r="G576" s="11" t="str">
        <f>Products!G437</f>
        <v>One page per product category</v>
      </c>
      <c r="H576" s="11" t="str">
        <f>IF(Products!AC437="Ready for approval","None",IF(Products!Q437="","Technical specifications; ","")&amp;IF(Products!S437="","primary image; ","")&amp;IF(Products!U437="","datasheet/brochure; ","")&amp;"technical approval")</f>
        <v>Technical specifications; primary image; datasheet/brochure; technical approval</v>
      </c>
    </row>
    <row r="577" spans="1:8" ht="26" x14ac:dyDescent="0.35">
      <c r="A577" s="11">
        <v>438</v>
      </c>
      <c r="B577" s="11" t="s">
        <v>496</v>
      </c>
      <c r="C577" s="11" t="s">
        <v>28</v>
      </c>
      <c r="D577" s="11" t="s">
        <v>504</v>
      </c>
      <c r="E577" s="19" t="str">
        <f>IF(Products!O438&lt;&gt;"","Yes","No")</f>
        <v>Yes</v>
      </c>
      <c r="F577" s="15" t="str">
        <f>Products!AC438</f>
        <v>Content drafted - assets/specs pending</v>
      </c>
      <c r="G577" s="11" t="str">
        <f>Products!G438</f>
        <v>One page per product category</v>
      </c>
      <c r="H577" s="11" t="str">
        <f>IF(Products!AC438="Ready for approval","None",IF(Products!Q438="","Technical specifications; ","")&amp;IF(Products!S438="","primary image; ","")&amp;IF(Products!U438="","datasheet/brochure; ","")&amp;"technical approval")</f>
        <v>Technical specifications; primary image; datasheet/brochure; technical approval</v>
      </c>
    </row>
    <row r="578" spans="1:8" ht="26" x14ac:dyDescent="0.35">
      <c r="A578" s="11">
        <v>439</v>
      </c>
      <c r="B578" s="11" t="s">
        <v>496</v>
      </c>
      <c r="C578" s="11" t="s">
        <v>28</v>
      </c>
      <c r="D578" s="11" t="s">
        <v>505</v>
      </c>
      <c r="E578" s="19" t="str">
        <f>IF(Products!O439&lt;&gt;"","Yes","No")</f>
        <v>Yes</v>
      </c>
      <c r="F578" s="15" t="str">
        <f>Products!AC439</f>
        <v>Content drafted - assets/specs pending</v>
      </c>
      <c r="G578" s="11" t="str">
        <f>Products!G439</f>
        <v>One page per product category</v>
      </c>
      <c r="H578" s="11" t="str">
        <f>IF(Products!AC439="Ready for approval","None",IF(Products!Q439="","Technical specifications; ","")&amp;IF(Products!S439="","primary image; ","")&amp;IF(Products!U439="","datasheet/brochure; ","")&amp;"technical approval")</f>
        <v>Technical specifications; primary image; datasheet/brochure; technical approval</v>
      </c>
    </row>
    <row r="579" spans="1:8" ht="26" x14ac:dyDescent="0.35">
      <c r="A579" s="11">
        <v>440</v>
      </c>
      <c r="B579" s="11" t="s">
        <v>496</v>
      </c>
      <c r="C579" s="11" t="s">
        <v>28</v>
      </c>
      <c r="D579" s="11" t="s">
        <v>506</v>
      </c>
      <c r="E579" s="19" t="str">
        <f>IF(Products!O440&lt;&gt;"","Yes","No")</f>
        <v>Yes</v>
      </c>
      <c r="F579" s="15" t="str">
        <f>Products!AC440</f>
        <v>Content drafted - assets/specs pending</v>
      </c>
      <c r="G579" s="11" t="str">
        <f>Products!G440</f>
        <v>One page per product category</v>
      </c>
      <c r="H579" s="11" t="str">
        <f>IF(Products!AC440="Ready for approval","None",IF(Products!Q440="","Technical specifications; ","")&amp;IF(Products!S440="","primary image; ","")&amp;IF(Products!U440="","datasheet/brochure; ","")&amp;"technical approval")</f>
        <v>Technical specifications; primary image; datasheet/brochure; technical approval</v>
      </c>
    </row>
    <row r="580" spans="1:8" ht="26" x14ac:dyDescent="0.35">
      <c r="A580" s="11">
        <v>441</v>
      </c>
      <c r="B580" s="11" t="s">
        <v>496</v>
      </c>
      <c r="C580" s="11" t="s">
        <v>28</v>
      </c>
      <c r="D580" s="11" t="s">
        <v>507</v>
      </c>
      <c r="E580" s="19" t="str">
        <f>IF(Products!O441&lt;&gt;"","Yes","No")</f>
        <v>Yes</v>
      </c>
      <c r="F580" s="15" t="str">
        <f>Products!AC441</f>
        <v>Content drafted - assets/specs pending</v>
      </c>
      <c r="G580" s="11" t="str">
        <f>Products!G441</f>
        <v>One page per product category</v>
      </c>
      <c r="H580" s="11" t="str">
        <f>IF(Products!AC441="Ready for approval","None",IF(Products!Q441="","Technical specifications; ","")&amp;IF(Products!S441="","primary image; ","")&amp;IF(Products!U441="","datasheet/brochure; ","")&amp;"technical approval")</f>
        <v>Technical specifications; primary image; datasheet/brochure; technical approval</v>
      </c>
    </row>
    <row r="581" spans="1:8" ht="26" x14ac:dyDescent="0.35">
      <c r="A581" s="11">
        <v>442</v>
      </c>
      <c r="B581" s="11" t="s">
        <v>496</v>
      </c>
      <c r="C581" s="11" t="s">
        <v>28</v>
      </c>
      <c r="D581" s="11" t="s">
        <v>508</v>
      </c>
      <c r="E581" s="19" t="str">
        <f>IF(Products!O442&lt;&gt;"","Yes","No")</f>
        <v>Yes</v>
      </c>
      <c r="F581" s="15" t="str">
        <f>Products!AC442</f>
        <v>Content drafted - assets/specs pending</v>
      </c>
      <c r="G581" s="11" t="str">
        <f>Products!G442</f>
        <v>One page per product category</v>
      </c>
      <c r="H581" s="11" t="str">
        <f>IF(Products!AC442="Ready for approval","None",IF(Products!Q442="","Technical specifications; ","")&amp;IF(Products!S442="","primary image; ","")&amp;IF(Products!U442="","datasheet/brochure; ","")&amp;"technical approval")</f>
        <v>Technical specifications; primary image; datasheet/brochure; technical approval</v>
      </c>
    </row>
    <row r="582" spans="1:8" ht="26" x14ac:dyDescent="0.35">
      <c r="A582" s="11">
        <v>443</v>
      </c>
      <c r="B582" s="11" t="s">
        <v>496</v>
      </c>
      <c r="C582" s="11" t="s">
        <v>28</v>
      </c>
      <c r="D582" s="11" t="s">
        <v>509</v>
      </c>
      <c r="E582" s="19" t="str">
        <f>IF(Products!O443&lt;&gt;"","Yes","No")</f>
        <v>Yes</v>
      </c>
      <c r="F582" s="15" t="str">
        <f>Products!AC443</f>
        <v>Content drafted - assets/specs pending</v>
      </c>
      <c r="G582" s="11" t="str">
        <f>Products!G443</f>
        <v>One page per product category</v>
      </c>
      <c r="H582" s="11" t="str">
        <f>IF(Products!AC443="Ready for approval","None",IF(Products!Q443="","Technical specifications; ","")&amp;IF(Products!S443="","primary image; ","")&amp;IF(Products!U443="","datasheet/brochure; ","")&amp;"technical approval")</f>
        <v>Technical specifications; primary image; datasheet/brochure; technical approval</v>
      </c>
    </row>
    <row r="583" spans="1:8" ht="26" x14ac:dyDescent="0.35">
      <c r="A583" s="11">
        <v>444</v>
      </c>
      <c r="B583" s="11" t="s">
        <v>496</v>
      </c>
      <c r="C583" s="11" t="s">
        <v>28</v>
      </c>
      <c r="D583" s="11" t="s">
        <v>510</v>
      </c>
      <c r="E583" s="19" t="str">
        <f>IF(Products!O444&lt;&gt;"","Yes","No")</f>
        <v>Yes</v>
      </c>
      <c r="F583" s="15" t="str">
        <f>Products!AC444</f>
        <v>Content drafted - assets/specs pending</v>
      </c>
      <c r="G583" s="11" t="str">
        <f>Products!G444</f>
        <v>One page per product category</v>
      </c>
      <c r="H583" s="11" t="str">
        <f>IF(Products!AC444="Ready for approval","None",IF(Products!Q444="","Technical specifications; ","")&amp;IF(Products!S444="","primary image; ","")&amp;IF(Products!U444="","datasheet/brochure; ","")&amp;"technical approval")</f>
        <v>Technical specifications; primary image; datasheet/brochure; technical approval</v>
      </c>
    </row>
    <row r="584" spans="1:8" ht="26" x14ac:dyDescent="0.35">
      <c r="A584" s="11">
        <v>445</v>
      </c>
      <c r="B584" s="11" t="s">
        <v>511</v>
      </c>
      <c r="C584" s="11" t="s">
        <v>28</v>
      </c>
      <c r="D584" s="11" t="s">
        <v>512</v>
      </c>
      <c r="E584" s="19" t="str">
        <f>IF(Products!O445&lt;&gt;"","Yes","No")</f>
        <v>Yes</v>
      </c>
      <c r="F584" s="15" t="str">
        <f>Products!AC445</f>
        <v>Content drafted - assets/specs pending</v>
      </c>
      <c r="G584" s="11" t="str">
        <f>Products!G445</f>
        <v>One page per product category</v>
      </c>
      <c r="H584" s="11" t="str">
        <f>IF(Products!AC445="Ready for approval","None",IF(Products!Q445="","Technical specifications; ","")&amp;IF(Products!S445="","primary image; ","")&amp;IF(Products!U445="","datasheet/brochure; ","")&amp;"technical approval")</f>
        <v>Technical specifications; primary image; datasheet/brochure; technical approval</v>
      </c>
    </row>
    <row r="585" spans="1:8" ht="26" x14ac:dyDescent="0.35">
      <c r="A585" s="11">
        <v>446</v>
      </c>
      <c r="B585" s="11" t="s">
        <v>511</v>
      </c>
      <c r="C585" s="11" t="s">
        <v>28</v>
      </c>
      <c r="D585" s="11" t="s">
        <v>513</v>
      </c>
      <c r="E585" s="19" t="str">
        <f>IF(Products!O446&lt;&gt;"","Yes","No")</f>
        <v>Yes</v>
      </c>
      <c r="F585" s="15" t="str">
        <f>Products!AC446</f>
        <v>Content drafted - assets/specs pending</v>
      </c>
      <c r="G585" s="11" t="str">
        <f>Products!G446</f>
        <v>One page per product category</v>
      </c>
      <c r="H585" s="11" t="str">
        <f>IF(Products!AC446="Ready for approval","None",IF(Products!Q446="","Technical specifications; ","")&amp;IF(Products!S446="","primary image; ","")&amp;IF(Products!U446="","datasheet/brochure; ","")&amp;"technical approval")</f>
        <v>Technical specifications; primary image; datasheet/brochure; technical approval</v>
      </c>
    </row>
    <row r="586" spans="1:8" ht="26" x14ac:dyDescent="0.35">
      <c r="A586" s="11">
        <v>447</v>
      </c>
      <c r="B586" s="11" t="s">
        <v>511</v>
      </c>
      <c r="C586" s="11" t="s">
        <v>28</v>
      </c>
      <c r="D586" s="11" t="s">
        <v>514</v>
      </c>
      <c r="E586" s="19" t="str">
        <f>IF(Products!O447&lt;&gt;"","Yes","No")</f>
        <v>Yes</v>
      </c>
      <c r="F586" s="15" t="str">
        <f>Products!AC447</f>
        <v>Content drafted - assets/specs pending</v>
      </c>
      <c r="G586" s="11" t="str">
        <f>Products!G447</f>
        <v>One page per product category</v>
      </c>
      <c r="H586" s="11" t="str">
        <f>IF(Products!AC447="Ready for approval","None",IF(Products!Q447="","Technical specifications; ","")&amp;IF(Products!S447="","primary image; ","")&amp;IF(Products!U447="","datasheet/brochure; ","")&amp;"technical approval")</f>
        <v>Technical specifications; primary image; datasheet/brochure; technical approval</v>
      </c>
    </row>
    <row r="587" spans="1:8" ht="26" x14ac:dyDescent="0.35">
      <c r="A587" s="11">
        <v>448</v>
      </c>
      <c r="B587" s="11" t="s">
        <v>511</v>
      </c>
      <c r="C587" s="11" t="s">
        <v>28</v>
      </c>
      <c r="D587" s="11" t="s">
        <v>515</v>
      </c>
      <c r="E587" s="19" t="str">
        <f>IF(Products!O448&lt;&gt;"","Yes","No")</f>
        <v>Yes</v>
      </c>
      <c r="F587" s="15" t="str">
        <f>Products!AC448</f>
        <v>Content drafted - assets/specs pending</v>
      </c>
      <c r="G587" s="11" t="str">
        <f>Products!G448</f>
        <v>One page per product category</v>
      </c>
      <c r="H587" s="11" t="str">
        <f>IF(Products!AC448="Ready for approval","None",IF(Products!Q448="","Technical specifications; ","")&amp;IF(Products!S448="","primary image; ","")&amp;IF(Products!U448="","datasheet/brochure; ","")&amp;"technical approval")</f>
        <v>Technical specifications; primary image; datasheet/brochure; technical approval</v>
      </c>
    </row>
    <row r="588" spans="1:8" ht="26" x14ac:dyDescent="0.35">
      <c r="A588" s="11">
        <v>449</v>
      </c>
      <c r="B588" s="11" t="s">
        <v>511</v>
      </c>
      <c r="C588" s="11" t="s">
        <v>28</v>
      </c>
      <c r="D588" s="11" t="s">
        <v>516</v>
      </c>
      <c r="E588" s="19" t="str">
        <f>IF(Products!O449&lt;&gt;"","Yes","No")</f>
        <v>Yes</v>
      </c>
      <c r="F588" s="15" t="str">
        <f>Products!AC449</f>
        <v>Content drafted - assets/specs pending</v>
      </c>
      <c r="G588" s="11" t="str">
        <f>Products!G449</f>
        <v>One page per product category</v>
      </c>
      <c r="H588" s="11" t="str">
        <f>IF(Products!AC449="Ready for approval","None",IF(Products!Q449="","Technical specifications; ","")&amp;IF(Products!S449="","primary image; ","")&amp;IF(Products!U449="","datasheet/brochure; ","")&amp;"technical approval")</f>
        <v>Technical specifications; primary image; datasheet/brochure; technical approval</v>
      </c>
    </row>
    <row r="589" spans="1:8" ht="26" x14ac:dyDescent="0.35">
      <c r="A589" s="11">
        <v>450</v>
      </c>
      <c r="B589" s="11" t="s">
        <v>511</v>
      </c>
      <c r="C589" s="11" t="s">
        <v>28</v>
      </c>
      <c r="D589" s="11" t="s">
        <v>517</v>
      </c>
      <c r="E589" s="19" t="str">
        <f>IF(Products!O450&lt;&gt;"","Yes","No")</f>
        <v>Yes</v>
      </c>
      <c r="F589" s="15" t="str">
        <f>Products!AC450</f>
        <v>Content drafted - assets/specs pending</v>
      </c>
      <c r="G589" s="11" t="str">
        <f>Products!G450</f>
        <v>One page per product category</v>
      </c>
      <c r="H589" s="11" t="str">
        <f>IF(Products!AC450="Ready for approval","None",IF(Products!Q450="","Technical specifications; ","")&amp;IF(Products!S450="","primary image; ","")&amp;IF(Products!U450="","datasheet/brochure; ","")&amp;"technical approval")</f>
        <v>Technical specifications; primary image; datasheet/brochure; technical approval</v>
      </c>
    </row>
    <row r="590" spans="1:8" ht="26" x14ac:dyDescent="0.35">
      <c r="A590" s="11">
        <v>451</v>
      </c>
      <c r="B590" s="11" t="s">
        <v>511</v>
      </c>
      <c r="C590" s="11" t="s">
        <v>28</v>
      </c>
      <c r="D590" s="11" t="s">
        <v>518</v>
      </c>
      <c r="E590" s="19" t="str">
        <f>IF(Products!O451&lt;&gt;"","Yes","No")</f>
        <v>Yes</v>
      </c>
      <c r="F590" s="15" t="str">
        <f>Products!AC451</f>
        <v>Content drafted - assets/specs pending</v>
      </c>
      <c r="G590" s="11" t="str">
        <f>Products!G451</f>
        <v>One page per product category</v>
      </c>
      <c r="H590" s="11" t="str">
        <f>IF(Products!AC451="Ready for approval","None",IF(Products!Q451="","Technical specifications; ","")&amp;IF(Products!S451="","primary image; ","")&amp;IF(Products!U451="","datasheet/brochure; ","")&amp;"technical approval")</f>
        <v>Technical specifications; primary image; datasheet/brochure; technical approval</v>
      </c>
    </row>
    <row r="591" spans="1:8" ht="26" x14ac:dyDescent="0.35">
      <c r="A591" s="11">
        <v>452</v>
      </c>
      <c r="B591" s="11" t="s">
        <v>511</v>
      </c>
      <c r="C591" s="11" t="s">
        <v>28</v>
      </c>
      <c r="D591" s="11" t="s">
        <v>519</v>
      </c>
      <c r="E591" s="19" t="str">
        <f>IF(Products!O452&lt;&gt;"","Yes","No")</f>
        <v>Yes</v>
      </c>
      <c r="F591" s="15" t="str">
        <f>Products!AC452</f>
        <v>Content drafted - assets/specs pending</v>
      </c>
      <c r="G591" s="11" t="str">
        <f>Products!G452</f>
        <v>One page per product category</v>
      </c>
      <c r="H591" s="11" t="str">
        <f>IF(Products!AC452="Ready for approval","None",IF(Products!Q452="","Technical specifications; ","")&amp;IF(Products!S452="","primary image; ","")&amp;IF(Products!U452="","datasheet/brochure; ","")&amp;"technical approval")</f>
        <v>Technical specifications; primary image; datasheet/brochure; technical approval</v>
      </c>
    </row>
    <row r="592" spans="1:8" ht="26" x14ac:dyDescent="0.35">
      <c r="A592" s="11">
        <v>453</v>
      </c>
      <c r="B592" s="11" t="s">
        <v>511</v>
      </c>
      <c r="C592" s="11" t="s">
        <v>28</v>
      </c>
      <c r="D592" s="11" t="s">
        <v>520</v>
      </c>
      <c r="E592" s="19" t="str">
        <f>IF(Products!O453&lt;&gt;"","Yes","No")</f>
        <v>Yes</v>
      </c>
      <c r="F592" s="15" t="str">
        <f>Products!AC453</f>
        <v>Content drafted - assets/specs pending</v>
      </c>
      <c r="G592" s="11" t="str">
        <f>Products!G453</f>
        <v>One page per product category</v>
      </c>
      <c r="H592" s="11" t="str">
        <f>IF(Products!AC453="Ready for approval","None",IF(Products!Q453="","Technical specifications; ","")&amp;IF(Products!S453="","primary image; ","")&amp;IF(Products!U453="","datasheet/brochure; ","")&amp;"technical approval")</f>
        <v>Technical specifications; primary image; datasheet/brochure; technical approval</v>
      </c>
    </row>
    <row r="593" spans="1:8" ht="26" x14ac:dyDescent="0.35">
      <c r="A593" s="11">
        <v>454</v>
      </c>
      <c r="B593" s="11" t="s">
        <v>511</v>
      </c>
      <c r="C593" s="11" t="s">
        <v>28</v>
      </c>
      <c r="D593" s="11" t="s">
        <v>521</v>
      </c>
      <c r="E593" s="19" t="str">
        <f>IF(Products!O454&lt;&gt;"","Yes","No")</f>
        <v>Yes</v>
      </c>
      <c r="F593" s="15" t="str">
        <f>Products!AC454</f>
        <v>Content drafted - assets/specs pending</v>
      </c>
      <c r="G593" s="11" t="str">
        <f>Products!G454</f>
        <v>One page per product category</v>
      </c>
      <c r="H593" s="11" t="str">
        <f>IF(Products!AC454="Ready for approval","None",IF(Products!Q454="","Technical specifications; ","")&amp;IF(Products!S454="","primary image; ","")&amp;IF(Products!U454="","datasheet/brochure; ","")&amp;"technical approval")</f>
        <v>Technical specifications; primary image; datasheet/brochure; technical approval</v>
      </c>
    </row>
    <row r="594" spans="1:8" ht="26" x14ac:dyDescent="0.35">
      <c r="A594" s="11">
        <v>455</v>
      </c>
      <c r="B594" s="11" t="s">
        <v>511</v>
      </c>
      <c r="C594" s="11" t="s">
        <v>28</v>
      </c>
      <c r="D594" s="11" t="s">
        <v>522</v>
      </c>
      <c r="E594" s="19" t="str">
        <f>IF(Products!O455&lt;&gt;"","Yes","No")</f>
        <v>Yes</v>
      </c>
      <c r="F594" s="15" t="str">
        <f>Products!AC455</f>
        <v>Content drafted - assets/specs pending</v>
      </c>
      <c r="G594" s="11" t="str">
        <f>Products!G455</f>
        <v>One page per product category</v>
      </c>
      <c r="H594" s="11" t="str">
        <f>IF(Products!AC455="Ready for approval","None",IF(Products!Q455="","Technical specifications; ","")&amp;IF(Products!S455="","primary image; ","")&amp;IF(Products!U455="","datasheet/brochure; ","")&amp;"technical approval")</f>
        <v>Technical specifications; primary image; datasheet/brochure; technical approval</v>
      </c>
    </row>
    <row r="595" spans="1:8" ht="26" x14ac:dyDescent="0.35">
      <c r="A595" s="11">
        <v>456</v>
      </c>
      <c r="B595" s="11" t="s">
        <v>511</v>
      </c>
      <c r="C595" s="11" t="s">
        <v>28</v>
      </c>
      <c r="D595" s="11" t="s">
        <v>523</v>
      </c>
      <c r="E595" s="19" t="str">
        <f>IF(Products!O456&lt;&gt;"","Yes","No")</f>
        <v>Yes</v>
      </c>
      <c r="F595" s="15" t="str">
        <f>Products!AC456</f>
        <v>Content drafted - assets/specs pending</v>
      </c>
      <c r="G595" s="11" t="str">
        <f>Products!G456</f>
        <v>One page per product category</v>
      </c>
      <c r="H595" s="11" t="str">
        <f>IF(Products!AC456="Ready for approval","None",IF(Products!Q456="","Technical specifications; ","")&amp;IF(Products!S456="","primary image; ","")&amp;IF(Products!U456="","datasheet/brochure; ","")&amp;"technical approval")</f>
        <v>Technical specifications; primary image; datasheet/brochure; technical approval</v>
      </c>
    </row>
    <row r="596" spans="1:8" ht="26" x14ac:dyDescent="0.35">
      <c r="A596" s="11">
        <v>457</v>
      </c>
      <c r="B596" s="11" t="s">
        <v>524</v>
      </c>
      <c r="C596" s="11" t="s">
        <v>28</v>
      </c>
      <c r="D596" s="11" t="s">
        <v>525</v>
      </c>
      <c r="E596" s="19" t="str">
        <f>IF(Products!O457&lt;&gt;"","Yes","No")</f>
        <v>Yes</v>
      </c>
      <c r="F596" s="15" t="str">
        <f>Products!AC457</f>
        <v>Content drafted - assets/specs pending</v>
      </c>
      <c r="G596" s="11" t="str">
        <f>Products!G457</f>
        <v>One page per product category</v>
      </c>
      <c r="H596" s="11" t="str">
        <f>IF(Products!AC457="Ready for approval","None",IF(Products!Q457="","Technical specifications; ","")&amp;IF(Products!S457="","primary image; ","")&amp;IF(Products!U457="","datasheet/brochure; ","")&amp;"technical approval")</f>
        <v>Technical specifications; primary image; datasheet/brochure; technical approval</v>
      </c>
    </row>
    <row r="597" spans="1:8" ht="26" x14ac:dyDescent="0.35">
      <c r="A597" s="11">
        <v>458</v>
      </c>
      <c r="B597" s="11" t="s">
        <v>524</v>
      </c>
      <c r="C597" s="11" t="s">
        <v>28</v>
      </c>
      <c r="D597" s="11" t="s">
        <v>526</v>
      </c>
      <c r="E597" s="19" t="str">
        <f>IF(Products!O458&lt;&gt;"","Yes","No")</f>
        <v>Yes</v>
      </c>
      <c r="F597" s="15" t="str">
        <f>Products!AC458</f>
        <v>Content drafted - assets/specs pending</v>
      </c>
      <c r="G597" s="11" t="str">
        <f>Products!G458</f>
        <v>One page per product category</v>
      </c>
      <c r="H597" s="11" t="str">
        <f>IF(Products!AC458="Ready for approval","None",IF(Products!Q458="","Technical specifications; ","")&amp;IF(Products!S458="","primary image; ","")&amp;IF(Products!U458="","datasheet/brochure; ","")&amp;"technical approval")</f>
        <v>Technical specifications; primary image; datasheet/brochure; technical approval</v>
      </c>
    </row>
    <row r="598" spans="1:8" ht="26" x14ac:dyDescent="0.35">
      <c r="A598" s="11">
        <v>459</v>
      </c>
      <c r="B598" s="11" t="s">
        <v>524</v>
      </c>
      <c r="C598" s="11" t="s">
        <v>28</v>
      </c>
      <c r="D598" s="11" t="s">
        <v>527</v>
      </c>
      <c r="E598" s="19" t="str">
        <f>IF(Products!O459&lt;&gt;"","Yes","No")</f>
        <v>Yes</v>
      </c>
      <c r="F598" s="15" t="str">
        <f>Products!AC459</f>
        <v>Content drafted - assets/specs pending</v>
      </c>
      <c r="G598" s="11" t="str">
        <f>Products!G459</f>
        <v>One page per product category</v>
      </c>
      <c r="H598" s="11" t="str">
        <f>IF(Products!AC459="Ready for approval","None",IF(Products!Q459="","Technical specifications; ","")&amp;IF(Products!S459="","primary image; ","")&amp;IF(Products!U459="","datasheet/brochure; ","")&amp;"technical approval")</f>
        <v>Technical specifications; primary image; datasheet/brochure; technical approval</v>
      </c>
    </row>
    <row r="599" spans="1:8" ht="26" x14ac:dyDescent="0.35">
      <c r="A599" s="11">
        <v>460</v>
      </c>
      <c r="B599" s="11" t="s">
        <v>524</v>
      </c>
      <c r="C599" s="11" t="s">
        <v>28</v>
      </c>
      <c r="D599" s="11" t="s">
        <v>528</v>
      </c>
      <c r="E599" s="19" t="str">
        <f>IF(Products!O460&lt;&gt;"","Yes","No")</f>
        <v>Yes</v>
      </c>
      <c r="F599" s="15" t="str">
        <f>Products!AC460</f>
        <v>Content drafted - assets/specs pending</v>
      </c>
      <c r="G599" s="11" t="str">
        <f>Products!G460</f>
        <v>One page per product category</v>
      </c>
      <c r="H599" s="11" t="str">
        <f>IF(Products!AC460="Ready for approval","None",IF(Products!Q460="","Technical specifications; ","")&amp;IF(Products!S460="","primary image; ","")&amp;IF(Products!U460="","datasheet/brochure; ","")&amp;"technical approval")</f>
        <v>Technical specifications; primary image; datasheet/brochure; technical approval</v>
      </c>
    </row>
    <row r="600" spans="1:8" ht="26" x14ac:dyDescent="0.35">
      <c r="A600" s="11">
        <v>461</v>
      </c>
      <c r="B600" s="11" t="s">
        <v>524</v>
      </c>
      <c r="C600" s="11" t="s">
        <v>28</v>
      </c>
      <c r="D600" s="11" t="s">
        <v>529</v>
      </c>
      <c r="E600" s="19" t="str">
        <f>IF(Products!O461&lt;&gt;"","Yes","No")</f>
        <v>Yes</v>
      </c>
      <c r="F600" s="15" t="str">
        <f>Products!AC461</f>
        <v>Content drafted - assets/specs pending</v>
      </c>
      <c r="G600" s="11" t="str">
        <f>Products!G461</f>
        <v>One page per product category</v>
      </c>
      <c r="H600" s="11" t="str">
        <f>IF(Products!AC461="Ready for approval","None",IF(Products!Q461="","Technical specifications; ","")&amp;IF(Products!S461="","primary image; ","")&amp;IF(Products!U461="","datasheet/brochure; ","")&amp;"technical approval")</f>
        <v>Technical specifications; primary image; datasheet/brochure; technical approval</v>
      </c>
    </row>
    <row r="601" spans="1:8" ht="26" x14ac:dyDescent="0.35">
      <c r="A601" s="11">
        <v>462</v>
      </c>
      <c r="B601" s="11" t="s">
        <v>524</v>
      </c>
      <c r="C601" s="11" t="s">
        <v>28</v>
      </c>
      <c r="D601" s="11" t="s">
        <v>530</v>
      </c>
      <c r="E601" s="19" t="str">
        <f>IF(Products!O462&lt;&gt;"","Yes","No")</f>
        <v>Yes</v>
      </c>
      <c r="F601" s="15" t="str">
        <f>Products!AC462</f>
        <v>Content drafted - assets/specs pending</v>
      </c>
      <c r="G601" s="11" t="str">
        <f>Products!G462</f>
        <v>One page per product category</v>
      </c>
      <c r="H601" s="11" t="str">
        <f>IF(Products!AC462="Ready for approval","None",IF(Products!Q462="","Technical specifications; ","")&amp;IF(Products!S462="","primary image; ","")&amp;IF(Products!U462="","datasheet/brochure; ","")&amp;"technical approval")</f>
        <v>Technical specifications; primary image; datasheet/brochure; technical approval</v>
      </c>
    </row>
    <row r="602" spans="1:8" ht="26" x14ac:dyDescent="0.35">
      <c r="A602" s="11">
        <v>463</v>
      </c>
      <c r="B602" s="11" t="s">
        <v>524</v>
      </c>
      <c r="C602" s="11" t="s">
        <v>28</v>
      </c>
      <c r="D602" s="11" t="s">
        <v>531</v>
      </c>
      <c r="E602" s="19" t="str">
        <f>IF(Products!O463&lt;&gt;"","Yes","No")</f>
        <v>Yes</v>
      </c>
      <c r="F602" s="15" t="str">
        <f>Products!AC463</f>
        <v>Content drafted - assets/specs pending</v>
      </c>
      <c r="G602" s="11" t="str">
        <f>Products!G463</f>
        <v>One page per product category</v>
      </c>
      <c r="H602" s="11" t="str">
        <f>IF(Products!AC463="Ready for approval","None",IF(Products!Q463="","Technical specifications; ","")&amp;IF(Products!S463="","primary image; ","")&amp;IF(Products!U463="","datasheet/brochure; ","")&amp;"technical approval")</f>
        <v>Technical specifications; primary image; datasheet/brochure; technical approval</v>
      </c>
    </row>
    <row r="603" spans="1:8" ht="26" x14ac:dyDescent="0.35">
      <c r="A603" s="11">
        <v>464</v>
      </c>
      <c r="B603" s="11" t="s">
        <v>524</v>
      </c>
      <c r="C603" s="11" t="s">
        <v>28</v>
      </c>
      <c r="D603" s="11" t="s">
        <v>532</v>
      </c>
      <c r="E603" s="19" t="str">
        <f>IF(Products!O464&lt;&gt;"","Yes","No")</f>
        <v>Yes</v>
      </c>
      <c r="F603" s="15" t="str">
        <f>Products!AC464</f>
        <v>Content drafted - assets/specs pending</v>
      </c>
      <c r="G603" s="11" t="str">
        <f>Products!G464</f>
        <v>One page per product category</v>
      </c>
      <c r="H603" s="11" t="str">
        <f>IF(Products!AC464="Ready for approval","None",IF(Products!Q464="","Technical specifications; ","")&amp;IF(Products!S464="","primary image; ","")&amp;IF(Products!U464="","datasheet/brochure; ","")&amp;"technical approval")</f>
        <v>Technical specifications; primary image; datasheet/brochure; technical approval</v>
      </c>
    </row>
    <row r="604" spans="1:8" ht="26" x14ac:dyDescent="0.35">
      <c r="A604" s="11">
        <v>465</v>
      </c>
      <c r="B604" s="11" t="s">
        <v>524</v>
      </c>
      <c r="C604" s="11" t="s">
        <v>28</v>
      </c>
      <c r="D604" s="11" t="s">
        <v>533</v>
      </c>
      <c r="E604" s="19" t="str">
        <f>IF(Products!O465&lt;&gt;"","Yes","No")</f>
        <v>Yes</v>
      </c>
      <c r="F604" s="15" t="str">
        <f>Products!AC465</f>
        <v>Content drafted - assets/specs pending</v>
      </c>
      <c r="G604" s="11" t="str">
        <f>Products!G465</f>
        <v>One page per product category</v>
      </c>
      <c r="H604" s="11" t="str">
        <f>IF(Products!AC465="Ready for approval","None",IF(Products!Q465="","Technical specifications; ","")&amp;IF(Products!S465="","primary image; ","")&amp;IF(Products!U465="","datasheet/brochure; ","")&amp;"technical approval")</f>
        <v>Technical specifications; primary image; datasheet/brochure; technical approval</v>
      </c>
    </row>
    <row r="605" spans="1:8" ht="26" x14ac:dyDescent="0.35">
      <c r="A605" s="11">
        <v>466</v>
      </c>
      <c r="B605" s="11" t="s">
        <v>524</v>
      </c>
      <c r="C605" s="11" t="s">
        <v>28</v>
      </c>
      <c r="D605" s="11" t="s">
        <v>534</v>
      </c>
      <c r="E605" s="19" t="str">
        <f>IF(Products!O466&lt;&gt;"","Yes","No")</f>
        <v>Yes</v>
      </c>
      <c r="F605" s="15" t="str">
        <f>Products!AC466</f>
        <v>Content drafted - assets/specs pending</v>
      </c>
      <c r="G605" s="11" t="str">
        <f>Products!G466</f>
        <v>One page per product category</v>
      </c>
      <c r="H605" s="11" t="str">
        <f>IF(Products!AC466="Ready for approval","None",IF(Products!Q466="","Technical specifications; ","")&amp;IF(Products!S466="","primary image; ","")&amp;IF(Products!U466="","datasheet/brochure; ","")&amp;"technical approval")</f>
        <v>Technical specifications; primary image; datasheet/brochure; technical approval</v>
      </c>
    </row>
    <row r="606" spans="1:8" ht="26" x14ac:dyDescent="0.35">
      <c r="A606" s="11">
        <v>467</v>
      </c>
      <c r="B606" s="11" t="s">
        <v>524</v>
      </c>
      <c r="C606" s="11" t="s">
        <v>28</v>
      </c>
      <c r="D606" s="11" t="s">
        <v>535</v>
      </c>
      <c r="E606" s="19" t="str">
        <f>IF(Products!O467&lt;&gt;"","Yes","No")</f>
        <v>Yes</v>
      </c>
      <c r="F606" s="15" t="str">
        <f>Products!AC467</f>
        <v>Content drafted - assets/specs pending</v>
      </c>
      <c r="G606" s="11" t="str">
        <f>Products!G467</f>
        <v>One page per product category</v>
      </c>
      <c r="H606" s="11" t="str">
        <f>IF(Products!AC467="Ready for approval","None",IF(Products!Q467="","Technical specifications; ","")&amp;IF(Products!S467="","primary image; ","")&amp;IF(Products!U467="","datasheet/brochure; ","")&amp;"technical approval")</f>
        <v>Technical specifications; primary image; datasheet/brochure; technical approval</v>
      </c>
    </row>
    <row r="607" spans="1:8" ht="26" x14ac:dyDescent="0.35">
      <c r="A607" s="11">
        <v>468</v>
      </c>
      <c r="B607" s="11" t="s">
        <v>536</v>
      </c>
      <c r="C607" s="11" t="s">
        <v>28</v>
      </c>
      <c r="D607" s="11" t="s">
        <v>537</v>
      </c>
      <c r="E607" s="19" t="str">
        <f>IF(Products!O468&lt;&gt;"","Yes","No")</f>
        <v>Yes</v>
      </c>
      <c r="F607" s="15" t="str">
        <f>Products!AC468</f>
        <v>Content drafted - assets/specs pending</v>
      </c>
      <c r="G607" s="11" t="str">
        <f>Products!G468</f>
        <v>One page per product category</v>
      </c>
      <c r="H607" s="11" t="str">
        <f>IF(Products!AC468="Ready for approval","None",IF(Products!Q468="","Technical specifications; ","")&amp;IF(Products!S468="","primary image; ","")&amp;IF(Products!U468="","datasheet/brochure; ","")&amp;"technical approval")</f>
        <v>Technical specifications; primary image; datasheet/brochure; technical approval</v>
      </c>
    </row>
    <row r="608" spans="1:8" ht="26" x14ac:dyDescent="0.35">
      <c r="A608" s="11">
        <v>469</v>
      </c>
      <c r="B608" s="11" t="s">
        <v>536</v>
      </c>
      <c r="C608" s="11" t="s">
        <v>28</v>
      </c>
      <c r="D608" s="11" t="s">
        <v>538</v>
      </c>
      <c r="E608" s="19" t="str">
        <f>IF(Products!O469&lt;&gt;"","Yes","No")</f>
        <v>Yes</v>
      </c>
      <c r="F608" s="15" t="str">
        <f>Products!AC469</f>
        <v>Content drafted - assets/specs pending</v>
      </c>
      <c r="G608" s="11" t="str">
        <f>Products!G469</f>
        <v>One page per product category</v>
      </c>
      <c r="H608" s="11" t="str">
        <f>IF(Products!AC469="Ready for approval","None",IF(Products!Q469="","Technical specifications; ","")&amp;IF(Products!S469="","primary image; ","")&amp;IF(Products!U469="","datasheet/brochure; ","")&amp;"technical approval")</f>
        <v>Technical specifications; primary image; datasheet/brochure; technical approval</v>
      </c>
    </row>
    <row r="609" spans="1:8" ht="26" x14ac:dyDescent="0.35">
      <c r="A609" s="11">
        <v>470</v>
      </c>
      <c r="B609" s="11" t="s">
        <v>536</v>
      </c>
      <c r="C609" s="11" t="s">
        <v>28</v>
      </c>
      <c r="D609" s="11" t="s">
        <v>539</v>
      </c>
      <c r="E609" s="19" t="str">
        <f>IF(Products!O470&lt;&gt;"","Yes","No")</f>
        <v>Yes</v>
      </c>
      <c r="F609" s="15" t="str">
        <f>Products!AC470</f>
        <v>Content drafted - assets/specs pending</v>
      </c>
      <c r="G609" s="11" t="str">
        <f>Products!G470</f>
        <v>One page per product category</v>
      </c>
      <c r="H609" s="11" t="str">
        <f>IF(Products!AC470="Ready for approval","None",IF(Products!Q470="","Technical specifications; ","")&amp;IF(Products!S470="","primary image; ","")&amp;IF(Products!U470="","datasheet/brochure; ","")&amp;"technical approval")</f>
        <v>Technical specifications; primary image; datasheet/brochure; technical approval</v>
      </c>
    </row>
    <row r="610" spans="1:8" ht="26" x14ac:dyDescent="0.35">
      <c r="A610" s="11">
        <v>471</v>
      </c>
      <c r="B610" s="11" t="s">
        <v>536</v>
      </c>
      <c r="C610" s="11" t="s">
        <v>28</v>
      </c>
      <c r="D610" s="11" t="s">
        <v>540</v>
      </c>
      <c r="E610" s="19" t="str">
        <f>IF(Products!O471&lt;&gt;"","Yes","No")</f>
        <v>Yes</v>
      </c>
      <c r="F610" s="15" t="str">
        <f>Products!AC471</f>
        <v>Content drafted - assets/specs pending</v>
      </c>
      <c r="G610" s="11" t="str">
        <f>Products!G471</f>
        <v>One page per product category</v>
      </c>
      <c r="H610" s="11" t="str">
        <f>IF(Products!AC471="Ready for approval","None",IF(Products!Q471="","Technical specifications; ","")&amp;IF(Products!S471="","primary image; ","")&amp;IF(Products!U471="","datasheet/brochure; ","")&amp;"technical approval")</f>
        <v>Technical specifications; primary image; datasheet/brochure; technical approval</v>
      </c>
    </row>
    <row r="611" spans="1:8" ht="26" x14ac:dyDescent="0.35">
      <c r="A611" s="11">
        <v>472</v>
      </c>
      <c r="B611" s="11" t="s">
        <v>536</v>
      </c>
      <c r="C611" s="11" t="s">
        <v>28</v>
      </c>
      <c r="D611" s="11" t="s">
        <v>541</v>
      </c>
      <c r="E611" s="19" t="str">
        <f>IF(Products!O472&lt;&gt;"","Yes","No")</f>
        <v>Yes</v>
      </c>
      <c r="F611" s="15" t="str">
        <f>Products!AC472</f>
        <v>Content drafted - assets/specs pending</v>
      </c>
      <c r="G611" s="11" t="str">
        <f>Products!G472</f>
        <v>One page per product category</v>
      </c>
      <c r="H611" s="11" t="str">
        <f>IF(Products!AC472="Ready for approval","None",IF(Products!Q472="","Technical specifications; ","")&amp;IF(Products!S472="","primary image; ","")&amp;IF(Products!U472="","datasheet/brochure; ","")&amp;"technical approval")</f>
        <v>Technical specifications; primary image; datasheet/brochure; technical approval</v>
      </c>
    </row>
    <row r="612" spans="1:8" ht="26" x14ac:dyDescent="0.35">
      <c r="A612" s="11">
        <v>473</v>
      </c>
      <c r="B612" s="11" t="s">
        <v>536</v>
      </c>
      <c r="C612" s="11" t="s">
        <v>28</v>
      </c>
      <c r="D612" s="11" t="s">
        <v>542</v>
      </c>
      <c r="E612" s="19" t="str">
        <f>IF(Products!O473&lt;&gt;"","Yes","No")</f>
        <v>Yes</v>
      </c>
      <c r="F612" s="15" t="str">
        <f>Products!AC473</f>
        <v>Content drafted - assets/specs pending</v>
      </c>
      <c r="G612" s="11" t="str">
        <f>Products!G473</f>
        <v>One page per product category</v>
      </c>
      <c r="H612" s="11" t="str">
        <f>IF(Products!AC473="Ready for approval","None",IF(Products!Q473="","Technical specifications; ","")&amp;IF(Products!S473="","primary image; ","")&amp;IF(Products!U473="","datasheet/brochure; ","")&amp;"technical approval")</f>
        <v>Technical specifications; primary image; datasheet/brochure; technical approval</v>
      </c>
    </row>
    <row r="613" spans="1:8" ht="26" x14ac:dyDescent="0.35">
      <c r="A613" s="11">
        <v>474</v>
      </c>
      <c r="B613" s="11" t="s">
        <v>536</v>
      </c>
      <c r="C613" s="11" t="s">
        <v>28</v>
      </c>
      <c r="D613" s="11" t="s">
        <v>543</v>
      </c>
      <c r="E613" s="19" t="str">
        <f>IF(Products!O474&lt;&gt;"","Yes","No")</f>
        <v>Yes</v>
      </c>
      <c r="F613" s="15" t="str">
        <f>Products!AC474</f>
        <v>Content drafted - assets/specs pending</v>
      </c>
      <c r="G613" s="11" t="str">
        <f>Products!G474</f>
        <v>One page per product category</v>
      </c>
      <c r="H613" s="11" t="str">
        <f>IF(Products!AC474="Ready for approval","None",IF(Products!Q474="","Technical specifications; ","")&amp;IF(Products!S474="","primary image; ","")&amp;IF(Products!U474="","datasheet/brochure; ","")&amp;"technical approval")</f>
        <v>Technical specifications; primary image; datasheet/brochure; technical approval</v>
      </c>
    </row>
    <row r="614" spans="1:8" ht="26" x14ac:dyDescent="0.35">
      <c r="A614" s="11">
        <v>475</v>
      </c>
      <c r="B614" s="11" t="s">
        <v>544</v>
      </c>
      <c r="C614" s="11" t="s">
        <v>28</v>
      </c>
      <c r="D614" s="11" t="s">
        <v>545</v>
      </c>
      <c r="E614" s="19" t="str">
        <f>IF(Products!O475&lt;&gt;"","Yes","No")</f>
        <v>Yes</v>
      </c>
      <c r="F614" s="15" t="str">
        <f>Products!AC475</f>
        <v>Content drafted - assets/specs pending</v>
      </c>
      <c r="G614" s="11" t="str">
        <f>Products!G475</f>
        <v>One page per product category</v>
      </c>
      <c r="H614" s="11" t="str">
        <f>IF(Products!AC475="Ready for approval","None",IF(Products!Q475="","Technical specifications; ","")&amp;IF(Products!S475="","primary image; ","")&amp;IF(Products!U475="","datasheet/brochure; ","")&amp;"technical approval")</f>
        <v>Technical specifications; primary image; datasheet/brochure; technical approval</v>
      </c>
    </row>
    <row r="615" spans="1:8" ht="26" x14ac:dyDescent="0.35">
      <c r="A615" s="11">
        <v>476</v>
      </c>
      <c r="B615" s="11" t="s">
        <v>544</v>
      </c>
      <c r="C615" s="11" t="s">
        <v>28</v>
      </c>
      <c r="D615" s="11" t="s">
        <v>546</v>
      </c>
      <c r="E615" s="19" t="str">
        <f>IF(Products!O476&lt;&gt;"","Yes","No")</f>
        <v>Yes</v>
      </c>
      <c r="F615" s="15" t="str">
        <f>Products!AC476</f>
        <v>Content drafted - assets/specs pending</v>
      </c>
      <c r="G615" s="11" t="str">
        <f>Products!G476</f>
        <v>One page per product category</v>
      </c>
      <c r="H615" s="11" t="str">
        <f>IF(Products!AC476="Ready for approval","None",IF(Products!Q476="","Technical specifications; ","")&amp;IF(Products!S476="","primary image; ","")&amp;IF(Products!U476="","datasheet/brochure; ","")&amp;"technical approval")</f>
        <v>Technical specifications; primary image; datasheet/brochure; technical approval</v>
      </c>
    </row>
    <row r="616" spans="1:8" ht="26" x14ac:dyDescent="0.35">
      <c r="A616" s="11">
        <v>477</v>
      </c>
      <c r="B616" s="11" t="s">
        <v>547</v>
      </c>
      <c r="C616" s="11" t="s">
        <v>28</v>
      </c>
      <c r="D616" s="11" t="s">
        <v>548</v>
      </c>
      <c r="E616" s="19" t="str">
        <f>IF(Products!O477&lt;&gt;"","Yes","No")</f>
        <v>Yes</v>
      </c>
      <c r="F616" s="15" t="str">
        <f>Products!AC477</f>
        <v>Content drafted - assets/specs pending</v>
      </c>
      <c r="G616" s="11" t="str">
        <f>Products!G477</f>
        <v>One page per product category</v>
      </c>
      <c r="H616" s="11" t="str">
        <f>IF(Products!AC477="Ready for approval","None",IF(Products!Q477="","Technical specifications; ","")&amp;IF(Products!S477="","primary image; ","")&amp;IF(Products!U477="","datasheet/brochure; ","")&amp;"technical approval")</f>
        <v>Technical specifications; primary image; datasheet/brochure; technical approval</v>
      </c>
    </row>
    <row r="617" spans="1:8" ht="26" x14ac:dyDescent="0.35">
      <c r="A617" s="11">
        <v>478</v>
      </c>
      <c r="B617" s="11" t="s">
        <v>547</v>
      </c>
      <c r="C617" s="11" t="s">
        <v>28</v>
      </c>
      <c r="D617" s="11" t="s">
        <v>549</v>
      </c>
      <c r="E617" s="19" t="str">
        <f>IF(Products!O478&lt;&gt;"","Yes","No")</f>
        <v>Yes</v>
      </c>
      <c r="F617" s="15" t="str">
        <f>Products!AC478</f>
        <v>Content drafted - assets/specs pending</v>
      </c>
      <c r="G617" s="11" t="str">
        <f>Products!G478</f>
        <v>One page per product category</v>
      </c>
      <c r="H617" s="11" t="str">
        <f>IF(Products!AC478="Ready for approval","None",IF(Products!Q478="","Technical specifications; ","")&amp;IF(Products!S478="","primary image; ","")&amp;IF(Products!U478="","datasheet/brochure; ","")&amp;"technical approval")</f>
        <v>Technical specifications; primary image; datasheet/brochure; technical approval</v>
      </c>
    </row>
    <row r="618" spans="1:8" ht="26" x14ac:dyDescent="0.35">
      <c r="A618" s="11">
        <v>479</v>
      </c>
      <c r="B618" s="11" t="s">
        <v>547</v>
      </c>
      <c r="C618" s="11" t="s">
        <v>28</v>
      </c>
      <c r="D618" s="11" t="s">
        <v>550</v>
      </c>
      <c r="E618" s="19" t="str">
        <f>IF(Products!O479&lt;&gt;"","Yes","No")</f>
        <v>Yes</v>
      </c>
      <c r="F618" s="15" t="str">
        <f>Products!AC479</f>
        <v>Content drafted - assets/specs pending</v>
      </c>
      <c r="G618" s="11" t="str">
        <f>Products!G479</f>
        <v>One page per product category</v>
      </c>
      <c r="H618" s="11" t="str">
        <f>IF(Products!AC479="Ready for approval","None",IF(Products!Q479="","Technical specifications; ","")&amp;IF(Products!S479="","primary image; ","")&amp;IF(Products!U479="","datasheet/brochure; ","")&amp;"technical approval")</f>
        <v>Technical specifications; primary image; datasheet/brochure; technical approval</v>
      </c>
    </row>
    <row r="619" spans="1:8" ht="26" x14ac:dyDescent="0.35">
      <c r="A619" s="11">
        <v>480</v>
      </c>
      <c r="B619" s="11" t="s">
        <v>547</v>
      </c>
      <c r="C619" s="11" t="s">
        <v>28</v>
      </c>
      <c r="D619" s="11" t="s">
        <v>551</v>
      </c>
      <c r="E619" s="19" t="str">
        <f>IF(Products!O480&lt;&gt;"","Yes","No")</f>
        <v>Yes</v>
      </c>
      <c r="F619" s="15" t="str">
        <f>Products!AC480</f>
        <v>Content drafted - assets/specs pending</v>
      </c>
      <c r="G619" s="11" t="str">
        <f>Products!G480</f>
        <v>One page per product category</v>
      </c>
      <c r="H619" s="11" t="str">
        <f>IF(Products!AC480="Ready for approval","None",IF(Products!Q480="","Technical specifications; ","")&amp;IF(Products!S480="","primary image; ","")&amp;IF(Products!U480="","datasheet/brochure; ","")&amp;"technical approval")</f>
        <v>Technical specifications; primary image; datasheet/brochure; technical approval</v>
      </c>
    </row>
    <row r="620" spans="1:8" ht="26" x14ac:dyDescent="0.35">
      <c r="A620" s="11">
        <v>481</v>
      </c>
      <c r="B620" s="11" t="s">
        <v>547</v>
      </c>
      <c r="C620" s="11" t="s">
        <v>28</v>
      </c>
      <c r="D620" s="11" t="s">
        <v>552</v>
      </c>
      <c r="E620" s="19" t="str">
        <f>IF(Products!O481&lt;&gt;"","Yes","No")</f>
        <v>Yes</v>
      </c>
      <c r="F620" s="15" t="str">
        <f>Products!AC481</f>
        <v>Content drafted - assets/specs pending</v>
      </c>
      <c r="G620" s="11" t="str">
        <f>Products!G481</f>
        <v>One page per product category</v>
      </c>
      <c r="H620" s="11" t="str">
        <f>IF(Products!AC481="Ready for approval","None",IF(Products!Q481="","Technical specifications; ","")&amp;IF(Products!S481="","primary image; ","")&amp;IF(Products!U481="","datasheet/brochure; ","")&amp;"technical approval")</f>
        <v>Technical specifications; primary image; datasheet/brochure; technical approval</v>
      </c>
    </row>
    <row r="621" spans="1:8" ht="26" x14ac:dyDescent="0.35">
      <c r="A621" s="11">
        <v>482</v>
      </c>
      <c r="B621" s="11" t="s">
        <v>547</v>
      </c>
      <c r="C621" s="11" t="s">
        <v>28</v>
      </c>
      <c r="D621" s="11" t="s">
        <v>553</v>
      </c>
      <c r="E621" s="19" t="str">
        <f>IF(Products!O482&lt;&gt;"","Yes","No")</f>
        <v>Yes</v>
      </c>
      <c r="F621" s="15" t="str">
        <f>Products!AC482</f>
        <v>Content drafted - assets/specs pending</v>
      </c>
      <c r="G621" s="11" t="str">
        <f>Products!G482</f>
        <v>One page per product category</v>
      </c>
      <c r="H621" s="11" t="str">
        <f>IF(Products!AC482="Ready for approval","None",IF(Products!Q482="","Technical specifications; ","")&amp;IF(Products!S482="","primary image; ","")&amp;IF(Products!U482="","datasheet/brochure; ","")&amp;"technical approval")</f>
        <v>Technical specifications; primary image; datasheet/brochure; technical approval</v>
      </c>
    </row>
    <row r="622" spans="1:8" ht="26" x14ac:dyDescent="0.35">
      <c r="A622" s="11">
        <v>483</v>
      </c>
      <c r="B622" s="11" t="s">
        <v>547</v>
      </c>
      <c r="C622" s="11" t="s">
        <v>28</v>
      </c>
      <c r="D622" s="11" t="s">
        <v>554</v>
      </c>
      <c r="E622" s="19" t="str">
        <f>IF(Products!O483&lt;&gt;"","Yes","No")</f>
        <v>Yes</v>
      </c>
      <c r="F622" s="15" t="str">
        <f>Products!AC483</f>
        <v>Content drafted - assets/specs pending</v>
      </c>
      <c r="G622" s="11" t="str">
        <f>Products!G483</f>
        <v>One page per product category</v>
      </c>
      <c r="H622" s="11" t="str">
        <f>IF(Products!AC483="Ready for approval","None",IF(Products!Q483="","Technical specifications; ","")&amp;IF(Products!S483="","primary image; ","")&amp;IF(Products!U483="","datasheet/brochure; ","")&amp;"technical approval")</f>
        <v>Technical specifications; primary image; datasheet/brochure; technical approval</v>
      </c>
    </row>
    <row r="623" spans="1:8" ht="26" x14ac:dyDescent="0.35">
      <c r="A623" s="11">
        <v>484</v>
      </c>
      <c r="B623" s="11" t="s">
        <v>547</v>
      </c>
      <c r="C623" s="11" t="s">
        <v>28</v>
      </c>
      <c r="D623" s="11" t="s">
        <v>555</v>
      </c>
      <c r="E623" s="19" t="str">
        <f>IF(Products!O484&lt;&gt;"","Yes","No")</f>
        <v>Yes</v>
      </c>
      <c r="F623" s="15" t="str">
        <f>Products!AC484</f>
        <v>Content drafted - assets/specs pending</v>
      </c>
      <c r="G623" s="11" t="str">
        <f>Products!G484</f>
        <v>One page per product category</v>
      </c>
      <c r="H623" s="11" t="str">
        <f>IF(Products!AC484="Ready for approval","None",IF(Products!Q484="","Technical specifications; ","")&amp;IF(Products!S484="","primary image; ","")&amp;IF(Products!U484="","datasheet/brochure; ","")&amp;"technical approval")</f>
        <v>Technical specifications; primary image; datasheet/brochure; technical approval</v>
      </c>
    </row>
    <row r="624" spans="1:8" ht="26" x14ac:dyDescent="0.35">
      <c r="A624" s="11">
        <v>485</v>
      </c>
      <c r="B624" s="11" t="s">
        <v>547</v>
      </c>
      <c r="C624" s="11" t="s">
        <v>28</v>
      </c>
      <c r="D624" s="11" t="s">
        <v>556</v>
      </c>
      <c r="E624" s="19" t="str">
        <f>IF(Products!O485&lt;&gt;"","Yes","No")</f>
        <v>Yes</v>
      </c>
      <c r="F624" s="15" t="str">
        <f>Products!AC485</f>
        <v>Content drafted - assets/specs pending</v>
      </c>
      <c r="G624" s="11" t="str">
        <f>Products!G485</f>
        <v>One page per product category</v>
      </c>
      <c r="H624" s="11" t="str">
        <f>IF(Products!AC485="Ready for approval","None",IF(Products!Q485="","Technical specifications; ","")&amp;IF(Products!S485="","primary image; ","")&amp;IF(Products!U485="","datasheet/brochure; ","")&amp;"technical approval")</f>
        <v>Technical specifications; primary image; datasheet/brochure; technical approval</v>
      </c>
    </row>
    <row r="625" spans="1:8" ht="26" x14ac:dyDescent="0.35">
      <c r="A625" s="11">
        <v>486</v>
      </c>
      <c r="B625" s="11" t="s">
        <v>547</v>
      </c>
      <c r="C625" s="11" t="s">
        <v>28</v>
      </c>
      <c r="D625" s="11" t="s">
        <v>557</v>
      </c>
      <c r="E625" s="19" t="str">
        <f>IF(Products!O486&lt;&gt;"","Yes","No")</f>
        <v>Yes</v>
      </c>
      <c r="F625" s="15" t="str">
        <f>Products!AC486</f>
        <v>Content drafted - assets/specs pending</v>
      </c>
      <c r="G625" s="11" t="str">
        <f>Products!G486</f>
        <v>One page per product category</v>
      </c>
      <c r="H625" s="11" t="str">
        <f>IF(Products!AC486="Ready for approval","None",IF(Products!Q486="","Technical specifications; ","")&amp;IF(Products!S486="","primary image; ","")&amp;IF(Products!U486="","datasheet/brochure; ","")&amp;"technical approval")</f>
        <v>Technical specifications; primary image; datasheet/brochure; technical approval</v>
      </c>
    </row>
    <row r="626" spans="1:8" ht="26" x14ac:dyDescent="0.35">
      <c r="A626" s="11">
        <v>487</v>
      </c>
      <c r="B626" s="11" t="s">
        <v>547</v>
      </c>
      <c r="C626" s="11" t="s">
        <v>28</v>
      </c>
      <c r="D626" s="11" t="s">
        <v>558</v>
      </c>
      <c r="E626" s="19" t="str">
        <f>IF(Products!O487&lt;&gt;"","Yes","No")</f>
        <v>Yes</v>
      </c>
      <c r="F626" s="15" t="str">
        <f>Products!AC487</f>
        <v>Content drafted - assets/specs pending</v>
      </c>
      <c r="G626" s="11" t="str">
        <f>Products!G487</f>
        <v>One page per product category</v>
      </c>
      <c r="H626" s="11" t="str">
        <f>IF(Products!AC487="Ready for approval","None",IF(Products!Q487="","Technical specifications; ","")&amp;IF(Products!S487="","primary image; ","")&amp;IF(Products!U487="","datasheet/brochure; ","")&amp;"technical approval")</f>
        <v>Technical specifications; primary image; datasheet/brochure; technical approval</v>
      </c>
    </row>
    <row r="627" spans="1:8" ht="26" x14ac:dyDescent="0.35">
      <c r="A627" s="11">
        <v>488</v>
      </c>
      <c r="B627" s="11" t="s">
        <v>547</v>
      </c>
      <c r="C627" s="11" t="s">
        <v>28</v>
      </c>
      <c r="D627" s="11" t="s">
        <v>559</v>
      </c>
      <c r="E627" s="19" t="str">
        <f>IF(Products!O488&lt;&gt;"","Yes","No")</f>
        <v>Yes</v>
      </c>
      <c r="F627" s="15" t="str">
        <f>Products!AC488</f>
        <v>Content drafted - assets/specs pending</v>
      </c>
      <c r="G627" s="11" t="str">
        <f>Products!G488</f>
        <v>One page per product category</v>
      </c>
      <c r="H627" s="11" t="str">
        <f>IF(Products!AC488="Ready for approval","None",IF(Products!Q488="","Technical specifications; ","")&amp;IF(Products!S488="","primary image; ","")&amp;IF(Products!U488="","datasheet/brochure; ","")&amp;"technical approval")</f>
        <v>Technical specifications; primary image; datasheet/brochure; technical approval</v>
      </c>
    </row>
    <row r="628" spans="1:8" ht="26" x14ac:dyDescent="0.35">
      <c r="A628" s="11">
        <v>489</v>
      </c>
      <c r="B628" s="11" t="s">
        <v>547</v>
      </c>
      <c r="C628" s="11" t="s">
        <v>28</v>
      </c>
      <c r="D628" s="11" t="s">
        <v>560</v>
      </c>
      <c r="E628" s="19" t="str">
        <f>IF(Products!O489&lt;&gt;"","Yes","No")</f>
        <v>Yes</v>
      </c>
      <c r="F628" s="15" t="str">
        <f>Products!AC489</f>
        <v>Content drafted - assets/specs pending</v>
      </c>
      <c r="G628" s="11" t="str">
        <f>Products!G489</f>
        <v>One page per product category</v>
      </c>
      <c r="H628" s="11" t="str">
        <f>IF(Products!AC489="Ready for approval","None",IF(Products!Q489="","Technical specifications; ","")&amp;IF(Products!S489="","primary image; ","")&amp;IF(Products!U489="","datasheet/brochure; ","")&amp;"technical approval")</f>
        <v>Technical specifications; primary image; datasheet/brochure; technical approval</v>
      </c>
    </row>
    <row r="629" spans="1:8" ht="26" x14ac:dyDescent="0.35">
      <c r="A629" s="11">
        <v>490</v>
      </c>
      <c r="B629" s="11" t="s">
        <v>547</v>
      </c>
      <c r="C629" s="11" t="s">
        <v>28</v>
      </c>
      <c r="D629" s="11" t="s">
        <v>561</v>
      </c>
      <c r="E629" s="19" t="str">
        <f>IF(Products!O490&lt;&gt;"","Yes","No")</f>
        <v>Yes</v>
      </c>
      <c r="F629" s="15" t="str">
        <f>Products!AC490</f>
        <v>Content drafted - assets/specs pending</v>
      </c>
      <c r="G629" s="11" t="str">
        <f>Products!G490</f>
        <v>One page per product category</v>
      </c>
      <c r="H629" s="11" t="str">
        <f>IF(Products!AC490="Ready for approval","None",IF(Products!Q490="","Technical specifications; ","")&amp;IF(Products!S490="","primary image; ","")&amp;IF(Products!U490="","datasheet/brochure; ","")&amp;"technical approval")</f>
        <v>Technical specifications; primary image; datasheet/brochure; technical approval</v>
      </c>
    </row>
    <row r="630" spans="1:8" ht="26" x14ac:dyDescent="0.35">
      <c r="A630" s="11">
        <v>491</v>
      </c>
      <c r="B630" s="11" t="s">
        <v>547</v>
      </c>
      <c r="C630" s="11" t="s">
        <v>28</v>
      </c>
      <c r="D630" s="11" t="s">
        <v>562</v>
      </c>
      <c r="E630" s="19" t="str">
        <f>IF(Products!O491&lt;&gt;"","Yes","No")</f>
        <v>Yes</v>
      </c>
      <c r="F630" s="15" t="str">
        <f>Products!AC491</f>
        <v>Content drafted - assets/specs pending</v>
      </c>
      <c r="G630" s="11" t="str">
        <f>Products!G491</f>
        <v>One page per product category</v>
      </c>
      <c r="H630" s="11" t="str">
        <f>IF(Products!AC491="Ready for approval","None",IF(Products!Q491="","Technical specifications; ","")&amp;IF(Products!S491="","primary image; ","")&amp;IF(Products!U491="","datasheet/brochure; ","")&amp;"technical approval")</f>
        <v>Technical specifications; primary image; datasheet/brochure; technical approval</v>
      </c>
    </row>
    <row r="631" spans="1:8" ht="26" x14ac:dyDescent="0.35">
      <c r="A631" s="11">
        <v>492</v>
      </c>
      <c r="B631" s="11" t="s">
        <v>547</v>
      </c>
      <c r="C631" s="11" t="s">
        <v>28</v>
      </c>
      <c r="D631" s="11" t="s">
        <v>563</v>
      </c>
      <c r="E631" s="19" t="str">
        <f>IF(Products!O492&lt;&gt;"","Yes","No")</f>
        <v>Yes</v>
      </c>
      <c r="F631" s="15" t="str">
        <f>Products!AC492</f>
        <v>Content drafted - assets/specs pending</v>
      </c>
      <c r="G631" s="11" t="str">
        <f>Products!G492</f>
        <v>One page per product category</v>
      </c>
      <c r="H631" s="11" t="str">
        <f>IF(Products!AC492="Ready for approval","None",IF(Products!Q492="","Technical specifications; ","")&amp;IF(Products!S492="","primary image; ","")&amp;IF(Products!U492="","datasheet/brochure; ","")&amp;"technical approval")</f>
        <v>Technical specifications; primary image; datasheet/brochure; technical approval</v>
      </c>
    </row>
    <row r="632" spans="1:8" ht="26" x14ac:dyDescent="0.35">
      <c r="A632" s="11">
        <v>493</v>
      </c>
      <c r="B632" s="11" t="s">
        <v>547</v>
      </c>
      <c r="C632" s="11" t="s">
        <v>28</v>
      </c>
      <c r="D632" s="11" t="s">
        <v>564</v>
      </c>
      <c r="E632" s="19" t="str">
        <f>IF(Products!O493&lt;&gt;"","Yes","No")</f>
        <v>Yes</v>
      </c>
      <c r="F632" s="15" t="str">
        <f>Products!AC493</f>
        <v>Content drafted - assets/specs pending</v>
      </c>
      <c r="G632" s="11" t="str">
        <f>Products!G493</f>
        <v>One page per product category</v>
      </c>
      <c r="H632" s="11" t="str">
        <f>IF(Products!AC493="Ready for approval","None",IF(Products!Q493="","Technical specifications; ","")&amp;IF(Products!S493="","primary image; ","")&amp;IF(Products!U493="","datasheet/brochure; ","")&amp;"technical approval")</f>
        <v>Technical specifications; primary image; datasheet/brochure; technical approval</v>
      </c>
    </row>
    <row r="633" spans="1:8" ht="26" x14ac:dyDescent="0.35">
      <c r="A633" s="11">
        <v>494</v>
      </c>
      <c r="B633" s="11" t="s">
        <v>547</v>
      </c>
      <c r="C633" s="11" t="s">
        <v>28</v>
      </c>
      <c r="D633" s="11" t="s">
        <v>565</v>
      </c>
      <c r="E633" s="19" t="str">
        <f>IF(Products!O494&lt;&gt;"","Yes","No")</f>
        <v>Yes</v>
      </c>
      <c r="F633" s="15" t="str">
        <f>Products!AC494</f>
        <v>Content drafted - assets/specs pending</v>
      </c>
      <c r="G633" s="11" t="str">
        <f>Products!G494</f>
        <v>One page per product category</v>
      </c>
      <c r="H633" s="11" t="str">
        <f>IF(Products!AC494="Ready for approval","None",IF(Products!Q494="","Technical specifications; ","")&amp;IF(Products!S494="","primary image; ","")&amp;IF(Products!U494="","datasheet/brochure; ","")&amp;"technical approval")</f>
        <v>Technical specifications; primary image; datasheet/brochure; technical approval</v>
      </c>
    </row>
    <row r="634" spans="1:8" ht="26" x14ac:dyDescent="0.35">
      <c r="A634" s="11">
        <v>495</v>
      </c>
      <c r="B634" s="11" t="s">
        <v>547</v>
      </c>
      <c r="C634" s="11" t="s">
        <v>28</v>
      </c>
      <c r="D634" s="11" t="s">
        <v>566</v>
      </c>
      <c r="E634" s="19" t="str">
        <f>IF(Products!O495&lt;&gt;"","Yes","No")</f>
        <v>Yes</v>
      </c>
      <c r="F634" s="15" t="str">
        <f>Products!AC495</f>
        <v>Content drafted - assets/specs pending</v>
      </c>
      <c r="G634" s="11" t="str">
        <f>Products!G495</f>
        <v>One page per product category</v>
      </c>
      <c r="H634" s="11" t="str">
        <f>IF(Products!AC495="Ready for approval","None",IF(Products!Q495="","Technical specifications; ","")&amp;IF(Products!S495="","primary image; ","")&amp;IF(Products!U495="","datasheet/brochure; ","")&amp;"technical approval")</f>
        <v>Technical specifications; primary image; datasheet/brochure; technical approval</v>
      </c>
    </row>
    <row r="635" spans="1:8" ht="26" x14ac:dyDescent="0.35">
      <c r="A635" s="11">
        <v>496</v>
      </c>
      <c r="B635" s="11" t="s">
        <v>547</v>
      </c>
      <c r="C635" s="11" t="s">
        <v>28</v>
      </c>
      <c r="D635" s="11" t="s">
        <v>567</v>
      </c>
      <c r="E635" s="19" t="str">
        <f>IF(Products!O496&lt;&gt;"","Yes","No")</f>
        <v>Yes</v>
      </c>
      <c r="F635" s="15" t="str">
        <f>Products!AC496</f>
        <v>Content drafted - assets/specs pending</v>
      </c>
      <c r="G635" s="11" t="str">
        <f>Products!G496</f>
        <v>One page per product category</v>
      </c>
      <c r="H635" s="11" t="str">
        <f>IF(Products!AC496="Ready for approval","None",IF(Products!Q496="","Technical specifications; ","")&amp;IF(Products!S496="","primary image; ","")&amp;IF(Products!U496="","datasheet/brochure; ","")&amp;"technical approval")</f>
        <v>Technical specifications; primary image; datasheet/brochure; technical approval</v>
      </c>
    </row>
    <row r="636" spans="1:8" ht="26" x14ac:dyDescent="0.35">
      <c r="A636" s="11">
        <v>497</v>
      </c>
      <c r="B636" s="11" t="s">
        <v>568</v>
      </c>
      <c r="C636" s="11" t="s">
        <v>28</v>
      </c>
      <c r="D636" s="11" t="s">
        <v>569</v>
      </c>
      <c r="E636" s="19" t="str">
        <f>IF(Products!O497&lt;&gt;"","Yes","No")</f>
        <v>Yes</v>
      </c>
      <c r="F636" s="15" t="str">
        <f>Products!AC497</f>
        <v>Content drafted - assets/specs pending</v>
      </c>
      <c r="G636" s="11" t="str">
        <f>Products!G497</f>
        <v>One page per product category</v>
      </c>
      <c r="H636" s="11" t="str">
        <f>IF(Products!AC497="Ready for approval","None",IF(Products!Q497="","Technical specifications; ","")&amp;IF(Products!S497="","primary image; ","")&amp;IF(Products!U497="","datasheet/brochure; ","")&amp;"technical approval")</f>
        <v>Technical specifications; primary image; datasheet/brochure; technical approval</v>
      </c>
    </row>
    <row r="637" spans="1:8" ht="26" x14ac:dyDescent="0.35">
      <c r="A637" s="11">
        <v>498</v>
      </c>
      <c r="B637" s="11" t="s">
        <v>568</v>
      </c>
      <c r="C637" s="11" t="s">
        <v>28</v>
      </c>
      <c r="D637" s="11" t="s">
        <v>570</v>
      </c>
      <c r="E637" s="19" t="str">
        <f>IF(Products!O498&lt;&gt;"","Yes","No")</f>
        <v>Yes</v>
      </c>
      <c r="F637" s="15" t="str">
        <f>Products!AC498</f>
        <v>Content drafted - assets/specs pending</v>
      </c>
      <c r="G637" s="11" t="str">
        <f>Products!G498</f>
        <v>One page per product category</v>
      </c>
      <c r="H637" s="11" t="str">
        <f>IF(Products!AC498="Ready for approval","None",IF(Products!Q498="","Technical specifications; ","")&amp;IF(Products!S498="","primary image; ","")&amp;IF(Products!U498="","datasheet/brochure; ","")&amp;"technical approval")</f>
        <v>Technical specifications; primary image; datasheet/brochure; technical approval</v>
      </c>
    </row>
    <row r="638" spans="1:8" ht="26" x14ac:dyDescent="0.35">
      <c r="A638" s="11">
        <v>499</v>
      </c>
      <c r="B638" s="11" t="s">
        <v>568</v>
      </c>
      <c r="C638" s="11" t="s">
        <v>28</v>
      </c>
      <c r="D638" s="11" t="s">
        <v>571</v>
      </c>
      <c r="E638" s="19" t="str">
        <f>IF(Products!O499&lt;&gt;"","Yes","No")</f>
        <v>Yes</v>
      </c>
      <c r="F638" s="15" t="str">
        <f>Products!AC499</f>
        <v>Content drafted - assets/specs pending</v>
      </c>
      <c r="G638" s="11" t="str">
        <f>Products!G499</f>
        <v>One page per product category</v>
      </c>
      <c r="H638" s="11" t="str">
        <f>IF(Products!AC499="Ready for approval","None",IF(Products!Q499="","Technical specifications; ","")&amp;IF(Products!S499="","primary image; ","")&amp;IF(Products!U499="","datasheet/brochure; ","")&amp;"technical approval")</f>
        <v>Technical specifications; primary image; datasheet/brochure; technical approval</v>
      </c>
    </row>
    <row r="639" spans="1:8" ht="26" x14ac:dyDescent="0.35">
      <c r="A639" s="11">
        <v>500</v>
      </c>
      <c r="B639" s="11" t="s">
        <v>568</v>
      </c>
      <c r="C639" s="11" t="s">
        <v>28</v>
      </c>
      <c r="D639" s="11" t="s">
        <v>572</v>
      </c>
      <c r="E639" s="19" t="str">
        <f>IF(Products!O500&lt;&gt;"","Yes","No")</f>
        <v>Yes</v>
      </c>
      <c r="F639" s="15" t="str">
        <f>Products!AC500</f>
        <v>Content drafted - assets/specs pending</v>
      </c>
      <c r="G639" s="11" t="str">
        <f>Products!G500</f>
        <v>One page per product category</v>
      </c>
      <c r="H639" s="11" t="str">
        <f>IF(Products!AC500="Ready for approval","None",IF(Products!Q500="","Technical specifications; ","")&amp;IF(Products!S500="","primary image; ","")&amp;IF(Products!U500="","datasheet/brochure; ","")&amp;"technical approval")</f>
        <v>Technical specifications; primary image; datasheet/brochure; technical approval</v>
      </c>
    </row>
    <row r="640" spans="1:8" ht="26" x14ac:dyDescent="0.35">
      <c r="A640" s="11">
        <v>501</v>
      </c>
      <c r="B640" s="11" t="s">
        <v>568</v>
      </c>
      <c r="C640" s="11" t="s">
        <v>28</v>
      </c>
      <c r="D640" s="11" t="s">
        <v>573</v>
      </c>
      <c r="E640" s="19" t="str">
        <f>IF(Products!O501&lt;&gt;"","Yes","No")</f>
        <v>Yes</v>
      </c>
      <c r="F640" s="15" t="str">
        <f>Products!AC501</f>
        <v>Content drafted - assets/specs pending</v>
      </c>
      <c r="G640" s="11" t="str">
        <f>Products!G501</f>
        <v>One page per product category</v>
      </c>
      <c r="H640" s="11" t="str">
        <f>IF(Products!AC501="Ready for approval","None",IF(Products!Q501="","Technical specifications; ","")&amp;IF(Products!S501="","primary image; ","")&amp;IF(Products!U501="","datasheet/brochure; ","")&amp;"technical approval")</f>
        <v>Technical specifications; primary image; datasheet/brochure; technical approval</v>
      </c>
    </row>
    <row r="641" spans="1:8" ht="26" x14ac:dyDescent="0.35">
      <c r="A641" s="11">
        <v>502</v>
      </c>
      <c r="B641" s="11" t="s">
        <v>568</v>
      </c>
      <c r="C641" s="11" t="s">
        <v>28</v>
      </c>
      <c r="D641" s="11" t="s">
        <v>574</v>
      </c>
      <c r="E641" s="19" t="str">
        <f>IF(Products!O502&lt;&gt;"","Yes","No")</f>
        <v>Yes</v>
      </c>
      <c r="F641" s="15" t="str">
        <f>Products!AC502</f>
        <v>Content drafted - assets/specs pending</v>
      </c>
      <c r="G641" s="11" t="str">
        <f>Products!G502</f>
        <v>One page per product category</v>
      </c>
      <c r="H641" s="11" t="str">
        <f>IF(Products!AC502="Ready for approval","None",IF(Products!Q502="","Technical specifications; ","")&amp;IF(Products!S502="","primary image; ","")&amp;IF(Products!U502="","datasheet/brochure; ","")&amp;"technical approval")</f>
        <v>Technical specifications; primary image; datasheet/brochure; technical approval</v>
      </c>
    </row>
    <row r="642" spans="1:8" ht="26" x14ac:dyDescent="0.35">
      <c r="A642" s="11">
        <v>503</v>
      </c>
      <c r="B642" s="11" t="s">
        <v>568</v>
      </c>
      <c r="C642" s="11" t="s">
        <v>28</v>
      </c>
      <c r="D642" s="11" t="s">
        <v>575</v>
      </c>
      <c r="E642" s="19" t="str">
        <f>IF(Products!O503&lt;&gt;"","Yes","No")</f>
        <v>Yes</v>
      </c>
      <c r="F642" s="15" t="str">
        <f>Products!AC503</f>
        <v>Content drafted - assets/specs pending</v>
      </c>
      <c r="G642" s="11" t="str">
        <f>Products!G503</f>
        <v>One page per product category</v>
      </c>
      <c r="H642" s="11" t="str">
        <f>IF(Products!AC503="Ready for approval","None",IF(Products!Q503="","Technical specifications; ","")&amp;IF(Products!S503="","primary image; ","")&amp;IF(Products!U503="","datasheet/brochure; ","")&amp;"technical approval")</f>
        <v>Technical specifications; primary image; datasheet/brochure; technical approval</v>
      </c>
    </row>
    <row r="643" spans="1:8" ht="26" x14ac:dyDescent="0.35">
      <c r="A643" s="11">
        <v>504</v>
      </c>
      <c r="B643" s="11" t="s">
        <v>568</v>
      </c>
      <c r="C643" s="11" t="s">
        <v>28</v>
      </c>
      <c r="D643" s="11" t="s">
        <v>576</v>
      </c>
      <c r="E643" s="19" t="str">
        <f>IF(Products!O504&lt;&gt;"","Yes","No")</f>
        <v>Yes</v>
      </c>
      <c r="F643" s="15" t="str">
        <f>Products!AC504</f>
        <v>Content drafted - assets/specs pending</v>
      </c>
      <c r="G643" s="11" t="str">
        <f>Products!G504</f>
        <v>One page per product category</v>
      </c>
      <c r="H643" s="11" t="str">
        <f>IF(Products!AC504="Ready for approval","None",IF(Products!Q504="","Technical specifications; ","")&amp;IF(Products!S504="","primary image; ","")&amp;IF(Products!U504="","datasheet/brochure; ","")&amp;"technical approval")</f>
        <v>Technical specifications; primary image; datasheet/brochure; technical approval</v>
      </c>
    </row>
    <row r="644" spans="1:8" ht="26" x14ac:dyDescent="0.35">
      <c r="A644" s="11">
        <v>505</v>
      </c>
      <c r="B644" s="11" t="s">
        <v>568</v>
      </c>
      <c r="C644" s="11" t="s">
        <v>28</v>
      </c>
      <c r="D644" s="11" t="s">
        <v>577</v>
      </c>
      <c r="E644" s="19" t="str">
        <f>IF(Products!O505&lt;&gt;"","Yes","No")</f>
        <v>Yes</v>
      </c>
      <c r="F644" s="15" t="str">
        <f>Products!AC505</f>
        <v>Content drafted - assets/specs pending</v>
      </c>
      <c r="G644" s="11" t="str">
        <f>Products!G505</f>
        <v>One page per product category</v>
      </c>
      <c r="H644" s="11" t="str">
        <f>IF(Products!AC505="Ready for approval","None",IF(Products!Q505="","Technical specifications; ","")&amp;IF(Products!S505="","primary image; ","")&amp;IF(Products!U505="","datasheet/brochure; ","")&amp;"technical approval")</f>
        <v>Technical specifications; primary image; datasheet/brochure; technical approval</v>
      </c>
    </row>
    <row r="645" spans="1:8" ht="26" x14ac:dyDescent="0.35">
      <c r="A645" s="11">
        <v>506</v>
      </c>
      <c r="B645" s="11" t="s">
        <v>568</v>
      </c>
      <c r="C645" s="11" t="s">
        <v>28</v>
      </c>
      <c r="D645" s="11" t="s">
        <v>578</v>
      </c>
      <c r="E645" s="19" t="str">
        <f>IF(Products!O506&lt;&gt;"","Yes","No")</f>
        <v>Yes</v>
      </c>
      <c r="F645" s="15" t="str">
        <f>Products!AC506</f>
        <v>Content drafted - assets/specs pending</v>
      </c>
      <c r="G645" s="11" t="str">
        <f>Products!G506</f>
        <v>One page per product category</v>
      </c>
      <c r="H645" s="11" t="str">
        <f>IF(Products!AC506="Ready for approval","None",IF(Products!Q506="","Technical specifications; ","")&amp;IF(Products!S506="","primary image; ","")&amp;IF(Products!U506="","datasheet/brochure; ","")&amp;"technical approval")</f>
        <v>Technical specifications; primary image; datasheet/brochure; technical approval</v>
      </c>
    </row>
    <row r="646" spans="1:8" ht="26" x14ac:dyDescent="0.35">
      <c r="A646" s="11">
        <v>507</v>
      </c>
      <c r="B646" s="11" t="s">
        <v>568</v>
      </c>
      <c r="C646" s="11" t="s">
        <v>28</v>
      </c>
      <c r="D646" s="11" t="s">
        <v>579</v>
      </c>
      <c r="E646" s="19" t="str">
        <f>IF(Products!O507&lt;&gt;"","Yes","No")</f>
        <v>Yes</v>
      </c>
      <c r="F646" s="15" t="str">
        <f>Products!AC507</f>
        <v>Content drafted - assets/specs pending</v>
      </c>
      <c r="G646" s="11" t="str">
        <f>Products!G507</f>
        <v>One page per product category</v>
      </c>
      <c r="H646" s="11" t="str">
        <f>IF(Products!AC507="Ready for approval","None",IF(Products!Q507="","Technical specifications; ","")&amp;IF(Products!S507="","primary image; ","")&amp;IF(Products!U507="","datasheet/brochure; ","")&amp;"technical approval")</f>
        <v>Technical specifications; primary image; datasheet/brochure; technical approval</v>
      </c>
    </row>
    <row r="647" spans="1:8" ht="26" x14ac:dyDescent="0.35">
      <c r="A647" s="11">
        <v>508</v>
      </c>
      <c r="B647" s="11" t="s">
        <v>568</v>
      </c>
      <c r="C647" s="11" t="s">
        <v>28</v>
      </c>
      <c r="D647" s="11" t="s">
        <v>580</v>
      </c>
      <c r="E647" s="19" t="str">
        <f>IF(Products!O508&lt;&gt;"","Yes","No")</f>
        <v>Yes</v>
      </c>
      <c r="F647" s="15" t="str">
        <f>Products!AC508</f>
        <v>Content drafted - assets/specs pending</v>
      </c>
      <c r="G647" s="11" t="str">
        <f>Products!G508</f>
        <v>One page per product category</v>
      </c>
      <c r="H647" s="11" t="str">
        <f>IF(Products!AC508="Ready for approval","None",IF(Products!Q508="","Technical specifications; ","")&amp;IF(Products!S508="","primary image; ","")&amp;IF(Products!U508="","datasheet/brochure; ","")&amp;"technical approval")</f>
        <v>Technical specifications; primary image; datasheet/brochure; technical approval</v>
      </c>
    </row>
    <row r="648" spans="1:8" ht="26" x14ac:dyDescent="0.35">
      <c r="A648" s="11">
        <v>509</v>
      </c>
      <c r="B648" s="11" t="s">
        <v>568</v>
      </c>
      <c r="C648" s="11" t="s">
        <v>28</v>
      </c>
      <c r="D648" s="11" t="s">
        <v>581</v>
      </c>
      <c r="E648" s="19" t="str">
        <f>IF(Products!O509&lt;&gt;"","Yes","No")</f>
        <v>Yes</v>
      </c>
      <c r="F648" s="15" t="str">
        <f>Products!AC509</f>
        <v>Content drafted - assets/specs pending</v>
      </c>
      <c r="G648" s="11" t="str">
        <f>Products!G509</f>
        <v>One page per product category</v>
      </c>
      <c r="H648" s="11" t="str">
        <f>IF(Products!AC509="Ready for approval","None",IF(Products!Q509="","Technical specifications; ","")&amp;IF(Products!S509="","primary image; ","")&amp;IF(Products!U509="","datasheet/brochure; ","")&amp;"technical approval")</f>
        <v>Technical specifications; primary image; datasheet/brochure; technical approval</v>
      </c>
    </row>
    <row r="649" spans="1:8" ht="26" x14ac:dyDescent="0.35">
      <c r="A649" s="11">
        <v>510</v>
      </c>
      <c r="B649" s="11" t="s">
        <v>568</v>
      </c>
      <c r="C649" s="11" t="s">
        <v>28</v>
      </c>
      <c r="D649" s="11" t="s">
        <v>582</v>
      </c>
      <c r="E649" s="19" t="str">
        <f>IF(Products!O510&lt;&gt;"","Yes","No")</f>
        <v>Yes</v>
      </c>
      <c r="F649" s="15" t="str">
        <f>Products!AC510</f>
        <v>Content drafted - assets/specs pending</v>
      </c>
      <c r="G649" s="11" t="str">
        <f>Products!G510</f>
        <v>One page per product category</v>
      </c>
      <c r="H649" s="11" t="str">
        <f>IF(Products!AC510="Ready for approval","None",IF(Products!Q510="","Technical specifications; ","")&amp;IF(Products!S510="","primary image; ","")&amp;IF(Products!U510="","datasheet/brochure; ","")&amp;"technical approval")</f>
        <v>Technical specifications; primary image; datasheet/brochure; technical approval</v>
      </c>
    </row>
    <row r="650" spans="1:8" ht="26" x14ac:dyDescent="0.35">
      <c r="A650" s="11">
        <v>511</v>
      </c>
      <c r="B650" s="11" t="s">
        <v>568</v>
      </c>
      <c r="C650" s="11" t="s">
        <v>28</v>
      </c>
      <c r="D650" s="11" t="s">
        <v>583</v>
      </c>
      <c r="E650" s="19" t="str">
        <f>IF(Products!O511&lt;&gt;"","Yes","No")</f>
        <v>Yes</v>
      </c>
      <c r="F650" s="15" t="str">
        <f>Products!AC511</f>
        <v>Content drafted - assets/specs pending</v>
      </c>
      <c r="G650" s="11" t="str">
        <f>Products!G511</f>
        <v>One page per product category</v>
      </c>
      <c r="H650" s="11" t="str">
        <f>IF(Products!AC511="Ready for approval","None",IF(Products!Q511="","Technical specifications; ","")&amp;IF(Products!S511="","primary image; ","")&amp;IF(Products!U511="","datasheet/brochure; ","")&amp;"technical approval")</f>
        <v>Technical specifications; primary image; datasheet/brochure; technical approval</v>
      </c>
    </row>
    <row r="651" spans="1:8" ht="26" x14ac:dyDescent="0.35">
      <c r="A651" s="11">
        <v>512</v>
      </c>
      <c r="B651" s="11" t="s">
        <v>568</v>
      </c>
      <c r="C651" s="11" t="s">
        <v>28</v>
      </c>
      <c r="D651" s="11" t="s">
        <v>584</v>
      </c>
      <c r="E651" s="19" t="str">
        <f>IF(Products!O512&lt;&gt;"","Yes","No")</f>
        <v>Yes</v>
      </c>
      <c r="F651" s="15" t="str">
        <f>Products!AC512</f>
        <v>Content drafted - assets/specs pending</v>
      </c>
      <c r="G651" s="11" t="str">
        <f>Products!G512</f>
        <v>One page per product category</v>
      </c>
      <c r="H651" s="11" t="str">
        <f>IF(Products!AC512="Ready for approval","None",IF(Products!Q512="","Technical specifications; ","")&amp;IF(Products!S512="","primary image; ","")&amp;IF(Products!U512="","datasheet/brochure; ","")&amp;"technical approval")</f>
        <v>Technical specifications; primary image; datasheet/brochure; technical approval</v>
      </c>
    </row>
    <row r="652" spans="1:8" ht="26" x14ac:dyDescent="0.35">
      <c r="A652" s="11">
        <v>513</v>
      </c>
      <c r="B652" s="11" t="s">
        <v>568</v>
      </c>
      <c r="C652" s="11" t="s">
        <v>28</v>
      </c>
      <c r="D652" s="11" t="s">
        <v>585</v>
      </c>
      <c r="E652" s="19" t="str">
        <f>IF(Products!O513&lt;&gt;"","Yes","No")</f>
        <v>Yes</v>
      </c>
      <c r="F652" s="15" t="str">
        <f>Products!AC513</f>
        <v>Content drafted - assets/specs pending</v>
      </c>
      <c r="G652" s="11" t="str">
        <f>Products!G513</f>
        <v>One page per product category</v>
      </c>
      <c r="H652" s="11" t="str">
        <f>IF(Products!AC513="Ready for approval","None",IF(Products!Q513="","Technical specifications; ","")&amp;IF(Products!S513="","primary image; ","")&amp;IF(Products!U513="","datasheet/brochure; ","")&amp;"technical approval")</f>
        <v>Technical specifications; primary image; datasheet/brochure; technical approval</v>
      </c>
    </row>
    <row r="653" spans="1:8" ht="26" x14ac:dyDescent="0.35">
      <c r="A653" s="11">
        <v>514</v>
      </c>
      <c r="B653" s="11" t="s">
        <v>568</v>
      </c>
      <c r="C653" s="11" t="s">
        <v>28</v>
      </c>
      <c r="D653" s="11" t="s">
        <v>586</v>
      </c>
      <c r="E653" s="19" t="str">
        <f>IF(Products!O514&lt;&gt;"","Yes","No")</f>
        <v>Yes</v>
      </c>
      <c r="F653" s="15" t="str">
        <f>Products!AC514</f>
        <v>Content drafted - assets/specs pending</v>
      </c>
      <c r="G653" s="11" t="str">
        <f>Products!G514</f>
        <v>One page per product category</v>
      </c>
      <c r="H653" s="11" t="str">
        <f>IF(Products!AC514="Ready for approval","None",IF(Products!Q514="","Technical specifications; ","")&amp;IF(Products!S514="","primary image; ","")&amp;IF(Products!U514="","datasheet/brochure; ","")&amp;"technical approval")</f>
        <v>Technical specifications; primary image; datasheet/brochure; technical approval</v>
      </c>
    </row>
    <row r="654" spans="1:8" ht="26" x14ac:dyDescent="0.35">
      <c r="A654" s="11">
        <v>515</v>
      </c>
      <c r="B654" s="11" t="s">
        <v>568</v>
      </c>
      <c r="C654" s="11" t="s">
        <v>28</v>
      </c>
      <c r="D654" s="11" t="s">
        <v>587</v>
      </c>
      <c r="E654" s="19" t="str">
        <f>IF(Products!O515&lt;&gt;"","Yes","No")</f>
        <v>Yes</v>
      </c>
      <c r="F654" s="15" t="str">
        <f>Products!AC515</f>
        <v>Content drafted - assets/specs pending</v>
      </c>
      <c r="G654" s="11" t="str">
        <f>Products!G515</f>
        <v>One page per product category</v>
      </c>
      <c r="H654" s="11" t="str">
        <f>IF(Products!AC515="Ready for approval","None",IF(Products!Q515="","Technical specifications; ","")&amp;IF(Products!S515="","primary image; ","")&amp;IF(Products!U515="","datasheet/brochure; ","")&amp;"technical approval")</f>
        <v>Technical specifications; primary image; datasheet/brochure; technical approval</v>
      </c>
    </row>
    <row r="655" spans="1:8" ht="26" x14ac:dyDescent="0.35">
      <c r="A655" s="11">
        <v>516</v>
      </c>
      <c r="B655" s="11" t="s">
        <v>568</v>
      </c>
      <c r="C655" s="11" t="s">
        <v>28</v>
      </c>
      <c r="D655" s="11" t="s">
        <v>588</v>
      </c>
      <c r="E655" s="19" t="str">
        <f>IF(Products!O516&lt;&gt;"","Yes","No")</f>
        <v>Yes</v>
      </c>
      <c r="F655" s="15" t="str">
        <f>Products!AC516</f>
        <v>Content drafted - assets/specs pending</v>
      </c>
      <c r="G655" s="11" t="str">
        <f>Products!G516</f>
        <v>One page per product category</v>
      </c>
      <c r="H655" s="11" t="str">
        <f>IF(Products!AC516="Ready for approval","None",IF(Products!Q516="","Technical specifications; ","")&amp;IF(Products!S516="","primary image; ","")&amp;IF(Products!U516="","datasheet/brochure; ","")&amp;"technical approval")</f>
        <v>Technical specifications; primary image; datasheet/brochure; technical approval</v>
      </c>
    </row>
    <row r="656" spans="1:8" ht="26" x14ac:dyDescent="0.35">
      <c r="A656" s="11">
        <v>517</v>
      </c>
      <c r="B656" s="11" t="s">
        <v>568</v>
      </c>
      <c r="C656" s="11" t="s">
        <v>28</v>
      </c>
      <c r="D656" s="11" t="s">
        <v>589</v>
      </c>
      <c r="E656" s="19" t="str">
        <f>IF(Products!O517&lt;&gt;"","Yes","No")</f>
        <v>Yes</v>
      </c>
      <c r="F656" s="15" t="str">
        <f>Products!AC517</f>
        <v>Content drafted - assets/specs pending</v>
      </c>
      <c r="G656" s="11" t="str">
        <f>Products!G517</f>
        <v>One page per product category</v>
      </c>
      <c r="H656" s="11" t="str">
        <f>IF(Products!AC517="Ready for approval","None",IF(Products!Q517="","Technical specifications; ","")&amp;IF(Products!S517="","primary image; ","")&amp;IF(Products!U517="","datasheet/brochure; ","")&amp;"technical approval")</f>
        <v>Technical specifications; primary image; datasheet/brochure; technical approval</v>
      </c>
    </row>
    <row r="657" spans="1:8" ht="26" x14ac:dyDescent="0.35">
      <c r="A657" s="11">
        <v>518</v>
      </c>
      <c r="B657" s="11" t="s">
        <v>2861</v>
      </c>
      <c r="C657" s="11" t="s">
        <v>2862</v>
      </c>
      <c r="D657" s="11" t="s">
        <v>2864</v>
      </c>
      <c r="E657" s="19" t="str">
        <f>IF(Products!O518&lt;&gt;"","Yes","No")</f>
        <v>Yes</v>
      </c>
      <c r="F657" s="15" t="str">
        <f>Products!AC518</f>
        <v>Content drafted - assets/specs pending</v>
      </c>
      <c r="G657" s="11" t="str">
        <f>Products!G518</f>
        <v>One page per product category</v>
      </c>
      <c r="H657" s="11" t="str">
        <f>IF(Products!AC518="Ready for approval","None",IF(Products!Q518="","Technical specifications; ","")&amp;IF(Products!S518="","primary image; ","")&amp;IF(Products!U518="","datasheet/brochure; ","")&amp;"technical approval")</f>
        <v>Technical specifications; primary image; datasheet/brochure; technical approval</v>
      </c>
    </row>
    <row r="658" spans="1:8" ht="26" x14ac:dyDescent="0.35">
      <c r="A658" s="11">
        <v>519</v>
      </c>
      <c r="B658" s="11" t="s">
        <v>2861</v>
      </c>
      <c r="C658" s="11" t="s">
        <v>2862</v>
      </c>
      <c r="D658" s="11" t="s">
        <v>2868</v>
      </c>
      <c r="E658" s="19" t="str">
        <f>IF(Products!O519&lt;&gt;"","Yes","No")</f>
        <v>Yes</v>
      </c>
      <c r="F658" s="15" t="str">
        <f>Products!AC519</f>
        <v>Content drafted - assets/specs pending</v>
      </c>
      <c r="G658" s="11" t="str">
        <f>Products!G519</f>
        <v>One page per product category</v>
      </c>
      <c r="H658" s="11" t="str">
        <f>IF(Products!AC519="Ready for approval","None",IF(Products!Q519="","Technical specifications; ","")&amp;IF(Products!S519="","primary image; ","")&amp;IF(Products!U519="","datasheet/brochure; ","")&amp;"technical approval")</f>
        <v>Technical specifications; primary image; datasheet/brochure; technical approval</v>
      </c>
    </row>
    <row r="659" spans="1:8" ht="26" x14ac:dyDescent="0.35">
      <c r="A659" s="11">
        <v>520</v>
      </c>
      <c r="B659" s="11" t="s">
        <v>2872</v>
      </c>
      <c r="C659" s="11" t="s">
        <v>2862</v>
      </c>
      <c r="D659" s="11" t="s">
        <v>2873</v>
      </c>
      <c r="E659" s="19" t="str">
        <f>IF(Products!O520&lt;&gt;"","Yes","No")</f>
        <v>Yes</v>
      </c>
      <c r="F659" s="15" t="str">
        <f>Products!AC520</f>
        <v>Content drafted - assets/specs pending</v>
      </c>
      <c r="G659" s="11" t="str">
        <f>Products!G520</f>
        <v>One page per product category</v>
      </c>
      <c r="H659" s="11" t="str">
        <f>IF(Products!AC520="Ready for approval","None",IF(Products!Q520="","Technical specifications; ","")&amp;IF(Products!S520="","primary image; ","")&amp;IF(Products!U520="","datasheet/brochure; ","")&amp;"technical approval")</f>
        <v>Technical specifications; primary image; datasheet/brochure; technical approval</v>
      </c>
    </row>
    <row r="660" spans="1:8" ht="26" x14ac:dyDescent="0.35">
      <c r="A660" s="11">
        <v>521</v>
      </c>
      <c r="B660" s="11" t="s">
        <v>2872</v>
      </c>
      <c r="C660" s="11" t="s">
        <v>2862</v>
      </c>
      <c r="D660" s="11" t="s">
        <v>2877</v>
      </c>
      <c r="E660" s="19" t="str">
        <f>IF(Products!O521&lt;&gt;"","Yes","No")</f>
        <v>Yes</v>
      </c>
      <c r="F660" s="15" t="str">
        <f>Products!AC521</f>
        <v>Content drafted - assets/specs pending</v>
      </c>
      <c r="G660" s="11" t="str">
        <f>Products!G521</f>
        <v>One page per product category</v>
      </c>
      <c r="H660" s="11" t="str">
        <f>IF(Products!AC521="Ready for approval","None",IF(Products!Q521="","Technical specifications; ","")&amp;IF(Products!S521="","primary image; ","")&amp;IF(Products!U521="","datasheet/brochure; ","")&amp;"technical approval")</f>
        <v>Technical specifications; primary image; datasheet/brochure; technical approval</v>
      </c>
    </row>
    <row r="661" spans="1:8" ht="26" x14ac:dyDescent="0.35">
      <c r="A661" s="11">
        <v>522</v>
      </c>
      <c r="B661" s="11" t="s">
        <v>2881</v>
      </c>
      <c r="C661" s="11" t="s">
        <v>2862</v>
      </c>
      <c r="D661" s="11" t="s">
        <v>2882</v>
      </c>
      <c r="E661" s="19" t="str">
        <f>IF(Products!O522&lt;&gt;"","Yes","No")</f>
        <v>Yes</v>
      </c>
      <c r="F661" s="15" t="str">
        <f>Products!AC522</f>
        <v>Content drafted - assets/specs pending</v>
      </c>
      <c r="G661" s="11" t="str">
        <f>Products!G522</f>
        <v>One page per product category</v>
      </c>
      <c r="H661" s="11" t="str">
        <f>IF(Products!AC522="Ready for approval","None",IF(Products!Q522="","Technical specifications; ","")&amp;IF(Products!S522="","primary image; ","")&amp;IF(Products!U522="","datasheet/brochure; ","")&amp;"technical approval")</f>
        <v>Technical specifications; primary image; datasheet/brochure; technical approval</v>
      </c>
    </row>
    <row r="662" spans="1:8" ht="26" x14ac:dyDescent="0.35">
      <c r="A662" s="11">
        <v>523</v>
      </c>
      <c r="B662" s="11" t="s">
        <v>2881</v>
      </c>
      <c r="C662" s="11" t="s">
        <v>2862</v>
      </c>
      <c r="D662" s="11" t="s">
        <v>2886</v>
      </c>
      <c r="E662" s="19" t="str">
        <f>IF(Products!O523&lt;&gt;"","Yes","No")</f>
        <v>Yes</v>
      </c>
      <c r="F662" s="15" t="str">
        <f>Products!AC523</f>
        <v>Content drafted - assets/specs pending</v>
      </c>
      <c r="G662" s="11" t="str">
        <f>Products!G523</f>
        <v>One page per product category</v>
      </c>
      <c r="H662" s="11" t="str">
        <f>IF(Products!AC523="Ready for approval","None",IF(Products!Q523="","Technical specifications; ","")&amp;IF(Products!S523="","primary image; ","")&amp;IF(Products!U523="","datasheet/brochure; ","")&amp;"technical approval")</f>
        <v>Technical specifications; primary image; datasheet/brochure; technical approval</v>
      </c>
    </row>
    <row r="663" spans="1:8" ht="26" x14ac:dyDescent="0.35">
      <c r="A663" s="11">
        <v>524</v>
      </c>
      <c r="B663" s="11" t="s">
        <v>2890</v>
      </c>
      <c r="C663" s="11" t="s">
        <v>2862</v>
      </c>
      <c r="D663" s="11" t="s">
        <v>2891</v>
      </c>
      <c r="E663" s="19" t="str">
        <f>IF(Products!O524&lt;&gt;"","Yes","No")</f>
        <v>Yes</v>
      </c>
      <c r="F663" s="15" t="str">
        <f>Products!AC524</f>
        <v>Content drafted - assets/specs pending</v>
      </c>
      <c r="G663" s="11" t="str">
        <f>Products!G524</f>
        <v>One page per product category</v>
      </c>
      <c r="H663" s="11" t="str">
        <f>IF(Products!AC524="Ready for approval","None",IF(Products!Q524="","Technical specifications; ","")&amp;IF(Products!S524="","primary image; ","")&amp;IF(Products!U524="","datasheet/brochure; ","")&amp;"technical approval")</f>
        <v>Technical specifications; primary image; datasheet/brochure; technical approval</v>
      </c>
    </row>
    <row r="664" spans="1:8" ht="26" x14ac:dyDescent="0.35">
      <c r="A664" s="11">
        <v>525</v>
      </c>
      <c r="B664" s="11" t="s">
        <v>2872</v>
      </c>
      <c r="C664" s="11" t="s">
        <v>2862</v>
      </c>
      <c r="D664" s="11" t="s">
        <v>2895</v>
      </c>
      <c r="E664" s="19" t="str">
        <f>IF(Products!O525&lt;&gt;"","Yes","No")</f>
        <v>Yes</v>
      </c>
      <c r="F664" s="15" t="str">
        <f>Products!AC525</f>
        <v>Content drafted - assets/specs pending</v>
      </c>
      <c r="G664" s="11" t="str">
        <f>Products!G525</f>
        <v>One page per product category</v>
      </c>
      <c r="H664" s="11" t="str">
        <f>IF(Products!AC525="Ready for approval","None",IF(Products!Q525="","Technical specifications; ","")&amp;IF(Products!S525="","primary image; ","")&amp;IF(Products!U525="","datasheet/brochure; ","")&amp;"technical approval")</f>
        <v>Technical specifications; primary image; datasheet/brochure; technical approval</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A762-8091-4140-842C-A72FD79F63D3}">
  <sheetPr>
    <tabColor rgb="FF70AD47"/>
  </sheetPr>
  <dimension ref="A1:K315"/>
  <sheetViews>
    <sheetView tabSelected="1" workbookViewId="0">
      <pane ySplit="5" topLeftCell="A6" activePane="bottomLeft" state="frozen"/>
      <selection pane="bottomLeft" activeCell="H7" sqref="H7"/>
    </sheetView>
  </sheetViews>
  <sheetFormatPr defaultRowHeight="14.5" x14ac:dyDescent="0.35"/>
  <cols>
    <col min="1" max="1" width="34.54296875" customWidth="1"/>
    <col min="2" max="3" width="21.81640625" customWidth="1"/>
    <col min="4" max="7" width="34.54296875" customWidth="1"/>
    <col min="8" max="11" width="30.90625" customWidth="1"/>
  </cols>
  <sheetData>
    <row r="1" spans="1:11" ht="42" x14ac:dyDescent="0.35">
      <c r="A1" s="12" t="s">
        <v>2303</v>
      </c>
      <c r="B1" s="12"/>
      <c r="C1" s="12"/>
      <c r="D1" s="12"/>
      <c r="E1" s="12"/>
      <c r="F1" s="12"/>
      <c r="G1" s="12"/>
      <c r="H1" s="12"/>
      <c r="I1" s="12"/>
      <c r="J1" s="12"/>
      <c r="K1" s="12"/>
    </row>
    <row r="2" spans="1:11" ht="52" x14ac:dyDescent="0.35">
      <c r="A2" s="22" t="s">
        <v>3146</v>
      </c>
      <c r="B2" s="22"/>
      <c r="C2" s="22"/>
      <c r="D2" s="22"/>
      <c r="E2" s="22"/>
      <c r="F2" s="22"/>
      <c r="G2" s="22"/>
      <c r="H2" s="22"/>
      <c r="I2" s="22"/>
      <c r="J2" s="22"/>
      <c r="K2" s="22"/>
    </row>
    <row r="3" spans="1:11" x14ac:dyDescent="0.35">
      <c r="A3" s="11"/>
      <c r="B3" s="11"/>
      <c r="C3" s="11"/>
      <c r="D3" s="11"/>
      <c r="E3" s="11"/>
      <c r="F3" s="11"/>
      <c r="G3" s="11"/>
      <c r="H3" s="11"/>
      <c r="I3" s="11"/>
      <c r="J3" s="11"/>
      <c r="K3" s="11"/>
    </row>
    <row r="4" spans="1:11" x14ac:dyDescent="0.35">
      <c r="A4" s="23" t="s">
        <v>2304</v>
      </c>
      <c r="B4" s="23"/>
      <c r="C4" s="23"/>
      <c r="D4" s="23"/>
      <c r="E4" s="23"/>
      <c r="F4" s="23"/>
      <c r="G4" s="23"/>
      <c r="H4" s="23"/>
      <c r="I4" s="23"/>
      <c r="J4" s="23"/>
      <c r="K4" s="23"/>
    </row>
    <row r="5" spans="1:11" x14ac:dyDescent="0.35">
      <c r="A5" s="24" t="s">
        <v>22</v>
      </c>
      <c r="B5" s="24" t="s">
        <v>0</v>
      </c>
      <c r="C5" s="24" t="s">
        <v>2211</v>
      </c>
      <c r="D5" s="24" t="s">
        <v>2305</v>
      </c>
      <c r="E5" s="24" t="s">
        <v>2306</v>
      </c>
      <c r="F5" s="24" t="s">
        <v>2307</v>
      </c>
      <c r="G5" s="24" t="s">
        <v>2308</v>
      </c>
      <c r="H5" s="24" t="s">
        <v>2309</v>
      </c>
      <c r="I5" s="24" t="s">
        <v>2172</v>
      </c>
      <c r="J5" s="24" t="s">
        <v>596</v>
      </c>
      <c r="K5" s="24" t="s">
        <v>2310</v>
      </c>
    </row>
    <row r="6" spans="1:11" ht="26" x14ac:dyDescent="0.35">
      <c r="A6" s="11" t="s">
        <v>9</v>
      </c>
      <c r="B6" s="11" t="s">
        <v>10</v>
      </c>
      <c r="C6" s="11">
        <v>7</v>
      </c>
      <c r="D6" s="11" t="s">
        <v>2251</v>
      </c>
      <c r="E6" s="11" t="s">
        <v>2311</v>
      </c>
      <c r="F6" s="11" t="s">
        <v>2312</v>
      </c>
      <c r="G6" s="11" t="s">
        <v>2313</v>
      </c>
      <c r="H6" s="11" t="s">
        <v>2314</v>
      </c>
      <c r="I6" s="11" t="s">
        <v>609</v>
      </c>
      <c r="J6" s="11" t="s">
        <v>2315</v>
      </c>
      <c r="K6" s="11" t="s">
        <v>2316</v>
      </c>
    </row>
    <row r="7" spans="1:11" ht="26" x14ac:dyDescent="0.35">
      <c r="A7" s="11" t="s">
        <v>13</v>
      </c>
      <c r="B7" s="11" t="s">
        <v>12</v>
      </c>
      <c r="C7" s="11">
        <v>74</v>
      </c>
      <c r="D7" s="11" t="s">
        <v>2265</v>
      </c>
      <c r="E7" s="11" t="s">
        <v>2311</v>
      </c>
      <c r="F7" s="11" t="s">
        <v>2312</v>
      </c>
      <c r="G7" s="11" t="s">
        <v>2313</v>
      </c>
      <c r="H7" s="11" t="s">
        <v>2314</v>
      </c>
      <c r="I7" s="11" t="s">
        <v>609</v>
      </c>
      <c r="J7" s="11" t="s">
        <v>2315</v>
      </c>
      <c r="K7" s="11" t="s">
        <v>2316</v>
      </c>
    </row>
    <row r="8" spans="1:11" ht="26" x14ac:dyDescent="0.35">
      <c r="A8" s="11" t="s">
        <v>28</v>
      </c>
      <c r="B8" s="11" t="s">
        <v>12</v>
      </c>
      <c r="C8" s="11">
        <v>116</v>
      </c>
      <c r="D8" s="11" t="s">
        <v>2289</v>
      </c>
      <c r="E8" s="11" t="s">
        <v>2311</v>
      </c>
      <c r="F8" s="11" t="s">
        <v>2312</v>
      </c>
      <c r="G8" s="11" t="s">
        <v>2313</v>
      </c>
      <c r="H8" s="11" t="s">
        <v>2314</v>
      </c>
      <c r="I8" s="11" t="s">
        <v>609</v>
      </c>
      <c r="J8" s="11" t="s">
        <v>2315</v>
      </c>
      <c r="K8" s="11" t="s">
        <v>2316</v>
      </c>
    </row>
    <row r="9" spans="1:11" ht="26" x14ac:dyDescent="0.35">
      <c r="A9" s="11" t="s">
        <v>5</v>
      </c>
      <c r="B9" s="11" t="s">
        <v>6</v>
      </c>
      <c r="C9" s="11">
        <v>36</v>
      </c>
      <c r="D9" s="11" t="s">
        <v>19</v>
      </c>
      <c r="E9" s="11" t="s">
        <v>2311</v>
      </c>
      <c r="F9" s="11" t="s">
        <v>2312</v>
      </c>
      <c r="G9" s="11" t="s">
        <v>2313</v>
      </c>
      <c r="H9" s="11" t="s">
        <v>2314</v>
      </c>
      <c r="I9" s="11" t="s">
        <v>609</v>
      </c>
      <c r="J9" s="11" t="s">
        <v>2315</v>
      </c>
      <c r="K9" s="11" t="s">
        <v>2316</v>
      </c>
    </row>
    <row r="10" spans="1:11" ht="26" x14ac:dyDescent="0.35">
      <c r="A10" s="11" t="s">
        <v>11</v>
      </c>
      <c r="B10" s="11" t="s">
        <v>12</v>
      </c>
      <c r="C10" s="11">
        <v>51</v>
      </c>
      <c r="D10" s="11" t="s">
        <v>2256</v>
      </c>
      <c r="E10" s="11" t="s">
        <v>2311</v>
      </c>
      <c r="F10" s="11" t="s">
        <v>2312</v>
      </c>
      <c r="G10" s="11" t="s">
        <v>2313</v>
      </c>
      <c r="H10" s="11" t="s">
        <v>2314</v>
      </c>
      <c r="I10" s="11" t="s">
        <v>609</v>
      </c>
      <c r="J10" s="11" t="s">
        <v>2315</v>
      </c>
      <c r="K10" s="11" t="s">
        <v>2316</v>
      </c>
    </row>
    <row r="11" spans="1:11" ht="26" x14ac:dyDescent="0.35">
      <c r="A11" s="11" t="s">
        <v>17</v>
      </c>
      <c r="B11" s="11" t="s">
        <v>4</v>
      </c>
      <c r="C11" s="11">
        <v>10</v>
      </c>
      <c r="D11" s="11" t="s">
        <v>2285</v>
      </c>
      <c r="E11" s="11" t="s">
        <v>2311</v>
      </c>
      <c r="F11" s="11" t="s">
        <v>2312</v>
      </c>
      <c r="G11" s="11" t="s">
        <v>2313</v>
      </c>
      <c r="H11" s="11" t="s">
        <v>2314</v>
      </c>
      <c r="I11" s="11" t="s">
        <v>609</v>
      </c>
      <c r="J11" s="11" t="s">
        <v>2315</v>
      </c>
      <c r="K11" s="11" t="s">
        <v>2316</v>
      </c>
    </row>
    <row r="12" spans="1:11" ht="26" x14ac:dyDescent="0.35">
      <c r="A12" s="11" t="s">
        <v>7</v>
      </c>
      <c r="B12" s="11" t="s">
        <v>8</v>
      </c>
      <c r="C12" s="11">
        <v>14</v>
      </c>
      <c r="D12" s="11" t="s">
        <v>2248</v>
      </c>
      <c r="E12" s="11" t="s">
        <v>2311</v>
      </c>
      <c r="F12" s="11" t="s">
        <v>2312</v>
      </c>
      <c r="G12" s="11" t="s">
        <v>2313</v>
      </c>
      <c r="H12" s="11" t="s">
        <v>2314</v>
      </c>
      <c r="I12" s="11" t="s">
        <v>609</v>
      </c>
      <c r="J12" s="11" t="s">
        <v>2315</v>
      </c>
      <c r="K12" s="11" t="s">
        <v>2316</v>
      </c>
    </row>
    <row r="13" spans="1:11" ht="26" x14ac:dyDescent="0.35">
      <c r="A13" s="11" t="s">
        <v>16</v>
      </c>
      <c r="B13" s="11" t="s">
        <v>6</v>
      </c>
      <c r="C13" s="11">
        <v>62</v>
      </c>
      <c r="D13" s="11" t="s">
        <v>2281</v>
      </c>
      <c r="E13" s="11" t="s">
        <v>2311</v>
      </c>
      <c r="F13" s="11" t="s">
        <v>2312</v>
      </c>
      <c r="G13" s="11" t="s">
        <v>2313</v>
      </c>
      <c r="H13" s="11" t="s">
        <v>2314</v>
      </c>
      <c r="I13" s="11" t="s">
        <v>609</v>
      </c>
      <c r="J13" s="11" t="s">
        <v>2315</v>
      </c>
      <c r="K13" s="11" t="s">
        <v>2316</v>
      </c>
    </row>
    <row r="14" spans="1:11" ht="26" x14ac:dyDescent="0.35">
      <c r="A14" s="11" t="s">
        <v>1</v>
      </c>
      <c r="B14" s="11" t="s">
        <v>2</v>
      </c>
      <c r="C14" s="11">
        <v>21</v>
      </c>
      <c r="D14" s="11" t="s">
        <v>2242</v>
      </c>
      <c r="E14" s="11" t="s">
        <v>2311</v>
      </c>
      <c r="F14" s="11" t="s">
        <v>2312</v>
      </c>
      <c r="G14" s="11" t="s">
        <v>2313</v>
      </c>
      <c r="H14" s="11" t="s">
        <v>2314</v>
      </c>
      <c r="I14" s="11" t="s">
        <v>609</v>
      </c>
      <c r="J14" s="11" t="s">
        <v>2315</v>
      </c>
      <c r="K14" s="11" t="s">
        <v>2316</v>
      </c>
    </row>
    <row r="15" spans="1:11" ht="26" x14ac:dyDescent="0.35">
      <c r="A15" s="11" t="s">
        <v>14</v>
      </c>
      <c r="B15" s="11" t="s">
        <v>15</v>
      </c>
      <c r="C15" s="11">
        <v>65</v>
      </c>
      <c r="D15" s="11" t="s">
        <v>2274</v>
      </c>
      <c r="E15" s="11" t="s">
        <v>2311</v>
      </c>
      <c r="F15" s="11" t="s">
        <v>2312</v>
      </c>
      <c r="G15" s="11" t="s">
        <v>2313</v>
      </c>
      <c r="H15" s="11" t="s">
        <v>2314</v>
      </c>
      <c r="I15" s="11" t="s">
        <v>609</v>
      </c>
      <c r="J15" s="11" t="s">
        <v>2315</v>
      </c>
      <c r="K15" s="11" t="s">
        <v>2316</v>
      </c>
    </row>
    <row r="16" spans="1:11" ht="26" x14ac:dyDescent="0.35">
      <c r="A16" s="11" t="s">
        <v>3</v>
      </c>
      <c r="B16" s="11" t="s">
        <v>4</v>
      </c>
      <c r="C16" s="11">
        <v>62</v>
      </c>
      <c r="D16" s="11" t="s">
        <v>2247</v>
      </c>
      <c r="E16" s="11" t="s">
        <v>2311</v>
      </c>
      <c r="F16" s="11" t="s">
        <v>2312</v>
      </c>
      <c r="G16" s="11" t="s">
        <v>2313</v>
      </c>
      <c r="H16" s="11" t="s">
        <v>2314</v>
      </c>
      <c r="I16" s="11" t="s">
        <v>609</v>
      </c>
      <c r="J16" s="11" t="s">
        <v>2315</v>
      </c>
      <c r="K16" s="11" t="s">
        <v>2316</v>
      </c>
    </row>
    <row r="17" spans="1:11" ht="26" x14ac:dyDescent="0.35">
      <c r="A17" s="11" t="s">
        <v>2862</v>
      </c>
      <c r="B17" s="11" t="s">
        <v>2863</v>
      </c>
      <c r="C17" s="11">
        <v>8</v>
      </c>
      <c r="D17" s="11" t="s">
        <v>2883</v>
      </c>
      <c r="E17" s="11" t="s">
        <v>2311</v>
      </c>
      <c r="F17" s="11" t="s">
        <v>2312</v>
      </c>
      <c r="G17" s="11" t="s">
        <v>2313</v>
      </c>
      <c r="H17" s="11" t="s">
        <v>2314</v>
      </c>
      <c r="I17" s="11" t="s">
        <v>609</v>
      </c>
      <c r="J17" s="11" t="s">
        <v>2315</v>
      </c>
      <c r="K17" s="11" t="s">
        <v>2316</v>
      </c>
    </row>
    <row r="18" spans="1:11" x14ac:dyDescent="0.35">
      <c r="A18" s="11"/>
      <c r="B18" s="11"/>
      <c r="C18" s="11"/>
      <c r="D18" s="11"/>
      <c r="E18" s="11"/>
      <c r="F18" s="11"/>
      <c r="G18" s="11"/>
      <c r="H18" s="11"/>
      <c r="I18" s="11"/>
      <c r="J18" s="11"/>
      <c r="K18" s="11"/>
    </row>
    <row r="19" spans="1:11" x14ac:dyDescent="0.35">
      <c r="A19" s="23" t="s">
        <v>2317</v>
      </c>
      <c r="B19" s="23"/>
      <c r="C19" s="23"/>
      <c r="D19" s="23"/>
      <c r="E19" s="23"/>
      <c r="F19" s="23"/>
      <c r="G19" s="23"/>
      <c r="H19" s="23"/>
      <c r="I19" s="23"/>
      <c r="J19" s="23"/>
      <c r="K19" s="23"/>
    </row>
    <row r="20" spans="1:11" x14ac:dyDescent="0.35">
      <c r="A20" s="24" t="s">
        <v>29</v>
      </c>
      <c r="B20" s="24" t="s">
        <v>2211</v>
      </c>
      <c r="C20" s="24" t="s">
        <v>2318</v>
      </c>
      <c r="D20" s="24" t="s">
        <v>2319</v>
      </c>
      <c r="E20" s="24" t="s">
        <v>2320</v>
      </c>
      <c r="F20" s="24" t="s">
        <v>2321</v>
      </c>
      <c r="G20" s="24" t="s">
        <v>596</v>
      </c>
      <c r="H20" s="24" t="s">
        <v>2310</v>
      </c>
      <c r="I20" s="24"/>
      <c r="J20" s="24"/>
      <c r="K20" s="24"/>
    </row>
    <row r="21" spans="1:11" ht="26" x14ac:dyDescent="0.35">
      <c r="A21" s="11" t="s">
        <v>199</v>
      </c>
      <c r="B21" s="11">
        <v>2</v>
      </c>
      <c r="C21" s="11" t="s">
        <v>11</v>
      </c>
      <c r="D21" s="11" t="s">
        <v>2322</v>
      </c>
      <c r="E21" s="11" t="s">
        <v>2323</v>
      </c>
      <c r="F21" s="11" t="s">
        <v>199</v>
      </c>
      <c r="G21" s="11" t="s">
        <v>2315</v>
      </c>
      <c r="H21" s="11" t="s">
        <v>2324</v>
      </c>
      <c r="I21" s="11"/>
      <c r="J21" s="11"/>
      <c r="K21" s="11"/>
    </row>
    <row r="22" spans="1:11" ht="26" x14ac:dyDescent="0.35">
      <c r="A22" s="11" t="s">
        <v>2881</v>
      </c>
      <c r="B22" s="11">
        <v>2</v>
      </c>
      <c r="C22" s="11" t="s">
        <v>2862</v>
      </c>
      <c r="D22" s="11" t="s">
        <v>2322</v>
      </c>
      <c r="E22" s="11" t="s">
        <v>2323</v>
      </c>
      <c r="F22" s="11" t="s">
        <v>2881</v>
      </c>
      <c r="G22" s="11" t="s">
        <v>2315</v>
      </c>
      <c r="H22" s="11" t="s">
        <v>2324</v>
      </c>
      <c r="I22" s="11"/>
      <c r="J22" s="11"/>
      <c r="K22" s="11"/>
    </row>
    <row r="23" spans="1:11" ht="26" x14ac:dyDescent="0.35">
      <c r="A23" s="11" t="s">
        <v>2872</v>
      </c>
      <c r="B23" s="11">
        <v>3</v>
      </c>
      <c r="C23" s="11" t="s">
        <v>2862</v>
      </c>
      <c r="D23" s="11" t="s">
        <v>2322</v>
      </c>
      <c r="E23" s="11" t="s">
        <v>2323</v>
      </c>
      <c r="F23" s="11" t="s">
        <v>2872</v>
      </c>
      <c r="G23" s="11" t="s">
        <v>2315</v>
      </c>
      <c r="H23" s="11" t="s">
        <v>2324</v>
      </c>
      <c r="I23" s="11"/>
      <c r="J23" s="11"/>
      <c r="K23" s="11"/>
    </row>
    <row r="24" spans="1:11" ht="26" x14ac:dyDescent="0.35">
      <c r="A24" s="11" t="s">
        <v>2826</v>
      </c>
      <c r="B24" s="11">
        <v>20</v>
      </c>
      <c r="C24" s="11" t="s">
        <v>3</v>
      </c>
      <c r="D24" s="11" t="s">
        <v>2322</v>
      </c>
      <c r="E24" s="11" t="s">
        <v>2323</v>
      </c>
      <c r="F24" s="11" t="s">
        <v>2826</v>
      </c>
      <c r="G24" s="11" t="s">
        <v>2315</v>
      </c>
      <c r="H24" s="11" t="s">
        <v>2324</v>
      </c>
      <c r="I24" s="11"/>
      <c r="J24" s="11"/>
      <c r="K24" s="11"/>
    </row>
    <row r="25" spans="1:11" ht="26" x14ac:dyDescent="0.35">
      <c r="A25" s="11" t="s">
        <v>321</v>
      </c>
      <c r="B25" s="11">
        <v>8</v>
      </c>
      <c r="C25" s="11" t="s">
        <v>14</v>
      </c>
      <c r="D25" s="11" t="s">
        <v>2322</v>
      </c>
      <c r="E25" s="11" t="s">
        <v>2323</v>
      </c>
      <c r="F25" s="11" t="s">
        <v>321</v>
      </c>
      <c r="G25" s="11" t="s">
        <v>2315</v>
      </c>
      <c r="H25" s="11" t="s">
        <v>2324</v>
      </c>
      <c r="I25" s="11"/>
      <c r="J25" s="11"/>
      <c r="K25" s="11"/>
    </row>
    <row r="26" spans="1:11" ht="26" x14ac:dyDescent="0.35">
      <c r="A26" s="11" t="s">
        <v>171</v>
      </c>
      <c r="B26" s="11">
        <v>2</v>
      </c>
      <c r="C26" s="11" t="s">
        <v>9</v>
      </c>
      <c r="D26" s="11" t="s">
        <v>2322</v>
      </c>
      <c r="E26" s="11" t="s">
        <v>2323</v>
      </c>
      <c r="F26" s="11" t="s">
        <v>171</v>
      </c>
      <c r="G26" s="11" t="s">
        <v>2315</v>
      </c>
      <c r="H26" s="11" t="s">
        <v>2324</v>
      </c>
      <c r="I26" s="11"/>
      <c r="J26" s="11"/>
      <c r="K26" s="11"/>
    </row>
    <row r="27" spans="1:11" ht="26" x14ac:dyDescent="0.35">
      <c r="A27" s="11" t="s">
        <v>2825</v>
      </c>
      <c r="B27" s="11">
        <v>10</v>
      </c>
      <c r="C27" s="11" t="s">
        <v>3</v>
      </c>
      <c r="D27" s="11" t="s">
        <v>2322</v>
      </c>
      <c r="E27" s="11" t="s">
        <v>2323</v>
      </c>
      <c r="F27" s="11" t="s">
        <v>2825</v>
      </c>
      <c r="G27" s="11" t="s">
        <v>2315</v>
      </c>
      <c r="H27" s="11" t="s">
        <v>2324</v>
      </c>
      <c r="I27" s="11"/>
      <c r="J27" s="11"/>
      <c r="K27" s="11"/>
    </row>
    <row r="28" spans="1:11" ht="26" x14ac:dyDescent="0.35">
      <c r="A28" s="11" t="s">
        <v>544</v>
      </c>
      <c r="B28" s="11">
        <v>2</v>
      </c>
      <c r="C28" s="11" t="s">
        <v>28</v>
      </c>
      <c r="D28" s="11" t="s">
        <v>2322</v>
      </c>
      <c r="E28" s="11" t="s">
        <v>2323</v>
      </c>
      <c r="F28" s="11" t="s">
        <v>544</v>
      </c>
      <c r="G28" s="11" t="s">
        <v>2315</v>
      </c>
      <c r="H28" s="11" t="s">
        <v>2324</v>
      </c>
      <c r="I28" s="11"/>
      <c r="J28" s="11"/>
      <c r="K28" s="11"/>
    </row>
    <row r="29" spans="1:11" ht="26" x14ac:dyDescent="0.35">
      <c r="A29" s="11" t="s">
        <v>111</v>
      </c>
      <c r="B29" s="11">
        <v>3</v>
      </c>
      <c r="C29" s="11" t="s">
        <v>5</v>
      </c>
      <c r="D29" s="11" t="s">
        <v>2322</v>
      </c>
      <c r="E29" s="11" t="s">
        <v>2323</v>
      </c>
      <c r="F29" s="11" t="s">
        <v>111</v>
      </c>
      <c r="G29" s="11" t="s">
        <v>2315</v>
      </c>
      <c r="H29" s="11" t="s">
        <v>2324</v>
      </c>
      <c r="I29" s="11"/>
      <c r="J29" s="11"/>
      <c r="K29" s="11"/>
    </row>
    <row r="30" spans="1:11" ht="26" x14ac:dyDescent="0.35">
      <c r="A30" s="11" t="s">
        <v>547</v>
      </c>
      <c r="B30" s="11">
        <v>20</v>
      </c>
      <c r="C30" s="11" t="s">
        <v>28</v>
      </c>
      <c r="D30" s="11" t="s">
        <v>2322</v>
      </c>
      <c r="E30" s="11" t="s">
        <v>2323</v>
      </c>
      <c r="F30" s="11" t="s">
        <v>547</v>
      </c>
      <c r="G30" s="11" t="s">
        <v>2315</v>
      </c>
      <c r="H30" s="11" t="s">
        <v>2324</v>
      </c>
      <c r="I30" s="11"/>
      <c r="J30" s="11"/>
      <c r="K30" s="11"/>
    </row>
    <row r="31" spans="1:11" ht="26" x14ac:dyDescent="0.35">
      <c r="A31" s="11" t="s">
        <v>2831</v>
      </c>
      <c r="B31" s="11">
        <v>1</v>
      </c>
      <c r="C31" s="11" t="s">
        <v>3</v>
      </c>
      <c r="D31" s="11" t="s">
        <v>2322</v>
      </c>
      <c r="E31" s="11" t="s">
        <v>2323</v>
      </c>
      <c r="F31" s="11" t="s">
        <v>2831</v>
      </c>
      <c r="G31" s="11" t="s">
        <v>2315</v>
      </c>
      <c r="H31" s="11" t="s">
        <v>2324</v>
      </c>
      <c r="I31" s="11"/>
      <c r="J31" s="11"/>
      <c r="K31" s="11"/>
    </row>
    <row r="32" spans="1:11" ht="26" x14ac:dyDescent="0.35">
      <c r="A32" s="11" t="s">
        <v>2832</v>
      </c>
      <c r="B32" s="11">
        <v>1</v>
      </c>
      <c r="C32" s="11" t="s">
        <v>3</v>
      </c>
      <c r="D32" s="11" t="s">
        <v>2322</v>
      </c>
      <c r="E32" s="11" t="s">
        <v>2323</v>
      </c>
      <c r="F32" s="11" t="s">
        <v>2832</v>
      </c>
      <c r="G32" s="11" t="s">
        <v>2315</v>
      </c>
      <c r="H32" s="11" t="s">
        <v>2324</v>
      </c>
      <c r="I32" s="11"/>
      <c r="J32" s="11"/>
      <c r="K32" s="11"/>
    </row>
    <row r="33" spans="1:11" ht="26" x14ac:dyDescent="0.35">
      <c r="A33" s="11" t="s">
        <v>169</v>
      </c>
      <c r="B33" s="11">
        <v>1</v>
      </c>
      <c r="C33" s="11" t="s">
        <v>9</v>
      </c>
      <c r="D33" s="11" t="s">
        <v>2322</v>
      </c>
      <c r="E33" s="11" t="s">
        <v>2323</v>
      </c>
      <c r="F33" s="11" t="s">
        <v>169</v>
      </c>
      <c r="G33" s="11" t="s">
        <v>2315</v>
      </c>
      <c r="H33" s="11" t="s">
        <v>2324</v>
      </c>
      <c r="I33" s="11"/>
      <c r="J33" s="11"/>
      <c r="K33" s="11"/>
    </row>
    <row r="34" spans="1:11" ht="26" x14ac:dyDescent="0.35">
      <c r="A34" s="11" t="s">
        <v>174</v>
      </c>
      <c r="B34" s="11">
        <v>1</v>
      </c>
      <c r="C34" s="11" t="s">
        <v>9</v>
      </c>
      <c r="D34" s="11" t="s">
        <v>2322</v>
      </c>
      <c r="E34" s="11" t="s">
        <v>2323</v>
      </c>
      <c r="F34" s="11" t="s">
        <v>174</v>
      </c>
      <c r="G34" s="11" t="s">
        <v>2315</v>
      </c>
      <c r="H34" s="11" t="s">
        <v>2324</v>
      </c>
      <c r="I34" s="11"/>
      <c r="J34" s="11"/>
      <c r="K34" s="11"/>
    </row>
    <row r="35" spans="1:11" ht="26" x14ac:dyDescent="0.35">
      <c r="A35" s="11" t="s">
        <v>366</v>
      </c>
      <c r="B35" s="11">
        <v>10</v>
      </c>
      <c r="C35" s="11" t="s">
        <v>14</v>
      </c>
      <c r="D35" s="11" t="s">
        <v>2322</v>
      </c>
      <c r="E35" s="11" t="s">
        <v>2323</v>
      </c>
      <c r="F35" s="11" t="s">
        <v>366</v>
      </c>
      <c r="G35" s="11" t="s">
        <v>2315</v>
      </c>
      <c r="H35" s="11" t="s">
        <v>2324</v>
      </c>
      <c r="I35" s="11"/>
      <c r="J35" s="11"/>
      <c r="K35" s="11"/>
    </row>
    <row r="36" spans="1:11" ht="26" x14ac:dyDescent="0.35">
      <c r="A36" s="11" t="s">
        <v>47</v>
      </c>
      <c r="B36" s="11">
        <v>5</v>
      </c>
      <c r="C36" s="11" t="s">
        <v>1</v>
      </c>
      <c r="D36" s="11" t="s">
        <v>2322</v>
      </c>
      <c r="E36" s="11" t="s">
        <v>2323</v>
      </c>
      <c r="F36" s="11" t="s">
        <v>47</v>
      </c>
      <c r="G36" s="11" t="s">
        <v>2315</v>
      </c>
      <c r="H36" s="11" t="s">
        <v>2324</v>
      </c>
      <c r="I36" s="11"/>
      <c r="J36" s="11"/>
      <c r="K36" s="11"/>
    </row>
    <row r="37" spans="1:11" ht="26" x14ac:dyDescent="0.35">
      <c r="A37" s="11" t="s">
        <v>115</v>
      </c>
      <c r="B37" s="11">
        <v>3</v>
      </c>
      <c r="C37" s="11" t="s">
        <v>5</v>
      </c>
      <c r="D37" s="11" t="s">
        <v>2322</v>
      </c>
      <c r="E37" s="11" t="s">
        <v>2323</v>
      </c>
      <c r="F37" s="11" t="s">
        <v>115</v>
      </c>
      <c r="G37" s="11" t="s">
        <v>2315</v>
      </c>
      <c r="H37" s="11" t="s">
        <v>2324</v>
      </c>
      <c r="I37" s="11"/>
      <c r="J37" s="11"/>
      <c r="K37" s="11"/>
    </row>
    <row r="38" spans="1:11" ht="26" x14ac:dyDescent="0.35">
      <c r="A38" s="11" t="s">
        <v>119</v>
      </c>
      <c r="B38" s="11">
        <v>4</v>
      </c>
      <c r="C38" s="11" t="s">
        <v>5</v>
      </c>
      <c r="D38" s="11" t="s">
        <v>2322</v>
      </c>
      <c r="E38" s="11" t="s">
        <v>2323</v>
      </c>
      <c r="F38" s="11" t="s">
        <v>119</v>
      </c>
      <c r="G38" s="11" t="s">
        <v>2315</v>
      </c>
      <c r="H38" s="11" t="s">
        <v>2324</v>
      </c>
      <c r="I38" s="11"/>
      <c r="J38" s="11"/>
      <c r="K38" s="11"/>
    </row>
    <row r="39" spans="1:11" ht="26" x14ac:dyDescent="0.35">
      <c r="A39" s="11" t="s">
        <v>463</v>
      </c>
      <c r="B39" s="11">
        <v>1</v>
      </c>
      <c r="C39" s="11" t="s">
        <v>17</v>
      </c>
      <c r="D39" s="11" t="s">
        <v>2322</v>
      </c>
      <c r="E39" s="11" t="s">
        <v>2323</v>
      </c>
      <c r="F39" s="11" t="s">
        <v>463</v>
      </c>
      <c r="G39" s="11" t="s">
        <v>2315</v>
      </c>
      <c r="H39" s="11" t="s">
        <v>2324</v>
      </c>
      <c r="I39" s="11"/>
      <c r="J39" s="11"/>
      <c r="K39" s="11"/>
    </row>
    <row r="40" spans="1:11" ht="26" x14ac:dyDescent="0.35">
      <c r="A40" s="11" t="s">
        <v>2827</v>
      </c>
      <c r="B40" s="11">
        <v>1</v>
      </c>
      <c r="C40" s="11" t="s">
        <v>3</v>
      </c>
      <c r="D40" s="11" t="s">
        <v>2322</v>
      </c>
      <c r="E40" s="11" t="s">
        <v>2323</v>
      </c>
      <c r="F40" s="11" t="s">
        <v>2827</v>
      </c>
      <c r="G40" s="11" t="s">
        <v>2315</v>
      </c>
      <c r="H40" s="11" t="s">
        <v>2324</v>
      </c>
      <c r="I40" s="11"/>
      <c r="J40" s="11"/>
      <c r="K40" s="11"/>
    </row>
    <row r="41" spans="1:11" ht="26" x14ac:dyDescent="0.35">
      <c r="A41" s="11" t="s">
        <v>180</v>
      </c>
      <c r="B41" s="11">
        <v>8</v>
      </c>
      <c r="C41" s="11" t="s">
        <v>11</v>
      </c>
      <c r="D41" s="11" t="s">
        <v>2322</v>
      </c>
      <c r="E41" s="11" t="s">
        <v>2323</v>
      </c>
      <c r="F41" s="11" t="s">
        <v>180</v>
      </c>
      <c r="G41" s="11" t="s">
        <v>2315</v>
      </c>
      <c r="H41" s="11" t="s">
        <v>2324</v>
      </c>
      <c r="I41" s="11"/>
      <c r="J41" s="11"/>
      <c r="K41" s="11"/>
    </row>
    <row r="42" spans="1:11" ht="26" x14ac:dyDescent="0.35">
      <c r="A42" s="11" t="s">
        <v>387</v>
      </c>
      <c r="B42" s="11">
        <v>37</v>
      </c>
      <c r="C42" s="11" t="s">
        <v>16</v>
      </c>
      <c r="D42" s="11" t="s">
        <v>2322</v>
      </c>
      <c r="E42" s="11" t="s">
        <v>2323</v>
      </c>
      <c r="F42" s="11" t="s">
        <v>387</v>
      </c>
      <c r="G42" s="11" t="s">
        <v>2315</v>
      </c>
      <c r="H42" s="11" t="s">
        <v>2324</v>
      </c>
      <c r="I42" s="11"/>
      <c r="J42" s="11"/>
      <c r="K42" s="11"/>
    </row>
    <row r="43" spans="1:11" ht="26" x14ac:dyDescent="0.35">
      <c r="A43" s="11" t="s">
        <v>524</v>
      </c>
      <c r="B43" s="11">
        <v>12</v>
      </c>
      <c r="C43" s="11" t="s">
        <v>28</v>
      </c>
      <c r="D43" s="11" t="s">
        <v>2322</v>
      </c>
      <c r="E43" s="11" t="s">
        <v>2323</v>
      </c>
      <c r="F43" s="11" t="s">
        <v>524</v>
      </c>
      <c r="G43" s="11" t="s">
        <v>2315</v>
      </c>
      <c r="H43" s="11" t="s">
        <v>2324</v>
      </c>
      <c r="I43" s="11"/>
      <c r="J43" s="11"/>
      <c r="K43" s="11"/>
    </row>
    <row r="44" spans="1:11" ht="26" x14ac:dyDescent="0.35">
      <c r="A44" s="11" t="s">
        <v>458</v>
      </c>
      <c r="B44" s="11">
        <v>4</v>
      </c>
      <c r="C44" s="11" t="s">
        <v>17</v>
      </c>
      <c r="D44" s="11" t="s">
        <v>2322</v>
      </c>
      <c r="E44" s="11" t="s">
        <v>2323</v>
      </c>
      <c r="F44" s="11" t="s">
        <v>458</v>
      </c>
      <c r="G44" s="11" t="s">
        <v>2315</v>
      </c>
      <c r="H44" s="11" t="s">
        <v>2324</v>
      </c>
      <c r="I44" s="11"/>
      <c r="J44" s="11"/>
      <c r="K44" s="11"/>
    </row>
    <row r="45" spans="1:11" ht="26" x14ac:dyDescent="0.35">
      <c r="A45" s="11" t="s">
        <v>143</v>
      </c>
      <c r="B45" s="11">
        <v>2</v>
      </c>
      <c r="C45" s="11" t="s">
        <v>5</v>
      </c>
      <c r="D45" s="11" t="s">
        <v>2322</v>
      </c>
      <c r="E45" s="11" t="s">
        <v>2323</v>
      </c>
      <c r="F45" s="11" t="s">
        <v>143</v>
      </c>
      <c r="G45" s="11" t="s">
        <v>2315</v>
      </c>
      <c r="H45" s="11" t="s">
        <v>2324</v>
      </c>
      <c r="I45" s="11"/>
      <c r="J45" s="11"/>
      <c r="K45" s="11"/>
    </row>
    <row r="46" spans="1:11" ht="26" x14ac:dyDescent="0.35">
      <c r="A46" s="11" t="s">
        <v>106</v>
      </c>
      <c r="B46" s="11">
        <v>4</v>
      </c>
      <c r="C46" s="11" t="s">
        <v>5</v>
      </c>
      <c r="D46" s="11" t="s">
        <v>2322</v>
      </c>
      <c r="E46" s="11" t="s">
        <v>2323</v>
      </c>
      <c r="F46" s="11" t="s">
        <v>106</v>
      </c>
      <c r="G46" s="11" t="s">
        <v>2315</v>
      </c>
      <c r="H46" s="11" t="s">
        <v>2324</v>
      </c>
      <c r="I46" s="11"/>
      <c r="J46" s="11"/>
      <c r="K46" s="11"/>
    </row>
    <row r="47" spans="1:11" ht="26" x14ac:dyDescent="0.35">
      <c r="A47" s="11" t="s">
        <v>2822</v>
      </c>
      <c r="B47" s="11">
        <v>4</v>
      </c>
      <c r="C47" s="11" t="s">
        <v>3</v>
      </c>
      <c r="D47" s="11" t="s">
        <v>2322</v>
      </c>
      <c r="E47" s="11" t="s">
        <v>2323</v>
      </c>
      <c r="F47" s="11" t="s">
        <v>2822</v>
      </c>
      <c r="G47" s="11" t="s">
        <v>2315</v>
      </c>
      <c r="H47" s="11" t="s">
        <v>2324</v>
      </c>
      <c r="I47" s="11"/>
      <c r="J47" s="11"/>
      <c r="K47" s="11"/>
    </row>
    <row r="48" spans="1:11" ht="26" x14ac:dyDescent="0.35">
      <c r="A48" s="11" t="s">
        <v>2833</v>
      </c>
      <c r="B48" s="11">
        <v>5</v>
      </c>
      <c r="C48" s="11" t="s">
        <v>3</v>
      </c>
      <c r="D48" s="11" t="s">
        <v>2322</v>
      </c>
      <c r="E48" s="11" t="s">
        <v>2323</v>
      </c>
      <c r="F48" s="11" t="s">
        <v>2833</v>
      </c>
      <c r="G48" s="11" t="s">
        <v>2315</v>
      </c>
      <c r="H48" s="11" t="s">
        <v>2324</v>
      </c>
      <c r="I48" s="11"/>
      <c r="J48" s="11"/>
      <c r="K48" s="11"/>
    </row>
    <row r="49" spans="1:11" ht="26" x14ac:dyDescent="0.35">
      <c r="A49" s="11" t="s">
        <v>496</v>
      </c>
      <c r="B49" s="11">
        <v>14</v>
      </c>
      <c r="C49" s="11" t="s">
        <v>28</v>
      </c>
      <c r="D49" s="11" t="s">
        <v>2322</v>
      </c>
      <c r="E49" s="11" t="s">
        <v>2323</v>
      </c>
      <c r="F49" s="11" t="s">
        <v>496</v>
      </c>
      <c r="G49" s="11" t="s">
        <v>2315</v>
      </c>
      <c r="H49" s="11" t="s">
        <v>2324</v>
      </c>
      <c r="I49" s="11"/>
      <c r="J49" s="11"/>
      <c r="K49" s="11"/>
    </row>
    <row r="50" spans="1:11" ht="26" x14ac:dyDescent="0.35">
      <c r="A50" s="11" t="s">
        <v>330</v>
      </c>
      <c r="B50" s="11">
        <v>5</v>
      </c>
      <c r="C50" s="11" t="s">
        <v>14</v>
      </c>
      <c r="D50" s="11" t="s">
        <v>2322</v>
      </c>
      <c r="E50" s="11" t="s">
        <v>2323</v>
      </c>
      <c r="F50" s="11" t="s">
        <v>330</v>
      </c>
      <c r="G50" s="11" t="s">
        <v>2315</v>
      </c>
      <c r="H50" s="11" t="s">
        <v>2324</v>
      </c>
      <c r="I50" s="11"/>
      <c r="J50" s="11"/>
      <c r="K50" s="11"/>
    </row>
    <row r="51" spans="1:11" ht="26" x14ac:dyDescent="0.35">
      <c r="A51" s="11" t="s">
        <v>316</v>
      </c>
      <c r="B51" s="11">
        <v>4</v>
      </c>
      <c r="C51" s="11" t="s">
        <v>14</v>
      </c>
      <c r="D51" s="11" t="s">
        <v>2322</v>
      </c>
      <c r="E51" s="11" t="s">
        <v>2323</v>
      </c>
      <c r="F51" s="11" t="s">
        <v>316</v>
      </c>
      <c r="G51" s="11" t="s">
        <v>2315</v>
      </c>
      <c r="H51" s="11" t="s">
        <v>2324</v>
      </c>
      <c r="I51" s="11"/>
      <c r="J51" s="11"/>
      <c r="K51" s="11"/>
    </row>
    <row r="52" spans="1:11" ht="26" x14ac:dyDescent="0.35">
      <c r="A52" s="11" t="s">
        <v>222</v>
      </c>
      <c r="B52" s="11">
        <v>4</v>
      </c>
      <c r="C52" s="11" t="s">
        <v>11</v>
      </c>
      <c r="D52" s="11" t="s">
        <v>2322</v>
      </c>
      <c r="E52" s="11" t="s">
        <v>2323</v>
      </c>
      <c r="F52" s="11" t="s">
        <v>222</v>
      </c>
      <c r="G52" s="11" t="s">
        <v>2315</v>
      </c>
      <c r="H52" s="11" t="s">
        <v>2324</v>
      </c>
      <c r="I52" s="11"/>
      <c r="J52" s="11"/>
      <c r="K52" s="11"/>
    </row>
    <row r="53" spans="1:11" ht="26" x14ac:dyDescent="0.35">
      <c r="A53" s="11" t="s">
        <v>336</v>
      </c>
      <c r="B53" s="11">
        <v>1</v>
      </c>
      <c r="C53" s="11" t="s">
        <v>14</v>
      </c>
      <c r="D53" s="11" t="s">
        <v>2322</v>
      </c>
      <c r="E53" s="11" t="s">
        <v>2323</v>
      </c>
      <c r="F53" s="11" t="s">
        <v>336</v>
      </c>
      <c r="G53" s="11" t="s">
        <v>2315</v>
      </c>
      <c r="H53" s="11" t="s">
        <v>2324</v>
      </c>
      <c r="I53" s="11"/>
      <c r="J53" s="11"/>
      <c r="K53" s="11"/>
    </row>
    <row r="54" spans="1:11" ht="26" x14ac:dyDescent="0.35">
      <c r="A54" s="11" t="s">
        <v>214</v>
      </c>
      <c r="B54" s="11">
        <v>7</v>
      </c>
      <c r="C54" s="11" t="s">
        <v>11</v>
      </c>
      <c r="D54" s="11" t="s">
        <v>2322</v>
      </c>
      <c r="E54" s="11" t="s">
        <v>2323</v>
      </c>
      <c r="F54" s="11" t="s">
        <v>214</v>
      </c>
      <c r="G54" s="11" t="s">
        <v>2315</v>
      </c>
      <c r="H54" s="11" t="s">
        <v>2324</v>
      </c>
      <c r="I54" s="11"/>
      <c r="J54" s="11"/>
      <c r="K54" s="11"/>
    </row>
    <row r="55" spans="1:11" ht="26" x14ac:dyDescent="0.35">
      <c r="A55" s="11" t="s">
        <v>480</v>
      </c>
      <c r="B55" s="11">
        <v>15</v>
      </c>
      <c r="C55" s="11" t="s">
        <v>28</v>
      </c>
      <c r="D55" s="11" t="s">
        <v>2322</v>
      </c>
      <c r="E55" s="11" t="s">
        <v>2323</v>
      </c>
      <c r="F55" s="11" t="s">
        <v>480</v>
      </c>
      <c r="G55" s="11" t="s">
        <v>2315</v>
      </c>
      <c r="H55" s="11" t="s">
        <v>2324</v>
      </c>
      <c r="I55" s="11"/>
      <c r="J55" s="11"/>
      <c r="K55" s="11"/>
    </row>
    <row r="56" spans="1:11" ht="26" x14ac:dyDescent="0.35">
      <c r="A56" s="11" t="s">
        <v>210</v>
      </c>
      <c r="B56" s="11">
        <v>3</v>
      </c>
      <c r="C56" s="11" t="s">
        <v>11</v>
      </c>
      <c r="D56" s="11" t="s">
        <v>2322</v>
      </c>
      <c r="E56" s="11" t="s">
        <v>2323</v>
      </c>
      <c r="F56" s="11" t="s">
        <v>210</v>
      </c>
      <c r="G56" s="11" t="s">
        <v>2315</v>
      </c>
      <c r="H56" s="11" t="s">
        <v>2324</v>
      </c>
      <c r="I56" s="11"/>
      <c r="J56" s="11"/>
      <c r="K56" s="11"/>
    </row>
    <row r="57" spans="1:11" ht="26" x14ac:dyDescent="0.35">
      <c r="A57" s="11" t="s">
        <v>447</v>
      </c>
      <c r="B57" s="11">
        <v>5</v>
      </c>
      <c r="C57" s="11" t="s">
        <v>16</v>
      </c>
      <c r="D57" s="11" t="s">
        <v>2322</v>
      </c>
      <c r="E57" s="11" t="s">
        <v>2323</v>
      </c>
      <c r="F57" s="11" t="s">
        <v>447</v>
      </c>
      <c r="G57" s="11" t="s">
        <v>2315</v>
      </c>
      <c r="H57" s="11" t="s">
        <v>2324</v>
      </c>
      <c r="I57" s="11"/>
      <c r="J57" s="11"/>
      <c r="K57" s="11"/>
    </row>
    <row r="58" spans="1:11" ht="26" x14ac:dyDescent="0.35">
      <c r="A58" s="11" t="s">
        <v>2861</v>
      </c>
      <c r="B58" s="11">
        <v>2</v>
      </c>
      <c r="C58" s="11" t="s">
        <v>2862</v>
      </c>
      <c r="D58" s="11" t="s">
        <v>2322</v>
      </c>
      <c r="E58" s="11" t="s">
        <v>2323</v>
      </c>
      <c r="F58" s="11" t="s">
        <v>2861</v>
      </c>
      <c r="G58" s="11" t="s">
        <v>2315</v>
      </c>
      <c r="H58" s="11" t="s">
        <v>2324</v>
      </c>
      <c r="I58" s="11"/>
      <c r="J58" s="11"/>
      <c r="K58" s="11"/>
    </row>
    <row r="59" spans="1:11" ht="26" x14ac:dyDescent="0.35">
      <c r="A59" s="11" t="s">
        <v>2828</v>
      </c>
      <c r="B59" s="11">
        <v>2</v>
      </c>
      <c r="C59" s="11" t="s">
        <v>3</v>
      </c>
      <c r="D59" s="11" t="s">
        <v>2322</v>
      </c>
      <c r="E59" s="11" t="s">
        <v>2323</v>
      </c>
      <c r="F59" s="11" t="s">
        <v>2828</v>
      </c>
      <c r="G59" s="11" t="s">
        <v>2315</v>
      </c>
      <c r="H59" s="11" t="s">
        <v>2324</v>
      </c>
      <c r="I59" s="11"/>
      <c r="J59" s="11"/>
      <c r="K59" s="11"/>
    </row>
    <row r="60" spans="1:11" ht="26" x14ac:dyDescent="0.35">
      <c r="A60" s="11" t="s">
        <v>152</v>
      </c>
      <c r="B60" s="11">
        <v>5</v>
      </c>
      <c r="C60" s="11" t="s">
        <v>7</v>
      </c>
      <c r="D60" s="11" t="s">
        <v>2322</v>
      </c>
      <c r="E60" s="11" t="s">
        <v>2323</v>
      </c>
      <c r="F60" s="11" t="s">
        <v>152</v>
      </c>
      <c r="G60" s="11" t="s">
        <v>2315</v>
      </c>
      <c r="H60" s="11" t="s">
        <v>2324</v>
      </c>
      <c r="I60" s="11"/>
      <c r="J60" s="11"/>
      <c r="K60" s="11"/>
    </row>
    <row r="61" spans="1:11" ht="26" x14ac:dyDescent="0.35">
      <c r="A61" s="11" t="s">
        <v>284</v>
      </c>
      <c r="B61" s="11">
        <v>12</v>
      </c>
      <c r="C61" s="11" t="s">
        <v>13</v>
      </c>
      <c r="D61" s="11" t="s">
        <v>2322</v>
      </c>
      <c r="E61" s="11" t="s">
        <v>2323</v>
      </c>
      <c r="F61" s="11" t="s">
        <v>284</v>
      </c>
      <c r="G61" s="11" t="s">
        <v>2315</v>
      </c>
      <c r="H61" s="11" t="s">
        <v>2324</v>
      </c>
      <c r="I61" s="11"/>
      <c r="J61" s="11"/>
      <c r="K61" s="11"/>
    </row>
    <row r="62" spans="1:11" ht="26" x14ac:dyDescent="0.35">
      <c r="A62" s="11" t="s">
        <v>202</v>
      </c>
      <c r="B62" s="11">
        <v>3</v>
      </c>
      <c r="C62" s="11" t="s">
        <v>11</v>
      </c>
      <c r="D62" s="11" t="s">
        <v>2322</v>
      </c>
      <c r="E62" s="11" t="s">
        <v>2323</v>
      </c>
      <c r="F62" s="11" t="s">
        <v>202</v>
      </c>
      <c r="G62" s="11" t="s">
        <v>2315</v>
      </c>
      <c r="H62" s="11" t="s">
        <v>2324</v>
      </c>
      <c r="I62" s="11"/>
      <c r="J62" s="11"/>
      <c r="K62" s="11"/>
    </row>
    <row r="63" spans="1:11" ht="26" x14ac:dyDescent="0.35">
      <c r="A63" s="11" t="s">
        <v>2823</v>
      </c>
      <c r="B63" s="11">
        <v>4</v>
      </c>
      <c r="C63" s="11" t="s">
        <v>3</v>
      </c>
      <c r="D63" s="11" t="s">
        <v>2322</v>
      </c>
      <c r="E63" s="11" t="s">
        <v>2323</v>
      </c>
      <c r="F63" s="11" t="s">
        <v>2823</v>
      </c>
      <c r="G63" s="11" t="s">
        <v>2315</v>
      </c>
      <c r="H63" s="11" t="s">
        <v>2324</v>
      </c>
      <c r="I63" s="11"/>
      <c r="J63" s="11"/>
      <c r="K63" s="11"/>
    </row>
    <row r="64" spans="1:11" ht="26" x14ac:dyDescent="0.35">
      <c r="A64" s="11" t="s">
        <v>2834</v>
      </c>
      <c r="B64" s="11">
        <v>2</v>
      </c>
      <c r="C64" s="11" t="s">
        <v>3</v>
      </c>
      <c r="D64" s="11" t="s">
        <v>2322</v>
      </c>
      <c r="E64" s="11" t="s">
        <v>2323</v>
      </c>
      <c r="F64" s="11" t="s">
        <v>2834</v>
      </c>
      <c r="G64" s="11" t="s">
        <v>2315</v>
      </c>
      <c r="H64" s="11" t="s">
        <v>2324</v>
      </c>
      <c r="I64" s="11"/>
      <c r="J64" s="11"/>
      <c r="K64" s="11"/>
    </row>
    <row r="65" spans="1:11" ht="26" x14ac:dyDescent="0.35">
      <c r="A65" s="11" t="s">
        <v>227</v>
      </c>
      <c r="B65" s="11">
        <v>12</v>
      </c>
      <c r="C65" s="11" t="s">
        <v>11</v>
      </c>
      <c r="D65" s="11" t="s">
        <v>2322</v>
      </c>
      <c r="E65" s="11" t="s">
        <v>2323</v>
      </c>
      <c r="F65" s="11" t="s">
        <v>227</v>
      </c>
      <c r="G65" s="11" t="s">
        <v>2315</v>
      </c>
      <c r="H65" s="11" t="s">
        <v>2324</v>
      </c>
      <c r="I65" s="11"/>
      <c r="J65" s="11"/>
      <c r="K65" s="11"/>
    </row>
    <row r="66" spans="1:11" ht="26" x14ac:dyDescent="0.35">
      <c r="A66" s="11" t="s">
        <v>2829</v>
      </c>
      <c r="B66" s="11">
        <v>2</v>
      </c>
      <c r="C66" s="11" t="s">
        <v>3</v>
      </c>
      <c r="D66" s="11" t="s">
        <v>2322</v>
      </c>
      <c r="E66" s="11" t="s">
        <v>2323</v>
      </c>
      <c r="F66" s="11" t="s">
        <v>2829</v>
      </c>
      <c r="G66" s="11" t="s">
        <v>2315</v>
      </c>
      <c r="H66" s="11" t="s">
        <v>2324</v>
      </c>
      <c r="I66" s="11"/>
      <c r="J66" s="11"/>
      <c r="K66" s="11"/>
    </row>
    <row r="67" spans="1:11" ht="26" x14ac:dyDescent="0.35">
      <c r="A67" s="11" t="s">
        <v>2855</v>
      </c>
      <c r="B67" s="11">
        <v>1</v>
      </c>
      <c r="C67" s="11" t="s">
        <v>3</v>
      </c>
      <c r="D67" s="11" t="s">
        <v>2322</v>
      </c>
      <c r="E67" s="11" t="s">
        <v>2323</v>
      </c>
      <c r="F67" s="11" t="s">
        <v>2855</v>
      </c>
      <c r="G67" s="11" t="s">
        <v>2315</v>
      </c>
      <c r="H67" s="11" t="s">
        <v>2324</v>
      </c>
      <c r="I67" s="11"/>
      <c r="J67" s="11"/>
      <c r="K67" s="11"/>
    </row>
    <row r="68" spans="1:11" ht="26" x14ac:dyDescent="0.35">
      <c r="A68" s="11" t="s">
        <v>53</v>
      </c>
      <c r="B68" s="11">
        <v>2</v>
      </c>
      <c r="C68" s="11" t="s">
        <v>1</v>
      </c>
      <c r="D68" s="11" t="s">
        <v>2322</v>
      </c>
      <c r="E68" s="11" t="s">
        <v>2323</v>
      </c>
      <c r="F68" s="11" t="s">
        <v>53</v>
      </c>
      <c r="G68" s="11" t="s">
        <v>2315</v>
      </c>
      <c r="H68" s="11" t="s">
        <v>2324</v>
      </c>
      <c r="I68" s="11"/>
      <c r="J68" s="11"/>
      <c r="K68" s="11"/>
    </row>
    <row r="69" spans="1:11" ht="26" x14ac:dyDescent="0.35">
      <c r="A69" s="11" t="s">
        <v>511</v>
      </c>
      <c r="B69" s="11">
        <v>12</v>
      </c>
      <c r="C69" s="11" t="s">
        <v>28</v>
      </c>
      <c r="D69" s="11" t="s">
        <v>2322</v>
      </c>
      <c r="E69" s="11" t="s">
        <v>2323</v>
      </c>
      <c r="F69" s="11" t="s">
        <v>511</v>
      </c>
      <c r="G69" s="11" t="s">
        <v>2315</v>
      </c>
      <c r="H69" s="11" t="s">
        <v>2324</v>
      </c>
      <c r="I69" s="11"/>
      <c r="J69" s="11"/>
      <c r="K69" s="11"/>
    </row>
    <row r="70" spans="1:11" ht="26" x14ac:dyDescent="0.35">
      <c r="A70" s="11" t="s">
        <v>443</v>
      </c>
      <c r="B70" s="11">
        <v>3</v>
      </c>
      <c r="C70" s="11" t="s">
        <v>16</v>
      </c>
      <c r="D70" s="11" t="s">
        <v>2322</v>
      </c>
      <c r="E70" s="11" t="s">
        <v>2323</v>
      </c>
      <c r="F70" s="11" t="s">
        <v>443</v>
      </c>
      <c r="G70" s="11" t="s">
        <v>2315</v>
      </c>
      <c r="H70" s="11" t="s">
        <v>2324</v>
      </c>
      <c r="I70" s="11"/>
      <c r="J70" s="11"/>
      <c r="K70" s="11"/>
    </row>
    <row r="71" spans="1:11" ht="26" x14ac:dyDescent="0.35">
      <c r="A71" s="11" t="s">
        <v>140</v>
      </c>
      <c r="B71" s="11">
        <v>2</v>
      </c>
      <c r="C71" s="11" t="s">
        <v>5</v>
      </c>
      <c r="D71" s="11" t="s">
        <v>2322</v>
      </c>
      <c r="E71" s="11" t="s">
        <v>2323</v>
      </c>
      <c r="F71" s="11" t="s">
        <v>140</v>
      </c>
      <c r="G71" s="11" t="s">
        <v>2315</v>
      </c>
      <c r="H71" s="11" t="s">
        <v>2324</v>
      </c>
      <c r="I71" s="11"/>
      <c r="J71" s="11"/>
      <c r="K71" s="11"/>
    </row>
    <row r="72" spans="1:11" ht="26" x14ac:dyDescent="0.35">
      <c r="A72" s="11" t="s">
        <v>568</v>
      </c>
      <c r="B72" s="11">
        <v>22</v>
      </c>
      <c r="C72" s="11" t="s">
        <v>28</v>
      </c>
      <c r="D72" s="11" t="s">
        <v>2322</v>
      </c>
      <c r="E72" s="11" t="s">
        <v>2323</v>
      </c>
      <c r="F72" s="11" t="s">
        <v>568</v>
      </c>
      <c r="G72" s="11" t="s">
        <v>2315</v>
      </c>
      <c r="H72" s="11" t="s">
        <v>2324</v>
      </c>
      <c r="I72" s="11"/>
      <c r="J72" s="11"/>
      <c r="K72" s="11"/>
    </row>
    <row r="73" spans="1:11" ht="26" x14ac:dyDescent="0.35">
      <c r="A73" s="11" t="s">
        <v>158</v>
      </c>
      <c r="B73" s="11">
        <v>5</v>
      </c>
      <c r="C73" s="11" t="s">
        <v>7</v>
      </c>
      <c r="D73" s="11" t="s">
        <v>2322</v>
      </c>
      <c r="E73" s="11" t="s">
        <v>2323</v>
      </c>
      <c r="F73" s="11" t="s">
        <v>158</v>
      </c>
      <c r="G73" s="11" t="s">
        <v>2315</v>
      </c>
      <c r="H73" s="11" t="s">
        <v>2324</v>
      </c>
      <c r="I73" s="11"/>
      <c r="J73" s="11"/>
      <c r="K73" s="11"/>
    </row>
    <row r="74" spans="1:11" ht="26" x14ac:dyDescent="0.35">
      <c r="A74" s="11" t="s">
        <v>338</v>
      </c>
      <c r="B74" s="11">
        <v>28</v>
      </c>
      <c r="C74" s="11" t="s">
        <v>14</v>
      </c>
      <c r="D74" s="11" t="s">
        <v>2322</v>
      </c>
      <c r="E74" s="11" t="s">
        <v>2323</v>
      </c>
      <c r="F74" s="11" t="s">
        <v>338</v>
      </c>
      <c r="G74" s="11" t="s">
        <v>2315</v>
      </c>
      <c r="H74" s="11" t="s">
        <v>2324</v>
      </c>
      <c r="I74" s="11"/>
      <c r="J74" s="11"/>
      <c r="K74" s="11"/>
    </row>
    <row r="75" spans="1:11" ht="26" x14ac:dyDescent="0.35">
      <c r="A75" s="11" t="s">
        <v>312</v>
      </c>
      <c r="B75" s="11">
        <v>1</v>
      </c>
      <c r="C75" s="11" t="s">
        <v>13</v>
      </c>
      <c r="D75" s="11" t="s">
        <v>2322</v>
      </c>
      <c r="E75" s="11" t="s">
        <v>2323</v>
      </c>
      <c r="F75" s="11" t="s">
        <v>312</v>
      </c>
      <c r="G75" s="11" t="s">
        <v>2315</v>
      </c>
      <c r="H75" s="11" t="s">
        <v>2324</v>
      </c>
      <c r="I75" s="11"/>
      <c r="J75" s="11"/>
      <c r="K75" s="11"/>
    </row>
    <row r="76" spans="1:11" ht="26" x14ac:dyDescent="0.35">
      <c r="A76" s="11" t="s">
        <v>164</v>
      </c>
      <c r="B76" s="11">
        <v>4</v>
      </c>
      <c r="C76" s="11" t="s">
        <v>7</v>
      </c>
      <c r="D76" s="11" t="s">
        <v>2322</v>
      </c>
      <c r="E76" s="11" t="s">
        <v>2323</v>
      </c>
      <c r="F76" s="11" t="s">
        <v>164</v>
      </c>
      <c r="G76" s="11" t="s">
        <v>2315</v>
      </c>
      <c r="H76" s="11" t="s">
        <v>2324</v>
      </c>
      <c r="I76" s="11"/>
      <c r="J76" s="11"/>
      <c r="K76" s="11"/>
    </row>
    <row r="77" spans="1:11" ht="26" x14ac:dyDescent="0.35">
      <c r="A77" s="11" t="s">
        <v>240</v>
      </c>
      <c r="B77" s="11">
        <v>9</v>
      </c>
      <c r="C77" s="11" t="s">
        <v>13</v>
      </c>
      <c r="D77" s="11" t="s">
        <v>2322</v>
      </c>
      <c r="E77" s="11" t="s">
        <v>2323</v>
      </c>
      <c r="F77" s="11" t="s">
        <v>240</v>
      </c>
      <c r="G77" s="11" t="s">
        <v>2315</v>
      </c>
      <c r="H77" s="11" t="s">
        <v>2324</v>
      </c>
      <c r="I77" s="11"/>
      <c r="J77" s="11"/>
      <c r="K77" s="11"/>
    </row>
    <row r="78" spans="1:11" ht="26" x14ac:dyDescent="0.35">
      <c r="A78" s="11" t="s">
        <v>124</v>
      </c>
      <c r="B78" s="11">
        <v>4</v>
      </c>
      <c r="C78" s="11" t="s">
        <v>5</v>
      </c>
      <c r="D78" s="11" t="s">
        <v>2322</v>
      </c>
      <c r="E78" s="11" t="s">
        <v>2323</v>
      </c>
      <c r="F78" s="11" t="s">
        <v>124</v>
      </c>
      <c r="G78" s="11" t="s">
        <v>2315</v>
      </c>
      <c r="H78" s="11" t="s">
        <v>2324</v>
      </c>
      <c r="I78" s="11"/>
      <c r="J78" s="11"/>
      <c r="K78" s="11"/>
    </row>
    <row r="79" spans="1:11" ht="26" x14ac:dyDescent="0.35">
      <c r="A79" s="11" t="s">
        <v>465</v>
      </c>
      <c r="B79" s="11">
        <v>1</v>
      </c>
      <c r="C79" s="11" t="s">
        <v>17</v>
      </c>
      <c r="D79" s="11" t="s">
        <v>2322</v>
      </c>
      <c r="E79" s="11" t="s">
        <v>2323</v>
      </c>
      <c r="F79" s="11" t="s">
        <v>465</v>
      </c>
      <c r="G79" s="11" t="s">
        <v>2315</v>
      </c>
      <c r="H79" s="11" t="s">
        <v>2324</v>
      </c>
      <c r="I79" s="11"/>
      <c r="J79" s="11"/>
      <c r="K79" s="11"/>
    </row>
    <row r="80" spans="1:11" ht="26" x14ac:dyDescent="0.35">
      <c r="A80" s="11" t="s">
        <v>206</v>
      </c>
      <c r="B80" s="11">
        <v>3</v>
      </c>
      <c r="C80" s="11" t="s">
        <v>11</v>
      </c>
      <c r="D80" s="11" t="s">
        <v>2322</v>
      </c>
      <c r="E80" s="11" t="s">
        <v>2323</v>
      </c>
      <c r="F80" s="11" t="s">
        <v>206</v>
      </c>
      <c r="G80" s="11" t="s">
        <v>2315</v>
      </c>
      <c r="H80" s="11" t="s">
        <v>2324</v>
      </c>
      <c r="I80" s="11"/>
      <c r="J80" s="11"/>
      <c r="K80" s="11"/>
    </row>
    <row r="81" spans="1:11" ht="26" x14ac:dyDescent="0.35">
      <c r="A81" s="11" t="s">
        <v>2830</v>
      </c>
      <c r="B81" s="11">
        <v>3</v>
      </c>
      <c r="C81" s="11" t="s">
        <v>3</v>
      </c>
      <c r="D81" s="11" t="s">
        <v>2322</v>
      </c>
      <c r="E81" s="11" t="s">
        <v>2323</v>
      </c>
      <c r="F81" s="11" t="s">
        <v>2830</v>
      </c>
      <c r="G81" s="11" t="s">
        <v>2315</v>
      </c>
      <c r="H81" s="11" t="s">
        <v>2324</v>
      </c>
      <c r="I81" s="11"/>
      <c r="J81" s="11"/>
      <c r="K81" s="11"/>
    </row>
    <row r="82" spans="1:11" ht="26" x14ac:dyDescent="0.35">
      <c r="A82" s="11" t="s">
        <v>425</v>
      </c>
      <c r="B82" s="11">
        <v>17</v>
      </c>
      <c r="C82" s="11" t="s">
        <v>16</v>
      </c>
      <c r="D82" s="11" t="s">
        <v>2322</v>
      </c>
      <c r="E82" s="11" t="s">
        <v>2323</v>
      </c>
      <c r="F82" s="11" t="s">
        <v>425</v>
      </c>
      <c r="G82" s="11" t="s">
        <v>2315</v>
      </c>
      <c r="H82" s="11" t="s">
        <v>2324</v>
      </c>
      <c r="I82" s="11"/>
      <c r="J82" s="11"/>
      <c r="K82" s="11"/>
    </row>
    <row r="83" spans="1:11" ht="26" x14ac:dyDescent="0.35">
      <c r="A83" s="11" t="s">
        <v>303</v>
      </c>
      <c r="B83" s="11">
        <v>6</v>
      </c>
      <c r="C83" s="11" t="s">
        <v>13</v>
      </c>
      <c r="D83" s="11" t="s">
        <v>2322</v>
      </c>
      <c r="E83" s="11" t="s">
        <v>2323</v>
      </c>
      <c r="F83" s="11" t="s">
        <v>303</v>
      </c>
      <c r="G83" s="11" t="s">
        <v>2315</v>
      </c>
      <c r="H83" s="11" t="s">
        <v>2324</v>
      </c>
      <c r="I83" s="11"/>
      <c r="J83" s="11"/>
      <c r="K83" s="11"/>
    </row>
    <row r="84" spans="1:11" ht="26" x14ac:dyDescent="0.35">
      <c r="A84" s="11" t="s">
        <v>293</v>
      </c>
      <c r="B84" s="11">
        <v>9</v>
      </c>
      <c r="C84" s="11" t="s">
        <v>13</v>
      </c>
      <c r="D84" s="11" t="s">
        <v>2322</v>
      </c>
      <c r="E84" s="11" t="s">
        <v>2323</v>
      </c>
      <c r="F84" s="11" t="s">
        <v>293</v>
      </c>
      <c r="G84" s="11" t="s">
        <v>2315</v>
      </c>
      <c r="H84" s="11" t="s">
        <v>2324</v>
      </c>
      <c r="I84" s="11"/>
      <c r="J84" s="11"/>
      <c r="K84" s="11"/>
    </row>
    <row r="85" spans="1:11" ht="26" x14ac:dyDescent="0.35">
      <c r="A85" s="11" t="s">
        <v>310</v>
      </c>
      <c r="B85" s="11">
        <v>1</v>
      </c>
      <c r="C85" s="11" t="s">
        <v>13</v>
      </c>
      <c r="D85" s="11" t="s">
        <v>2322</v>
      </c>
      <c r="E85" s="11" t="s">
        <v>2323</v>
      </c>
      <c r="F85" s="11" t="s">
        <v>310</v>
      </c>
      <c r="G85" s="11" t="s">
        <v>2315</v>
      </c>
      <c r="H85" s="11" t="s">
        <v>2324</v>
      </c>
      <c r="I85" s="11"/>
      <c r="J85" s="11"/>
      <c r="K85" s="11"/>
    </row>
    <row r="86" spans="1:11" ht="26" x14ac:dyDescent="0.35">
      <c r="A86" s="11" t="s">
        <v>146</v>
      </c>
      <c r="B86" s="11">
        <v>6</v>
      </c>
      <c r="C86" s="11" t="s">
        <v>2860</v>
      </c>
      <c r="D86" s="11" t="s">
        <v>2322</v>
      </c>
      <c r="E86" s="11" t="s">
        <v>2323</v>
      </c>
      <c r="F86" s="11" t="s">
        <v>146</v>
      </c>
      <c r="G86" s="11" t="s">
        <v>2315</v>
      </c>
      <c r="H86" s="11" t="s">
        <v>2324</v>
      </c>
      <c r="I86" s="11"/>
      <c r="J86" s="11"/>
      <c r="K86" s="11"/>
    </row>
    <row r="87" spans="1:11" ht="26" x14ac:dyDescent="0.35">
      <c r="A87" s="11" t="s">
        <v>177</v>
      </c>
      <c r="B87" s="11">
        <v>2</v>
      </c>
      <c r="C87" s="11" t="s">
        <v>9</v>
      </c>
      <c r="D87" s="11" t="s">
        <v>2322</v>
      </c>
      <c r="E87" s="11" t="s">
        <v>2323</v>
      </c>
      <c r="F87" s="11" t="s">
        <v>177</v>
      </c>
      <c r="G87" s="11" t="s">
        <v>2315</v>
      </c>
      <c r="H87" s="11" t="s">
        <v>2324</v>
      </c>
      <c r="I87" s="11"/>
      <c r="J87" s="11"/>
      <c r="K87" s="11"/>
    </row>
    <row r="88" spans="1:11" ht="26" x14ac:dyDescent="0.35">
      <c r="A88" s="11" t="s">
        <v>256</v>
      </c>
      <c r="B88" s="11">
        <v>30</v>
      </c>
      <c r="C88" s="11" t="s">
        <v>13</v>
      </c>
      <c r="D88" s="11" t="s">
        <v>2322</v>
      </c>
      <c r="E88" s="11" t="s">
        <v>2323</v>
      </c>
      <c r="F88" s="11" t="s">
        <v>256</v>
      </c>
      <c r="G88" s="11" t="s">
        <v>2315</v>
      </c>
      <c r="H88" s="11" t="s">
        <v>2324</v>
      </c>
      <c r="I88" s="11"/>
      <c r="J88" s="11"/>
      <c r="K88" s="11"/>
    </row>
    <row r="89" spans="1:11" ht="26" x14ac:dyDescent="0.35">
      <c r="A89" s="11" t="s">
        <v>250</v>
      </c>
      <c r="B89" s="11">
        <v>5</v>
      </c>
      <c r="C89" s="11" t="s">
        <v>13</v>
      </c>
      <c r="D89" s="11" t="s">
        <v>2322</v>
      </c>
      <c r="E89" s="11" t="s">
        <v>2323</v>
      </c>
      <c r="F89" s="11" t="s">
        <v>250</v>
      </c>
      <c r="G89" s="11" t="s">
        <v>2315</v>
      </c>
      <c r="H89" s="11" t="s">
        <v>2324</v>
      </c>
      <c r="I89" s="11"/>
      <c r="J89" s="11"/>
      <c r="K89" s="11"/>
    </row>
    <row r="90" spans="1:11" ht="26" x14ac:dyDescent="0.35">
      <c r="A90" s="11" t="s">
        <v>377</v>
      </c>
      <c r="B90" s="11">
        <v>9</v>
      </c>
      <c r="C90" s="11" t="s">
        <v>14</v>
      </c>
      <c r="D90" s="11" t="s">
        <v>2322</v>
      </c>
      <c r="E90" s="11" t="s">
        <v>2323</v>
      </c>
      <c r="F90" s="11" t="s">
        <v>377</v>
      </c>
      <c r="G90" s="11" t="s">
        <v>2315</v>
      </c>
      <c r="H90" s="11" t="s">
        <v>2324</v>
      </c>
      <c r="I90" s="11"/>
      <c r="J90" s="11"/>
      <c r="K90" s="11"/>
    </row>
    <row r="91" spans="1:11" ht="26" x14ac:dyDescent="0.35">
      <c r="A91" s="11" t="s">
        <v>134</v>
      </c>
      <c r="B91" s="11">
        <v>5</v>
      </c>
      <c r="C91" s="11" t="s">
        <v>5</v>
      </c>
      <c r="D91" s="11" t="s">
        <v>2322</v>
      </c>
      <c r="E91" s="11" t="s">
        <v>2323</v>
      </c>
      <c r="F91" s="11" t="s">
        <v>134</v>
      </c>
      <c r="G91" s="11" t="s">
        <v>2315</v>
      </c>
      <c r="H91" s="11" t="s">
        <v>2324</v>
      </c>
      <c r="I91" s="11"/>
      <c r="J91" s="11"/>
      <c r="K91" s="11"/>
    </row>
    <row r="92" spans="1:11" ht="26" x14ac:dyDescent="0.35">
      <c r="A92" s="11" t="s">
        <v>453</v>
      </c>
      <c r="B92" s="11">
        <v>4</v>
      </c>
      <c r="C92" s="11" t="s">
        <v>17</v>
      </c>
      <c r="D92" s="11" t="s">
        <v>2322</v>
      </c>
      <c r="E92" s="11" t="s">
        <v>2323</v>
      </c>
      <c r="F92" s="11" t="s">
        <v>453</v>
      </c>
      <c r="G92" s="11" t="s">
        <v>2315</v>
      </c>
      <c r="H92" s="11" t="s">
        <v>2324</v>
      </c>
      <c r="I92" s="11"/>
      <c r="J92" s="11"/>
      <c r="K92" s="11"/>
    </row>
    <row r="93" spans="1:11" ht="26" x14ac:dyDescent="0.35">
      <c r="A93" s="11" t="s">
        <v>189</v>
      </c>
      <c r="B93" s="11">
        <v>9</v>
      </c>
      <c r="C93" s="11" t="s">
        <v>11</v>
      </c>
      <c r="D93" s="11" t="s">
        <v>2322</v>
      </c>
      <c r="E93" s="11" t="s">
        <v>2323</v>
      </c>
      <c r="F93" s="11" t="s">
        <v>189</v>
      </c>
      <c r="G93" s="11" t="s">
        <v>2315</v>
      </c>
      <c r="H93" s="11" t="s">
        <v>2324</v>
      </c>
      <c r="I93" s="11"/>
      <c r="J93" s="11"/>
      <c r="K93" s="11"/>
    </row>
    <row r="94" spans="1:11" ht="26" x14ac:dyDescent="0.35">
      <c r="A94" s="11" t="s">
        <v>31</v>
      </c>
      <c r="B94" s="11">
        <v>6</v>
      </c>
      <c r="C94" s="11" t="s">
        <v>1</v>
      </c>
      <c r="D94" s="11" t="s">
        <v>2322</v>
      </c>
      <c r="E94" s="11" t="s">
        <v>2323</v>
      </c>
      <c r="F94" s="11" t="s">
        <v>31</v>
      </c>
      <c r="G94" s="11" t="s">
        <v>2315</v>
      </c>
      <c r="H94" s="11" t="s">
        <v>2324</v>
      </c>
      <c r="I94" s="11"/>
      <c r="J94" s="11"/>
      <c r="K94" s="11"/>
    </row>
    <row r="95" spans="1:11" ht="26" x14ac:dyDescent="0.35">
      <c r="A95" s="11" t="s">
        <v>38</v>
      </c>
      <c r="B95" s="11">
        <v>8</v>
      </c>
      <c r="C95" s="11" t="s">
        <v>1</v>
      </c>
      <c r="D95" s="11" t="s">
        <v>2322</v>
      </c>
      <c r="E95" s="11" t="s">
        <v>2323</v>
      </c>
      <c r="F95" s="11" t="s">
        <v>38</v>
      </c>
      <c r="G95" s="11" t="s">
        <v>2315</v>
      </c>
      <c r="H95" s="11" t="s">
        <v>2324</v>
      </c>
      <c r="I95" s="11"/>
      <c r="J95" s="11"/>
      <c r="K95" s="11"/>
    </row>
    <row r="96" spans="1:11" ht="26" x14ac:dyDescent="0.35">
      <c r="A96" s="11" t="s">
        <v>2890</v>
      </c>
      <c r="B96" s="11">
        <v>1</v>
      </c>
      <c r="C96" s="11" t="s">
        <v>2862</v>
      </c>
      <c r="D96" s="11" t="s">
        <v>2322</v>
      </c>
      <c r="E96" s="11" t="s">
        <v>2323</v>
      </c>
      <c r="F96" s="11" t="s">
        <v>2890</v>
      </c>
      <c r="G96" s="11" t="s">
        <v>2315</v>
      </c>
      <c r="H96" s="11" t="s">
        <v>2324</v>
      </c>
      <c r="I96" s="11"/>
      <c r="J96" s="11"/>
      <c r="K96" s="11"/>
    </row>
    <row r="97" spans="1:11" ht="26" x14ac:dyDescent="0.35">
      <c r="A97" s="11" t="s">
        <v>129</v>
      </c>
      <c r="B97" s="11">
        <v>4</v>
      </c>
      <c r="C97" s="11" t="s">
        <v>5</v>
      </c>
      <c r="D97" s="11" t="s">
        <v>2322</v>
      </c>
      <c r="E97" s="11" t="s">
        <v>2323</v>
      </c>
      <c r="F97" s="11" t="s">
        <v>129</v>
      </c>
      <c r="G97" s="11" t="s">
        <v>2315</v>
      </c>
      <c r="H97" s="11" t="s">
        <v>2324</v>
      </c>
      <c r="I97" s="11"/>
      <c r="J97" s="11"/>
      <c r="K97" s="11"/>
    </row>
    <row r="98" spans="1:11" ht="26" x14ac:dyDescent="0.35">
      <c r="A98" s="11" t="s">
        <v>536</v>
      </c>
      <c r="B98" s="11">
        <v>7</v>
      </c>
      <c r="C98" s="11" t="s">
        <v>28</v>
      </c>
      <c r="D98" s="11" t="s">
        <v>2322</v>
      </c>
      <c r="E98" s="11" t="s">
        <v>2323</v>
      </c>
      <c r="F98" s="11" t="s">
        <v>536</v>
      </c>
      <c r="G98" s="11" t="s">
        <v>2315</v>
      </c>
      <c r="H98" s="11" t="s">
        <v>2324</v>
      </c>
      <c r="I98" s="11"/>
      <c r="J98" s="11"/>
      <c r="K98" s="11"/>
    </row>
    <row r="99" spans="1:11" ht="26" x14ac:dyDescent="0.35">
      <c r="A99" s="11" t="s">
        <v>314</v>
      </c>
      <c r="B99" s="11">
        <v>1</v>
      </c>
      <c r="C99" s="11" t="s">
        <v>13</v>
      </c>
      <c r="D99" s="11" t="s">
        <v>2322</v>
      </c>
      <c r="E99" s="11" t="s">
        <v>2323</v>
      </c>
      <c r="F99" s="11" t="s">
        <v>314</v>
      </c>
      <c r="G99" s="11" t="s">
        <v>2315</v>
      </c>
      <c r="H99" s="11" t="s">
        <v>2324</v>
      </c>
      <c r="I99" s="11"/>
      <c r="J99" s="11"/>
      <c r="K99" s="11"/>
    </row>
    <row r="100" spans="1:11" ht="26" x14ac:dyDescent="0.35">
      <c r="A100" s="11" t="s">
        <v>467</v>
      </c>
      <c r="B100" s="11">
        <v>12</v>
      </c>
      <c r="C100" s="11" t="s">
        <v>28</v>
      </c>
      <c r="D100" s="11" t="s">
        <v>2322</v>
      </c>
      <c r="E100" s="11" t="s">
        <v>2323</v>
      </c>
      <c r="F100" s="11" t="s">
        <v>467</v>
      </c>
      <c r="G100" s="11" t="s">
        <v>2315</v>
      </c>
      <c r="H100" s="11" t="s">
        <v>2324</v>
      </c>
      <c r="I100" s="11"/>
      <c r="J100" s="11"/>
      <c r="K100" s="11"/>
    </row>
    <row r="101" spans="1:11" ht="26" x14ac:dyDescent="0.35">
      <c r="A101" s="11" t="s">
        <v>2824</v>
      </c>
      <c r="B101" s="11">
        <v>6</v>
      </c>
      <c r="C101" s="11" t="s">
        <v>3</v>
      </c>
      <c r="D101" s="11" t="s">
        <v>2322</v>
      </c>
      <c r="E101" s="11" t="s">
        <v>2323</v>
      </c>
      <c r="F101" s="11" t="s">
        <v>2824</v>
      </c>
      <c r="G101" s="11" t="s">
        <v>2315</v>
      </c>
      <c r="H101" s="11" t="s">
        <v>2324</v>
      </c>
      <c r="I101" s="11"/>
      <c r="J101" s="11"/>
      <c r="K101" s="11"/>
    </row>
    <row r="102" spans="1:11" x14ac:dyDescent="0.35">
      <c r="A102" s="23" t="s">
        <v>2325</v>
      </c>
      <c r="B102" s="23"/>
      <c r="C102" s="23"/>
      <c r="D102" s="23"/>
      <c r="E102" s="23"/>
      <c r="F102" s="23"/>
      <c r="G102" s="23"/>
      <c r="H102" s="23"/>
      <c r="I102" s="23"/>
      <c r="J102" s="23"/>
      <c r="K102" s="23"/>
    </row>
    <row r="103" spans="1:11" x14ac:dyDescent="0.35">
      <c r="A103" s="24" t="s">
        <v>2326</v>
      </c>
      <c r="B103" s="24" t="s">
        <v>2327</v>
      </c>
      <c r="C103" s="24" t="s">
        <v>2328</v>
      </c>
      <c r="D103" s="24" t="s">
        <v>1331</v>
      </c>
      <c r="E103" s="24" t="s">
        <v>2329</v>
      </c>
      <c r="F103" s="24" t="s">
        <v>596</v>
      </c>
      <c r="G103" s="24"/>
      <c r="H103" s="24"/>
      <c r="I103" s="24"/>
      <c r="J103" s="24"/>
      <c r="K103" s="24"/>
    </row>
    <row r="104" spans="1:11" x14ac:dyDescent="0.35">
      <c r="A104" s="11" t="s">
        <v>2330</v>
      </c>
      <c r="B104" s="11" t="s">
        <v>2213</v>
      </c>
      <c r="C104" s="11" t="s">
        <v>2331</v>
      </c>
      <c r="D104" s="11" t="s">
        <v>2332</v>
      </c>
      <c r="E104" s="11" t="s">
        <v>2333</v>
      </c>
      <c r="F104" s="11" t="s">
        <v>2334</v>
      </c>
      <c r="G104" s="11"/>
      <c r="H104" s="11"/>
      <c r="I104" s="11"/>
      <c r="J104" s="11"/>
      <c r="K104" s="11"/>
    </row>
    <row r="105" spans="1:11" x14ac:dyDescent="0.35">
      <c r="A105" s="11" t="s">
        <v>2335</v>
      </c>
      <c r="B105" s="11" t="s">
        <v>2213</v>
      </c>
      <c r="C105" s="11" t="s">
        <v>2331</v>
      </c>
      <c r="D105" s="11" t="s">
        <v>2336</v>
      </c>
      <c r="E105" s="11" t="s">
        <v>2337</v>
      </c>
      <c r="F105" s="11" t="s">
        <v>2334</v>
      </c>
      <c r="G105" s="11"/>
      <c r="H105" s="11"/>
      <c r="I105" s="11"/>
      <c r="J105" s="11"/>
      <c r="K105" s="11"/>
    </row>
    <row r="106" spans="1:11" x14ac:dyDescent="0.35">
      <c r="A106" s="11" t="s">
        <v>2338</v>
      </c>
      <c r="B106" s="11" t="s">
        <v>2213</v>
      </c>
      <c r="C106" s="11" t="s">
        <v>2339</v>
      </c>
      <c r="D106" s="11" t="s">
        <v>2340</v>
      </c>
      <c r="E106" s="11" t="s">
        <v>2341</v>
      </c>
      <c r="F106" s="11" t="s">
        <v>2334</v>
      </c>
      <c r="G106" s="11"/>
      <c r="H106" s="11"/>
      <c r="I106" s="11"/>
      <c r="J106" s="11"/>
      <c r="K106" s="11"/>
    </row>
    <row r="107" spans="1:11" x14ac:dyDescent="0.35">
      <c r="A107" s="11" t="s">
        <v>800</v>
      </c>
      <c r="B107" s="11" t="s">
        <v>2213</v>
      </c>
      <c r="C107" s="11" t="s">
        <v>2342</v>
      </c>
      <c r="D107" s="11" t="s">
        <v>2343</v>
      </c>
      <c r="E107" s="11" t="s">
        <v>2344</v>
      </c>
      <c r="F107" s="11" t="s">
        <v>2334</v>
      </c>
      <c r="G107" s="11"/>
      <c r="H107" s="11"/>
      <c r="I107" s="11"/>
      <c r="J107" s="11"/>
      <c r="K107" s="11"/>
    </row>
    <row r="108" spans="1:11" x14ac:dyDescent="0.35">
      <c r="A108" s="11" t="s">
        <v>2345</v>
      </c>
      <c r="B108" s="11" t="s">
        <v>2213</v>
      </c>
      <c r="C108" s="11" t="s">
        <v>2346</v>
      </c>
      <c r="D108" s="11" t="s">
        <v>2347</v>
      </c>
      <c r="E108" s="11" t="s">
        <v>2348</v>
      </c>
      <c r="F108" s="11" t="s">
        <v>2334</v>
      </c>
      <c r="G108" s="11"/>
      <c r="H108" s="11"/>
      <c r="I108" s="11"/>
      <c r="J108" s="11"/>
      <c r="K108" s="11"/>
    </row>
    <row r="109" spans="1:11" ht="39" x14ac:dyDescent="0.35">
      <c r="A109" s="11" t="s">
        <v>1317</v>
      </c>
      <c r="B109" s="11" t="s">
        <v>2213</v>
      </c>
      <c r="C109" s="11" t="s">
        <v>2349</v>
      </c>
      <c r="D109" s="11" t="s">
        <v>2350</v>
      </c>
      <c r="E109" s="11" t="s">
        <v>2351</v>
      </c>
      <c r="F109" s="11" t="s">
        <v>2334</v>
      </c>
      <c r="G109" s="11"/>
      <c r="H109" s="11"/>
      <c r="I109" s="11"/>
      <c r="J109" s="11"/>
      <c r="K109" s="11"/>
    </row>
    <row r="110" spans="1:11" x14ac:dyDescent="0.35">
      <c r="A110" s="11" t="s">
        <v>29</v>
      </c>
      <c r="B110" s="11" t="s">
        <v>2352</v>
      </c>
      <c r="C110" s="11" t="s">
        <v>2349</v>
      </c>
      <c r="D110" s="11" t="s">
        <v>2353</v>
      </c>
      <c r="E110" s="11" t="s">
        <v>2354</v>
      </c>
      <c r="F110" s="11" t="s">
        <v>2334</v>
      </c>
      <c r="G110" s="11"/>
      <c r="H110" s="11"/>
      <c r="I110" s="11"/>
      <c r="J110" s="11"/>
      <c r="K110" s="11"/>
    </row>
    <row r="111" spans="1:11" x14ac:dyDescent="0.35">
      <c r="A111" s="11" t="s">
        <v>30</v>
      </c>
      <c r="B111" s="11" t="s">
        <v>2352</v>
      </c>
      <c r="C111" s="11" t="s">
        <v>2355</v>
      </c>
      <c r="D111" s="11" t="s">
        <v>2356</v>
      </c>
      <c r="E111" s="11" t="s">
        <v>2357</v>
      </c>
      <c r="F111" s="11" t="s">
        <v>2334</v>
      </c>
      <c r="G111" s="11"/>
      <c r="H111" s="11"/>
      <c r="I111" s="11"/>
      <c r="J111" s="11"/>
      <c r="K111" s="11"/>
    </row>
    <row r="112" spans="1:11" ht="26" x14ac:dyDescent="0.35">
      <c r="A112" s="11" t="s">
        <v>2358</v>
      </c>
      <c r="B112" s="11" t="s">
        <v>2213</v>
      </c>
      <c r="C112" s="11" t="s">
        <v>2349</v>
      </c>
      <c r="D112" s="11" t="s">
        <v>2359</v>
      </c>
      <c r="E112" s="11" t="s">
        <v>2360</v>
      </c>
      <c r="F112" s="11" t="s">
        <v>2334</v>
      </c>
      <c r="G112" s="11"/>
      <c r="H112" s="11"/>
      <c r="I112" s="11"/>
      <c r="J112" s="11"/>
      <c r="K112" s="11"/>
    </row>
    <row r="113" spans="1:11" x14ac:dyDescent="0.35">
      <c r="A113" s="11" t="s">
        <v>2361</v>
      </c>
      <c r="B113" s="11" t="s">
        <v>2213</v>
      </c>
      <c r="C113" s="11" t="s">
        <v>2362</v>
      </c>
      <c r="D113" s="11" t="s">
        <v>2363</v>
      </c>
      <c r="E113" s="11" t="s">
        <v>2364</v>
      </c>
      <c r="F113" s="11" t="s">
        <v>2334</v>
      </c>
      <c r="G113" s="11"/>
      <c r="H113" s="11"/>
      <c r="I113" s="11"/>
      <c r="J113" s="11"/>
      <c r="K113" s="11"/>
    </row>
    <row r="114" spans="1:11" ht="26" x14ac:dyDescent="0.35">
      <c r="A114" s="11" t="s">
        <v>2365</v>
      </c>
      <c r="B114" s="11" t="s">
        <v>2212</v>
      </c>
      <c r="C114" s="11" t="s">
        <v>2349</v>
      </c>
      <c r="D114" s="11" t="s">
        <v>2366</v>
      </c>
      <c r="E114" s="11" t="s">
        <v>2367</v>
      </c>
      <c r="F114" s="11" t="s">
        <v>2334</v>
      </c>
      <c r="G114" s="11"/>
      <c r="H114" s="11"/>
      <c r="I114" s="11"/>
      <c r="J114" s="11"/>
      <c r="K114" s="11"/>
    </row>
    <row r="115" spans="1:11" x14ac:dyDescent="0.35">
      <c r="A115" s="11" t="s">
        <v>2368</v>
      </c>
      <c r="B115" s="11" t="s">
        <v>2212</v>
      </c>
      <c r="C115" s="11" t="s">
        <v>2369</v>
      </c>
      <c r="D115" s="11" t="s">
        <v>2370</v>
      </c>
      <c r="E115" s="11" t="s">
        <v>2371</v>
      </c>
      <c r="F115" s="11" t="s">
        <v>2334</v>
      </c>
      <c r="G115" s="11"/>
      <c r="H115" s="11"/>
      <c r="I115" s="11"/>
      <c r="J115" s="11"/>
      <c r="K115" s="11"/>
    </row>
    <row r="116" spans="1:11" x14ac:dyDescent="0.35">
      <c r="A116" s="11" t="s">
        <v>2372</v>
      </c>
      <c r="B116" s="11" t="s">
        <v>2213</v>
      </c>
      <c r="C116" s="11" t="s">
        <v>2373</v>
      </c>
      <c r="D116" s="11" t="s">
        <v>2374</v>
      </c>
      <c r="E116" s="11" t="s">
        <v>2375</v>
      </c>
      <c r="F116" s="11" t="s">
        <v>2376</v>
      </c>
      <c r="G116" s="11"/>
      <c r="H116" s="11"/>
      <c r="I116" s="11"/>
      <c r="J116" s="11"/>
      <c r="K116" s="11"/>
    </row>
    <row r="117" spans="1:11" x14ac:dyDescent="0.35">
      <c r="A117" s="11"/>
      <c r="B117" s="11"/>
      <c r="C117" s="11"/>
      <c r="D117" s="11"/>
      <c r="E117" s="11"/>
      <c r="F117" s="11"/>
      <c r="G117" s="11"/>
      <c r="H117" s="11"/>
      <c r="I117" s="11"/>
      <c r="J117" s="11"/>
      <c r="K117" s="11"/>
    </row>
    <row r="118" spans="1:11" x14ac:dyDescent="0.35">
      <c r="A118" s="11"/>
      <c r="B118" s="11"/>
      <c r="C118" s="11"/>
      <c r="D118" s="11"/>
      <c r="E118" s="11"/>
      <c r="F118" s="11"/>
      <c r="G118" s="11"/>
      <c r="H118" s="11"/>
      <c r="I118" s="11"/>
      <c r="J118" s="11"/>
      <c r="K118" s="11"/>
    </row>
    <row r="119" spans="1:11" x14ac:dyDescent="0.35">
      <c r="A119" s="23" t="s">
        <v>2377</v>
      </c>
      <c r="B119" s="23"/>
      <c r="C119" s="23"/>
      <c r="D119" s="23"/>
      <c r="E119" s="23"/>
      <c r="F119" s="23"/>
      <c r="G119" s="23"/>
      <c r="H119" s="23"/>
      <c r="I119" s="23"/>
      <c r="J119" s="23"/>
      <c r="K119" s="23"/>
    </row>
    <row r="120" spans="1:11" x14ac:dyDescent="0.35">
      <c r="A120" s="24" t="s">
        <v>2378</v>
      </c>
      <c r="B120" s="24" t="s">
        <v>2379</v>
      </c>
      <c r="C120" s="24" t="s">
        <v>2380</v>
      </c>
      <c r="D120" s="24" t="s">
        <v>2172</v>
      </c>
      <c r="E120" s="24" t="s">
        <v>596</v>
      </c>
      <c r="F120" s="24" t="s">
        <v>2310</v>
      </c>
      <c r="G120" s="24"/>
      <c r="H120" s="24"/>
      <c r="I120" s="24"/>
      <c r="J120" s="24"/>
      <c r="K120" s="24"/>
    </row>
    <row r="121" spans="1:11" ht="26" x14ac:dyDescent="0.35">
      <c r="A121" s="11" t="s">
        <v>2381</v>
      </c>
      <c r="B121" s="11" t="s">
        <v>2382</v>
      </c>
      <c r="C121" s="11" t="s">
        <v>2213</v>
      </c>
      <c r="D121" s="11" t="s">
        <v>693</v>
      </c>
      <c r="E121" s="11" t="s">
        <v>2315</v>
      </c>
      <c r="F121" s="11" t="s">
        <v>2344</v>
      </c>
      <c r="G121" s="11"/>
      <c r="H121" s="11"/>
      <c r="I121" s="11"/>
      <c r="J121" s="11"/>
      <c r="K121" s="11"/>
    </row>
    <row r="122" spans="1:11" ht="26" x14ac:dyDescent="0.35">
      <c r="A122" s="11" t="s">
        <v>2383</v>
      </c>
      <c r="B122" s="11" t="s">
        <v>2382</v>
      </c>
      <c r="C122" s="11" t="s">
        <v>2213</v>
      </c>
      <c r="D122" s="11" t="s">
        <v>2384</v>
      </c>
      <c r="E122" s="11" t="s">
        <v>2315</v>
      </c>
      <c r="F122" s="11" t="s">
        <v>2385</v>
      </c>
      <c r="G122" s="11"/>
      <c r="H122" s="11"/>
      <c r="I122" s="11"/>
      <c r="J122" s="11"/>
      <c r="K122" s="11"/>
    </row>
    <row r="123" spans="1:11" ht="26" x14ac:dyDescent="0.35">
      <c r="A123" s="11" t="s">
        <v>2386</v>
      </c>
      <c r="B123" s="11" t="s">
        <v>2382</v>
      </c>
      <c r="C123" s="11" t="s">
        <v>2387</v>
      </c>
      <c r="D123" s="11" t="s">
        <v>654</v>
      </c>
      <c r="E123" s="11" t="s">
        <v>2315</v>
      </c>
      <c r="F123" s="11" t="s">
        <v>2388</v>
      </c>
      <c r="G123" s="11"/>
      <c r="H123" s="11"/>
      <c r="I123" s="11"/>
      <c r="J123" s="11"/>
      <c r="K123" s="11"/>
    </row>
    <row r="124" spans="1:11" ht="26" x14ac:dyDescent="0.35">
      <c r="A124" s="11" t="s">
        <v>2389</v>
      </c>
      <c r="B124" s="11" t="s">
        <v>2382</v>
      </c>
      <c r="C124" s="11" t="s">
        <v>2213</v>
      </c>
      <c r="D124" s="11" t="s">
        <v>693</v>
      </c>
      <c r="E124" s="11" t="s">
        <v>2315</v>
      </c>
      <c r="F124" s="11" t="s">
        <v>2390</v>
      </c>
      <c r="G124" s="11"/>
      <c r="H124" s="11"/>
      <c r="I124" s="11"/>
      <c r="J124" s="11"/>
      <c r="K124" s="11"/>
    </row>
    <row r="125" spans="1:11" ht="26" x14ac:dyDescent="0.35">
      <c r="A125" s="11" t="s">
        <v>2391</v>
      </c>
      <c r="B125" s="11" t="s">
        <v>2382</v>
      </c>
      <c r="C125" s="11" t="s">
        <v>2213</v>
      </c>
      <c r="D125" s="11" t="s">
        <v>693</v>
      </c>
      <c r="E125" s="11" t="s">
        <v>2315</v>
      </c>
      <c r="F125" s="11" t="s">
        <v>2392</v>
      </c>
      <c r="G125" s="11"/>
      <c r="H125" s="11"/>
      <c r="I125" s="11"/>
      <c r="J125" s="11"/>
      <c r="K125" s="11"/>
    </row>
    <row r="126" spans="1:11" ht="26" x14ac:dyDescent="0.35">
      <c r="A126" s="11" t="s">
        <v>801</v>
      </c>
      <c r="B126" s="11" t="s">
        <v>2382</v>
      </c>
      <c r="C126" s="11" t="s">
        <v>2213</v>
      </c>
      <c r="D126" s="11" t="s">
        <v>693</v>
      </c>
      <c r="E126" s="11" t="s">
        <v>2315</v>
      </c>
      <c r="F126" s="11" t="s">
        <v>2393</v>
      </c>
      <c r="G126" s="11"/>
      <c r="H126" s="11"/>
      <c r="I126" s="11"/>
      <c r="J126" s="11"/>
      <c r="K126" s="11"/>
    </row>
    <row r="127" spans="1:11" x14ac:dyDescent="0.35">
      <c r="A127" s="11" t="s">
        <v>2394</v>
      </c>
      <c r="B127" s="11" t="s">
        <v>2395</v>
      </c>
      <c r="C127" s="11" t="s">
        <v>2396</v>
      </c>
      <c r="D127" s="11" t="s">
        <v>609</v>
      </c>
      <c r="E127" s="11" t="s">
        <v>2315</v>
      </c>
      <c r="F127" s="11" t="s">
        <v>2397</v>
      </c>
      <c r="G127" s="11"/>
      <c r="H127" s="11"/>
      <c r="I127" s="11"/>
      <c r="J127" s="11"/>
      <c r="K127" s="11"/>
    </row>
    <row r="128" spans="1:11" x14ac:dyDescent="0.35">
      <c r="A128" s="11"/>
      <c r="B128" s="11"/>
      <c r="C128" s="11"/>
      <c r="D128" s="11"/>
      <c r="E128" s="11"/>
      <c r="F128" s="11"/>
      <c r="G128" s="11"/>
      <c r="H128" s="11"/>
      <c r="I128" s="11"/>
      <c r="J128" s="11"/>
      <c r="K128" s="11"/>
    </row>
    <row r="129" spans="1:11" x14ac:dyDescent="0.35">
      <c r="A129" s="11"/>
      <c r="B129" s="11"/>
      <c r="C129" s="11"/>
      <c r="D129" s="11"/>
      <c r="E129" s="11"/>
      <c r="F129" s="11"/>
      <c r="G129" s="11"/>
      <c r="H129" s="11"/>
      <c r="I129" s="11"/>
      <c r="J129" s="11"/>
      <c r="K129" s="11"/>
    </row>
    <row r="130" spans="1:11" x14ac:dyDescent="0.35">
      <c r="A130" s="23" t="s">
        <v>2398</v>
      </c>
      <c r="B130" s="23"/>
      <c r="C130" s="23"/>
      <c r="D130" s="23"/>
      <c r="E130" s="23"/>
      <c r="F130" s="23"/>
      <c r="G130" s="23"/>
      <c r="H130" s="23"/>
      <c r="I130" s="23"/>
      <c r="J130" s="23"/>
      <c r="K130" s="23"/>
    </row>
    <row r="131" spans="1:11" x14ac:dyDescent="0.35">
      <c r="A131" s="24" t="s">
        <v>590</v>
      </c>
      <c r="B131" s="24" t="s">
        <v>591</v>
      </c>
      <c r="C131" s="24" t="s">
        <v>2399</v>
      </c>
      <c r="D131" s="24" t="s">
        <v>2400</v>
      </c>
      <c r="E131" s="24" t="s">
        <v>2172</v>
      </c>
      <c r="F131" s="24" t="s">
        <v>2401</v>
      </c>
      <c r="G131" s="24" t="s">
        <v>597</v>
      </c>
      <c r="H131" s="24" t="s">
        <v>2402</v>
      </c>
      <c r="I131" s="24"/>
      <c r="J131" s="24"/>
      <c r="K131" s="24"/>
    </row>
    <row r="132" spans="1:11" ht="26" x14ac:dyDescent="0.35">
      <c r="A132" s="11" t="s">
        <v>598</v>
      </c>
      <c r="B132" s="11" t="s">
        <v>599</v>
      </c>
      <c r="C132" s="11" t="s">
        <v>600</v>
      </c>
      <c r="D132" s="11" t="s">
        <v>602</v>
      </c>
      <c r="E132" s="11" t="s">
        <v>601</v>
      </c>
      <c r="F132" s="11" t="s">
        <v>3147</v>
      </c>
      <c r="G132" s="11" t="s">
        <v>603</v>
      </c>
      <c r="H132" s="11" t="s">
        <v>3148</v>
      </c>
      <c r="I132" s="11"/>
      <c r="J132" s="11"/>
      <c r="K132" s="11"/>
    </row>
    <row r="133" spans="1:11" ht="39" x14ac:dyDescent="0.35">
      <c r="A133" s="11" t="s">
        <v>598</v>
      </c>
      <c r="B133" s="11" t="s">
        <v>599</v>
      </c>
      <c r="C133" s="11" t="s">
        <v>604</v>
      </c>
      <c r="D133" s="11" t="s">
        <v>602</v>
      </c>
      <c r="E133" s="11" t="s">
        <v>601</v>
      </c>
      <c r="F133" s="11" t="s">
        <v>3149</v>
      </c>
      <c r="G133" s="11" t="s">
        <v>3150</v>
      </c>
      <c r="H133" s="11" t="s">
        <v>3151</v>
      </c>
      <c r="I133" s="11"/>
      <c r="J133" s="11"/>
      <c r="K133" s="11"/>
    </row>
    <row r="134" spans="1:11" x14ac:dyDescent="0.35">
      <c r="A134" s="11" t="s">
        <v>598</v>
      </c>
      <c r="B134" s="11" t="s">
        <v>599</v>
      </c>
      <c r="C134" s="11" t="s">
        <v>606</v>
      </c>
      <c r="D134" s="11" t="s">
        <v>602</v>
      </c>
      <c r="E134" s="11" t="s">
        <v>609</v>
      </c>
      <c r="F134" s="11" t="s">
        <v>608</v>
      </c>
      <c r="G134" s="11" t="s">
        <v>610</v>
      </c>
      <c r="H134" s="11" t="s">
        <v>2403</v>
      </c>
      <c r="I134" s="11"/>
      <c r="J134" s="11"/>
      <c r="K134" s="11"/>
    </row>
    <row r="135" spans="1:11" ht="26" x14ac:dyDescent="0.35">
      <c r="A135" s="11" t="s">
        <v>598</v>
      </c>
      <c r="B135" s="11" t="s">
        <v>599</v>
      </c>
      <c r="C135" s="11" t="s">
        <v>611</v>
      </c>
      <c r="D135" s="11" t="s">
        <v>602</v>
      </c>
      <c r="E135" s="11" t="s">
        <v>601</v>
      </c>
      <c r="F135" s="11" t="s">
        <v>612</v>
      </c>
      <c r="G135" s="11" t="s">
        <v>613</v>
      </c>
      <c r="H135" s="11" t="s">
        <v>3152</v>
      </c>
      <c r="I135" s="11"/>
      <c r="J135" s="11"/>
      <c r="K135" s="11"/>
    </row>
    <row r="136" spans="1:11" ht="39" x14ac:dyDescent="0.35">
      <c r="A136" s="11" t="s">
        <v>598</v>
      </c>
      <c r="B136" s="11" t="s">
        <v>599</v>
      </c>
      <c r="C136" s="11" t="s">
        <v>3050</v>
      </c>
      <c r="D136" s="11" t="s">
        <v>3103</v>
      </c>
      <c r="E136" s="11" t="s">
        <v>601</v>
      </c>
      <c r="F136" s="11" t="s">
        <v>3104</v>
      </c>
      <c r="G136" s="11" t="s">
        <v>3105</v>
      </c>
      <c r="H136" s="11" t="s">
        <v>3153</v>
      </c>
      <c r="I136" s="11"/>
      <c r="J136" s="11"/>
      <c r="K136" s="11"/>
    </row>
    <row r="137" spans="1:11" ht="26" x14ac:dyDescent="0.35">
      <c r="A137" s="11" t="s">
        <v>598</v>
      </c>
      <c r="B137" s="11" t="s">
        <v>614</v>
      </c>
      <c r="C137" s="11" t="s">
        <v>615</v>
      </c>
      <c r="D137" s="11" t="str">
        <f>"Available - definitions populated for all "&amp;COUNTA(Products!O2:O525)&amp;"; technical enrichment pending"</f>
        <v>Available - definitions populated for all 524; technical enrichment pending</v>
      </c>
      <c r="E137" s="11" t="s">
        <v>617</v>
      </c>
      <c r="F137" s="11" t="s">
        <v>616</v>
      </c>
      <c r="G137" s="11" t="s">
        <v>2685</v>
      </c>
      <c r="H137" s="11" t="s">
        <v>3154</v>
      </c>
      <c r="I137" s="11"/>
      <c r="J137" s="11"/>
      <c r="K137" s="11"/>
    </row>
    <row r="138" spans="1:11" ht="26" x14ac:dyDescent="0.35">
      <c r="A138" s="11" t="s">
        <v>598</v>
      </c>
      <c r="B138" s="11" t="s">
        <v>614</v>
      </c>
      <c r="C138" s="11" t="s">
        <v>619</v>
      </c>
      <c r="D138" s="11" t="str">
        <f>"Available - detailed for 21; baseline selection guidance for "&amp;(COUNTA(Products!P2:P525)-21)</f>
        <v>Available - detailed for 21; baseline selection guidance for 503</v>
      </c>
      <c r="E138" s="11" t="s">
        <v>601</v>
      </c>
      <c r="F138" s="11" t="s">
        <v>620</v>
      </c>
      <c r="G138" s="11" t="s">
        <v>2433</v>
      </c>
      <c r="H138" s="11" t="s">
        <v>2686</v>
      </c>
      <c r="I138" s="11"/>
      <c r="J138" s="11"/>
      <c r="K138" s="11"/>
    </row>
    <row r="139" spans="1:11" ht="26" x14ac:dyDescent="0.35">
      <c r="A139" s="11" t="s">
        <v>598</v>
      </c>
      <c r="B139" s="11" t="s">
        <v>614</v>
      </c>
      <c r="C139" s="11" t="s">
        <v>621</v>
      </c>
      <c r="D139" s="11" t="str">
        <f>"In Progress - "&amp;COUNTIF(Products!Q2:Q525,"&lt;&gt;")&amp;" populated; "&amp;(ROWS(Products!Q2:Q525)-COUNTIF(Products!Q2:Q525,"&lt;&gt;"))&amp;" pending"</f>
        <v>In Progress - 20 populated; 504 pending</v>
      </c>
      <c r="E139" s="11" t="s">
        <v>601</v>
      </c>
      <c r="F139" s="11" t="s">
        <v>622</v>
      </c>
      <c r="G139" s="11" t="s">
        <v>2434</v>
      </c>
      <c r="H139" s="11" t="s">
        <v>2687</v>
      </c>
      <c r="I139" s="11"/>
      <c r="J139" s="11"/>
      <c r="K139" s="11"/>
    </row>
    <row r="140" spans="1:11" ht="26" x14ac:dyDescent="0.35">
      <c r="A140" s="11" t="s">
        <v>598</v>
      </c>
      <c r="B140" s="11" t="s">
        <v>614</v>
      </c>
      <c r="C140" s="11" t="s">
        <v>623</v>
      </c>
      <c r="D140" s="11" t="str">
        <f>"Available - applications populated for all "&amp;COUNTA(Products!R2:R525)&amp;"; validation pending"</f>
        <v>Available - applications populated for all 524; validation pending</v>
      </c>
      <c r="E140" s="11" t="s">
        <v>625</v>
      </c>
      <c r="F140" s="11" t="s">
        <v>624</v>
      </c>
      <c r="G140" s="11" t="s">
        <v>2435</v>
      </c>
      <c r="H140" s="11" t="s">
        <v>2688</v>
      </c>
      <c r="I140" s="11"/>
      <c r="J140" s="11"/>
      <c r="K140" s="11"/>
    </row>
    <row r="141" spans="1:11" ht="39" x14ac:dyDescent="0.35">
      <c r="A141" s="11" t="s">
        <v>598</v>
      </c>
      <c r="B141" s="11" t="s">
        <v>626</v>
      </c>
      <c r="C141" s="11" t="s">
        <v>627</v>
      </c>
      <c r="D141" s="11" t="str">
        <f>"In Progress - "&amp;COUNTIF(Products!S2:S525,"&lt;&gt;")&amp;" manufacturer-hosted primary image URLs identified; approval and remaining images pending"</f>
        <v>In Progress - 33 manufacturer-hosted primary image URLs identified; approval and remaining images pending</v>
      </c>
      <c r="E141" s="11" t="s">
        <v>617</v>
      </c>
      <c r="F141" s="11" t="s">
        <v>628</v>
      </c>
      <c r="G141" s="11" t="s">
        <v>2436</v>
      </c>
      <c r="H141" s="11" t="s">
        <v>3155</v>
      </c>
      <c r="I141" s="11"/>
      <c r="J141" s="11"/>
      <c r="K141" s="11"/>
    </row>
    <row r="142" spans="1:11" ht="39" x14ac:dyDescent="0.35">
      <c r="A142" s="11" t="s">
        <v>630</v>
      </c>
      <c r="B142" s="11" t="s">
        <v>626</v>
      </c>
      <c r="C142" s="11" t="s">
        <v>631</v>
      </c>
      <c r="D142" s="11" t="s">
        <v>2689</v>
      </c>
      <c r="E142" s="11" t="s">
        <v>601</v>
      </c>
      <c r="F142" s="11" t="s">
        <v>633</v>
      </c>
      <c r="G142" s="11" t="s">
        <v>2437</v>
      </c>
      <c r="H142" s="11" t="s">
        <v>2690</v>
      </c>
      <c r="I142" s="11"/>
      <c r="J142" s="11"/>
      <c r="K142" s="11"/>
    </row>
    <row r="143" spans="1:11" ht="26" x14ac:dyDescent="0.35">
      <c r="A143" s="11" t="s">
        <v>598</v>
      </c>
      <c r="B143" s="11" t="s">
        <v>634</v>
      </c>
      <c r="C143" s="11" t="s">
        <v>635</v>
      </c>
      <c r="D143" s="11" t="s">
        <v>2691</v>
      </c>
      <c r="E143" s="11" t="s">
        <v>601</v>
      </c>
      <c r="F143" s="11" t="s">
        <v>637</v>
      </c>
      <c r="G143" s="11" t="s">
        <v>2692</v>
      </c>
      <c r="H143" s="11" t="s">
        <v>2693</v>
      </c>
      <c r="I143" s="11"/>
      <c r="J143" s="11"/>
      <c r="K143" s="11"/>
    </row>
    <row r="144" spans="1:11" ht="26" x14ac:dyDescent="0.35">
      <c r="A144" s="11" t="s">
        <v>630</v>
      </c>
      <c r="B144" s="11" t="s">
        <v>634</v>
      </c>
      <c r="C144" s="11" t="s">
        <v>638</v>
      </c>
      <c r="D144" s="11" t="s">
        <v>2694</v>
      </c>
      <c r="E144" s="11" t="s">
        <v>641</v>
      </c>
      <c r="F144" s="11" t="s">
        <v>640</v>
      </c>
      <c r="G144" s="11" t="s">
        <v>2439</v>
      </c>
      <c r="H144" s="11" t="s">
        <v>2695</v>
      </c>
      <c r="I144" s="11"/>
      <c r="J144" s="11"/>
      <c r="K144" s="11"/>
    </row>
    <row r="145" spans="1:11" ht="26" x14ac:dyDescent="0.35">
      <c r="A145" s="11" t="s">
        <v>630</v>
      </c>
      <c r="B145" s="11" t="s">
        <v>626</v>
      </c>
      <c r="C145" s="11" t="s">
        <v>642</v>
      </c>
      <c r="D145" s="11" t="str">
        <f>"In Progress - "&amp;COUNTIF(Products!AF2:AF525,"&lt;&gt;")&amp;" video links identified; use only where available and rights-approved"</f>
        <v>In Progress - 18 video links identified; use only where available and rights-approved</v>
      </c>
      <c r="E145" s="11" t="s">
        <v>617</v>
      </c>
      <c r="F145" s="11" t="s">
        <v>643</v>
      </c>
      <c r="G145" s="11" t="s">
        <v>2440</v>
      </c>
      <c r="H145" s="11" t="s">
        <v>3156</v>
      </c>
      <c r="I145" s="11"/>
      <c r="J145" s="11"/>
      <c r="K145" s="11"/>
    </row>
    <row r="146" spans="1:11" ht="39" x14ac:dyDescent="0.35">
      <c r="A146" s="11" t="s">
        <v>630</v>
      </c>
      <c r="B146" s="11" t="s">
        <v>614</v>
      </c>
      <c r="C146" s="11" t="s">
        <v>644</v>
      </c>
      <c r="D146" s="11" t="s">
        <v>2696</v>
      </c>
      <c r="E146" s="11" t="s">
        <v>625</v>
      </c>
      <c r="F146" s="11" t="s">
        <v>645</v>
      </c>
      <c r="G146" s="11" t="s">
        <v>2441</v>
      </c>
      <c r="H146" s="11" t="s">
        <v>2697</v>
      </c>
      <c r="I146" s="11"/>
      <c r="J146" s="11"/>
      <c r="K146" s="11"/>
    </row>
    <row r="147" spans="1:11" ht="26" x14ac:dyDescent="0.35">
      <c r="A147" s="11" t="s">
        <v>598</v>
      </c>
      <c r="B147" s="11" t="s">
        <v>646</v>
      </c>
      <c r="C147" s="11" t="s">
        <v>3157</v>
      </c>
      <c r="D147" s="11" t="s">
        <v>602</v>
      </c>
      <c r="E147" s="11" t="s">
        <v>650</v>
      </c>
      <c r="F147" s="11" t="s">
        <v>649</v>
      </c>
      <c r="G147" s="11" t="s">
        <v>2023</v>
      </c>
      <c r="H147" s="11" t="s">
        <v>3158</v>
      </c>
      <c r="I147" s="11"/>
      <c r="J147" s="11"/>
      <c r="K147" s="11"/>
    </row>
    <row r="148" spans="1:11" ht="39" x14ac:dyDescent="0.35">
      <c r="A148" s="11" t="s">
        <v>598</v>
      </c>
      <c r="B148" s="11" t="s">
        <v>646</v>
      </c>
      <c r="C148" s="11" t="s">
        <v>3159</v>
      </c>
      <c r="D148" s="11" t="s">
        <v>3160</v>
      </c>
      <c r="E148" s="11" t="s">
        <v>654</v>
      </c>
      <c r="F148" s="11" t="s">
        <v>653</v>
      </c>
      <c r="G148" s="11" t="s">
        <v>2899</v>
      </c>
      <c r="H148" s="11" t="s">
        <v>2698</v>
      </c>
      <c r="I148" s="11"/>
      <c r="J148" s="11"/>
      <c r="K148" s="11"/>
    </row>
    <row r="149" spans="1:11" ht="26" x14ac:dyDescent="0.35">
      <c r="A149" s="11" t="s">
        <v>630</v>
      </c>
      <c r="B149" s="11" t="s">
        <v>655</v>
      </c>
      <c r="C149" s="11" t="s">
        <v>656</v>
      </c>
      <c r="D149" s="11" t="s">
        <v>2699</v>
      </c>
      <c r="E149" s="11" t="s">
        <v>659</v>
      </c>
      <c r="F149" s="11" t="s">
        <v>658</v>
      </c>
      <c r="G149" s="11" t="s">
        <v>2443</v>
      </c>
      <c r="H149" s="11" t="s">
        <v>2700</v>
      </c>
      <c r="I149" s="11"/>
      <c r="J149" s="11"/>
      <c r="K149" s="11"/>
    </row>
    <row r="150" spans="1:11" ht="26" x14ac:dyDescent="0.35">
      <c r="A150" s="11" t="s">
        <v>630</v>
      </c>
      <c r="B150" s="11" t="s">
        <v>655</v>
      </c>
      <c r="C150" s="11" t="s">
        <v>660</v>
      </c>
      <c r="D150" s="11" t="s">
        <v>2701</v>
      </c>
      <c r="E150" s="11" t="s">
        <v>663</v>
      </c>
      <c r="F150" s="11" t="s">
        <v>662</v>
      </c>
      <c r="G150" s="11" t="s">
        <v>2444</v>
      </c>
      <c r="H150" s="11" t="s">
        <v>2702</v>
      </c>
      <c r="I150" s="11"/>
      <c r="J150" s="11"/>
      <c r="K150" s="11"/>
    </row>
    <row r="151" spans="1:11" ht="26" x14ac:dyDescent="0.35">
      <c r="A151" s="11" t="s">
        <v>598</v>
      </c>
      <c r="B151" s="11" t="s">
        <v>664</v>
      </c>
      <c r="C151" s="11" t="s">
        <v>665</v>
      </c>
      <c r="D151" s="11" t="s">
        <v>602</v>
      </c>
      <c r="E151" s="11" t="s">
        <v>668</v>
      </c>
      <c r="F151" s="11" t="s">
        <v>667</v>
      </c>
      <c r="G151" s="11" t="s">
        <v>2024</v>
      </c>
      <c r="H151" s="11" t="s">
        <v>2403</v>
      </c>
      <c r="I151" s="11"/>
      <c r="J151" s="11"/>
      <c r="K151" s="11"/>
    </row>
    <row r="152" spans="1:11" ht="26" x14ac:dyDescent="0.35">
      <c r="A152" s="11" t="s">
        <v>598</v>
      </c>
      <c r="B152" s="11" t="s">
        <v>664</v>
      </c>
      <c r="C152" s="11" t="s">
        <v>669</v>
      </c>
      <c r="D152" s="11" t="s">
        <v>602</v>
      </c>
      <c r="E152" s="11" t="s">
        <v>659</v>
      </c>
      <c r="F152" s="11" t="s">
        <v>671</v>
      </c>
      <c r="G152" s="11" t="s">
        <v>2025</v>
      </c>
      <c r="H152" s="11" t="s">
        <v>2403</v>
      </c>
      <c r="I152" s="11"/>
      <c r="J152" s="11"/>
      <c r="K152" s="11"/>
    </row>
    <row r="153" spans="1:11" ht="26" x14ac:dyDescent="0.35">
      <c r="A153" s="11" t="s">
        <v>598</v>
      </c>
      <c r="B153" s="11" t="s">
        <v>664</v>
      </c>
      <c r="C153" s="11" t="s">
        <v>672</v>
      </c>
      <c r="D153" s="11" t="s">
        <v>2703</v>
      </c>
      <c r="E153" s="11" t="s">
        <v>609</v>
      </c>
      <c r="F153" s="11" t="s">
        <v>674</v>
      </c>
      <c r="G153" s="11" t="s">
        <v>2900</v>
      </c>
      <c r="H153" s="11" t="s">
        <v>2704</v>
      </c>
      <c r="I153" s="11"/>
      <c r="J153" s="11"/>
      <c r="K153" s="11"/>
    </row>
    <row r="154" spans="1:11" x14ac:dyDescent="0.35">
      <c r="A154" s="11" t="s">
        <v>630</v>
      </c>
      <c r="B154" s="11" t="s">
        <v>664</v>
      </c>
      <c r="C154" s="11" t="s">
        <v>675</v>
      </c>
      <c r="D154" s="11" t="s">
        <v>602</v>
      </c>
      <c r="E154" s="11" t="s">
        <v>678</v>
      </c>
      <c r="F154" s="11" t="s">
        <v>677</v>
      </c>
      <c r="G154" s="11" t="s">
        <v>2026</v>
      </c>
      <c r="H154" s="11" t="s">
        <v>2403</v>
      </c>
      <c r="I154" s="11"/>
      <c r="J154" s="11"/>
      <c r="K154" s="11"/>
    </row>
    <row r="155" spans="1:11" ht="26" x14ac:dyDescent="0.35">
      <c r="A155" s="11" t="s">
        <v>630</v>
      </c>
      <c r="B155" s="11" t="s">
        <v>679</v>
      </c>
      <c r="C155" s="11" t="s">
        <v>680</v>
      </c>
      <c r="D155" s="11" t="s">
        <v>618</v>
      </c>
      <c r="E155" s="11" t="s">
        <v>678</v>
      </c>
      <c r="F155" s="11" t="s">
        <v>682</v>
      </c>
      <c r="G155" s="11" t="s">
        <v>683</v>
      </c>
      <c r="H155" s="11" t="s">
        <v>805</v>
      </c>
      <c r="I155" s="11"/>
      <c r="J155" s="11"/>
      <c r="K155" s="11"/>
    </row>
    <row r="156" spans="1:11" ht="39" x14ac:dyDescent="0.35">
      <c r="A156" s="11" t="s">
        <v>630</v>
      </c>
      <c r="B156" s="11" t="s">
        <v>679</v>
      </c>
      <c r="C156" s="11" t="s">
        <v>684</v>
      </c>
      <c r="D156" s="11" t="s">
        <v>618</v>
      </c>
      <c r="E156" s="11" t="s">
        <v>687</v>
      </c>
      <c r="F156" s="11" t="s">
        <v>686</v>
      </c>
      <c r="G156" s="11" t="s">
        <v>688</v>
      </c>
      <c r="H156" s="11" t="s">
        <v>805</v>
      </c>
      <c r="I156" s="11"/>
      <c r="J156" s="11"/>
      <c r="K156" s="11"/>
    </row>
    <row r="157" spans="1:11" ht="26" x14ac:dyDescent="0.35">
      <c r="A157" s="11" t="s">
        <v>598</v>
      </c>
      <c r="B157" s="11" t="s">
        <v>689</v>
      </c>
      <c r="C157" s="11" t="s">
        <v>690</v>
      </c>
      <c r="D157" s="11" t="s">
        <v>2679</v>
      </c>
      <c r="E157" s="11" t="s">
        <v>693</v>
      </c>
      <c r="F157" s="11" t="s">
        <v>692</v>
      </c>
      <c r="G157" s="11" t="s">
        <v>2901</v>
      </c>
      <c r="H157" s="11" t="s">
        <v>2705</v>
      </c>
      <c r="I157" s="11"/>
      <c r="J157" s="11"/>
      <c r="K157" s="11"/>
    </row>
    <row r="158" spans="1:11" x14ac:dyDescent="0.35">
      <c r="A158" s="11" t="s">
        <v>598</v>
      </c>
      <c r="B158" s="11" t="s">
        <v>694</v>
      </c>
      <c r="C158" s="11" t="s">
        <v>695</v>
      </c>
      <c r="D158" s="11" t="s">
        <v>618</v>
      </c>
      <c r="E158" s="11" t="s">
        <v>668</v>
      </c>
      <c r="F158" s="11" t="s">
        <v>697</v>
      </c>
      <c r="G158" s="11" t="s">
        <v>698</v>
      </c>
      <c r="H158" s="11" t="s">
        <v>805</v>
      </c>
      <c r="I158" s="11"/>
      <c r="J158" s="11"/>
      <c r="K158" s="11"/>
    </row>
    <row r="159" spans="1:11" ht="26" x14ac:dyDescent="0.35">
      <c r="A159" s="11" t="s">
        <v>630</v>
      </c>
      <c r="B159" s="11" t="s">
        <v>694</v>
      </c>
      <c r="C159" s="11" t="s">
        <v>699</v>
      </c>
      <c r="D159" s="11" t="s">
        <v>618</v>
      </c>
      <c r="E159" s="11" t="s">
        <v>617</v>
      </c>
      <c r="F159" s="11" t="s">
        <v>701</v>
      </c>
      <c r="G159" s="11" t="s">
        <v>629</v>
      </c>
      <c r="H159" s="11" t="s">
        <v>805</v>
      </c>
      <c r="I159" s="11"/>
      <c r="J159" s="11"/>
      <c r="K159" s="11"/>
    </row>
    <row r="160" spans="1:11" ht="26" x14ac:dyDescent="0.35">
      <c r="A160" s="11" t="s">
        <v>598</v>
      </c>
      <c r="B160" s="11" t="s">
        <v>702</v>
      </c>
      <c r="C160" s="11" t="s">
        <v>703</v>
      </c>
      <c r="D160" s="11" t="s">
        <v>602</v>
      </c>
      <c r="E160" s="11" t="s">
        <v>705</v>
      </c>
      <c r="F160" s="11" t="s">
        <v>3161</v>
      </c>
      <c r="G160" s="11" t="s">
        <v>2027</v>
      </c>
      <c r="H160" s="11" t="s">
        <v>3162</v>
      </c>
      <c r="I160" s="11"/>
      <c r="J160" s="11"/>
      <c r="K160" s="11"/>
    </row>
    <row r="161" spans="1:11" ht="26" x14ac:dyDescent="0.35">
      <c r="A161" s="11" t="s">
        <v>598</v>
      </c>
      <c r="B161" s="11" t="s">
        <v>702</v>
      </c>
      <c r="C161" s="11" t="s">
        <v>706</v>
      </c>
      <c r="D161" s="11" t="s">
        <v>602</v>
      </c>
      <c r="E161" s="11" t="s">
        <v>609</v>
      </c>
      <c r="F161" s="11" t="s">
        <v>708</v>
      </c>
      <c r="G161" s="11" t="s">
        <v>2028</v>
      </c>
      <c r="H161" s="11" t="s">
        <v>2403</v>
      </c>
      <c r="I161" s="11"/>
      <c r="J161" s="11"/>
      <c r="K161" s="11"/>
    </row>
    <row r="162" spans="1:11" ht="26" x14ac:dyDescent="0.35">
      <c r="A162" s="11" t="s">
        <v>598</v>
      </c>
      <c r="B162" s="11" t="s">
        <v>709</v>
      </c>
      <c r="C162" s="11" t="s">
        <v>710</v>
      </c>
      <c r="D162" s="11" t="s">
        <v>2680</v>
      </c>
      <c r="E162" s="11" t="s">
        <v>668</v>
      </c>
      <c r="F162" s="11" t="s">
        <v>712</v>
      </c>
      <c r="G162" s="11" t="s">
        <v>2706</v>
      </c>
      <c r="H162" s="11" t="s">
        <v>2707</v>
      </c>
      <c r="I162" s="11"/>
      <c r="J162" s="11"/>
      <c r="K162" s="11"/>
    </row>
    <row r="163" spans="1:11" x14ac:dyDescent="0.35">
      <c r="A163" s="11" t="s">
        <v>598</v>
      </c>
      <c r="B163" s="11" t="s">
        <v>713</v>
      </c>
      <c r="C163" s="11" t="s">
        <v>714</v>
      </c>
      <c r="D163" s="11" t="s">
        <v>602</v>
      </c>
      <c r="E163" s="11" t="s">
        <v>716</v>
      </c>
      <c r="F163" s="11" t="s">
        <v>715</v>
      </c>
      <c r="G163" s="11" t="s">
        <v>1315</v>
      </c>
      <c r="H163" s="11" t="s">
        <v>2403</v>
      </c>
      <c r="I163" s="11"/>
      <c r="J163" s="11"/>
      <c r="K163" s="11"/>
    </row>
    <row r="164" spans="1:11" ht="26" x14ac:dyDescent="0.35">
      <c r="A164" s="11" t="s">
        <v>598</v>
      </c>
      <c r="B164" s="11" t="s">
        <v>713</v>
      </c>
      <c r="C164" s="11" t="s">
        <v>717</v>
      </c>
      <c r="D164" s="11" t="s">
        <v>2682</v>
      </c>
      <c r="E164" s="11" t="s">
        <v>719</v>
      </c>
      <c r="F164" s="11" t="s">
        <v>718</v>
      </c>
      <c r="G164" s="11" t="s">
        <v>2708</v>
      </c>
      <c r="H164" s="11" t="s">
        <v>2709</v>
      </c>
      <c r="I164" s="11"/>
      <c r="J164" s="11"/>
      <c r="K164" s="11"/>
    </row>
    <row r="165" spans="1:11" ht="26" x14ac:dyDescent="0.35">
      <c r="A165" s="11" t="s">
        <v>630</v>
      </c>
      <c r="B165" s="11" t="s">
        <v>713</v>
      </c>
      <c r="C165" s="11" t="s">
        <v>720</v>
      </c>
      <c r="D165" s="11" t="s">
        <v>2710</v>
      </c>
      <c r="E165" s="11" t="s">
        <v>722</v>
      </c>
      <c r="F165" s="11" t="s">
        <v>721</v>
      </c>
      <c r="G165" s="11" t="s">
        <v>2447</v>
      </c>
      <c r="H165" s="11" t="s">
        <v>2711</v>
      </c>
      <c r="I165" s="11"/>
      <c r="J165" s="11"/>
      <c r="K165" s="11"/>
    </row>
    <row r="166" spans="1:11" ht="26" x14ac:dyDescent="0.35">
      <c r="A166" s="11" t="s">
        <v>630</v>
      </c>
      <c r="B166" s="11" t="s">
        <v>713</v>
      </c>
      <c r="C166" s="11" t="s">
        <v>723</v>
      </c>
      <c r="D166" s="11" t="s">
        <v>2712</v>
      </c>
      <c r="E166" s="11" t="s">
        <v>726</v>
      </c>
      <c r="F166" s="11" t="s">
        <v>725</v>
      </c>
      <c r="G166" s="11" t="s">
        <v>2448</v>
      </c>
      <c r="H166" s="11" t="s">
        <v>2713</v>
      </c>
      <c r="I166" s="11"/>
      <c r="J166" s="11"/>
      <c r="K166" s="11"/>
    </row>
    <row r="167" spans="1:11" ht="26" x14ac:dyDescent="0.35">
      <c r="A167" s="11" t="s">
        <v>598</v>
      </c>
      <c r="B167" s="11" t="s">
        <v>727</v>
      </c>
      <c r="C167" s="11" t="s">
        <v>728</v>
      </c>
      <c r="D167" s="11" t="s">
        <v>2449</v>
      </c>
      <c r="E167" s="11" t="s">
        <v>731</v>
      </c>
      <c r="F167" s="11" t="s">
        <v>730</v>
      </c>
      <c r="G167" s="11" t="s">
        <v>2902</v>
      </c>
      <c r="H167" s="11" t="s">
        <v>2714</v>
      </c>
      <c r="I167" s="11"/>
      <c r="J167" s="11"/>
      <c r="K167" s="11"/>
    </row>
    <row r="168" spans="1:11" ht="26" x14ac:dyDescent="0.35">
      <c r="A168" s="11" t="s">
        <v>598</v>
      </c>
      <c r="B168" s="11" t="s">
        <v>727</v>
      </c>
      <c r="C168" s="11" t="s">
        <v>732</v>
      </c>
      <c r="D168" s="11" t="s">
        <v>618</v>
      </c>
      <c r="E168" s="11" t="s">
        <v>735</v>
      </c>
      <c r="F168" s="11" t="s">
        <v>734</v>
      </c>
      <c r="G168" s="11" t="s">
        <v>736</v>
      </c>
      <c r="H168" s="11" t="s">
        <v>805</v>
      </c>
      <c r="I168" s="11"/>
      <c r="J168" s="11"/>
      <c r="K168" s="11"/>
    </row>
    <row r="169" spans="1:11" ht="26" x14ac:dyDescent="0.35">
      <c r="A169" s="11" t="s">
        <v>598</v>
      </c>
      <c r="B169" s="11" t="s">
        <v>737</v>
      </c>
      <c r="C169" s="11" t="s">
        <v>738</v>
      </c>
      <c r="D169" s="11" t="s">
        <v>618</v>
      </c>
      <c r="E169" s="11" t="s">
        <v>741</v>
      </c>
      <c r="F169" s="11" t="s">
        <v>740</v>
      </c>
      <c r="G169" s="11" t="s">
        <v>742</v>
      </c>
      <c r="H169" s="11" t="s">
        <v>805</v>
      </c>
      <c r="I169" s="11"/>
      <c r="J169" s="11"/>
      <c r="K169" s="11"/>
    </row>
    <row r="170" spans="1:11" ht="26" x14ac:dyDescent="0.35">
      <c r="A170" s="11" t="s">
        <v>598</v>
      </c>
      <c r="B170" s="11" t="s">
        <v>737</v>
      </c>
      <c r="C170" s="11" t="s">
        <v>743</v>
      </c>
      <c r="D170" s="11" t="s">
        <v>618</v>
      </c>
      <c r="E170" s="11" t="s">
        <v>741</v>
      </c>
      <c r="F170" s="11" t="s">
        <v>745</v>
      </c>
      <c r="G170" s="11" t="s">
        <v>742</v>
      </c>
      <c r="H170" s="11" t="s">
        <v>805</v>
      </c>
      <c r="I170" s="11"/>
      <c r="J170" s="11"/>
      <c r="K170" s="11"/>
    </row>
    <row r="171" spans="1:11" ht="26" x14ac:dyDescent="0.35">
      <c r="A171" s="11" t="s">
        <v>598</v>
      </c>
      <c r="B171" s="11" t="s">
        <v>746</v>
      </c>
      <c r="C171" s="11" t="s">
        <v>747</v>
      </c>
      <c r="D171" s="11" t="s">
        <v>618</v>
      </c>
      <c r="E171" s="11" t="s">
        <v>726</v>
      </c>
      <c r="F171" s="11" t="s">
        <v>749</v>
      </c>
      <c r="G171" s="11" t="s">
        <v>750</v>
      </c>
      <c r="H171" s="11" t="s">
        <v>805</v>
      </c>
      <c r="I171" s="11"/>
      <c r="J171" s="11"/>
      <c r="K171" s="11"/>
    </row>
    <row r="172" spans="1:11" ht="26" x14ac:dyDescent="0.35">
      <c r="A172" s="11" t="s">
        <v>598</v>
      </c>
      <c r="B172" s="11" t="s">
        <v>751</v>
      </c>
      <c r="C172" s="11" t="s">
        <v>752</v>
      </c>
      <c r="D172" s="11" t="s">
        <v>618</v>
      </c>
      <c r="E172" s="11" t="s">
        <v>755</v>
      </c>
      <c r="F172" s="11" t="s">
        <v>754</v>
      </c>
      <c r="G172" s="11" t="s">
        <v>756</v>
      </c>
      <c r="H172" s="11" t="s">
        <v>805</v>
      </c>
      <c r="I172" s="11"/>
      <c r="J172" s="11"/>
      <c r="K172" s="11"/>
    </row>
    <row r="173" spans="1:11" ht="26" x14ac:dyDescent="0.35">
      <c r="A173" s="11" t="s">
        <v>598</v>
      </c>
      <c r="B173" s="11" t="s">
        <v>757</v>
      </c>
      <c r="C173" s="11" t="s">
        <v>758</v>
      </c>
      <c r="D173" s="11" t="s">
        <v>618</v>
      </c>
      <c r="E173" s="11" t="s">
        <v>761</v>
      </c>
      <c r="F173" s="11" t="s">
        <v>760</v>
      </c>
      <c r="G173" s="11" t="s">
        <v>762</v>
      </c>
      <c r="H173" s="11" t="s">
        <v>805</v>
      </c>
      <c r="I173" s="11"/>
      <c r="J173" s="11"/>
      <c r="K173" s="11"/>
    </row>
    <row r="174" spans="1:11" ht="39" x14ac:dyDescent="0.35">
      <c r="A174" s="11" t="s">
        <v>630</v>
      </c>
      <c r="B174" s="11" t="s">
        <v>763</v>
      </c>
      <c r="C174" s="11" t="s">
        <v>764</v>
      </c>
      <c r="D174" s="11" t="s">
        <v>618</v>
      </c>
      <c r="E174" s="11" t="s">
        <v>767</v>
      </c>
      <c r="F174" s="11" t="s">
        <v>766</v>
      </c>
      <c r="G174" s="11" t="s">
        <v>768</v>
      </c>
      <c r="H174" s="11" t="s">
        <v>805</v>
      </c>
      <c r="I174" s="11"/>
      <c r="J174" s="11"/>
      <c r="K174" s="11"/>
    </row>
    <row r="175" spans="1:11" ht="26" x14ac:dyDescent="0.35">
      <c r="A175" s="11" t="s">
        <v>598</v>
      </c>
      <c r="B175" s="11" t="s">
        <v>769</v>
      </c>
      <c r="C175" s="11" t="s">
        <v>770</v>
      </c>
      <c r="D175" s="11" t="s">
        <v>2715</v>
      </c>
      <c r="E175" s="11" t="s">
        <v>609</v>
      </c>
      <c r="F175" s="11" t="s">
        <v>772</v>
      </c>
      <c r="G175" s="11" t="s">
        <v>2716</v>
      </c>
      <c r="H175" s="11" t="s">
        <v>2717</v>
      </c>
      <c r="I175" s="11"/>
      <c r="J175" s="11"/>
      <c r="K175" s="11"/>
    </row>
    <row r="176" spans="1:11" ht="26" x14ac:dyDescent="0.35">
      <c r="A176" s="11" t="s">
        <v>598</v>
      </c>
      <c r="B176" s="11" t="s">
        <v>769</v>
      </c>
      <c r="C176" s="11" t="s">
        <v>774</v>
      </c>
      <c r="D176" s="11" t="s">
        <v>618</v>
      </c>
      <c r="E176" s="11" t="s">
        <v>777</v>
      </c>
      <c r="F176" s="11" t="s">
        <v>776</v>
      </c>
      <c r="G176" s="11" t="s">
        <v>778</v>
      </c>
      <c r="H176" s="11" t="s">
        <v>805</v>
      </c>
      <c r="I176" s="11"/>
      <c r="J176" s="11"/>
      <c r="K176" s="11"/>
    </row>
    <row r="177" spans="1:11" ht="26" x14ac:dyDescent="0.35">
      <c r="A177" s="11" t="s">
        <v>630</v>
      </c>
      <c r="B177" s="11" t="s">
        <v>769</v>
      </c>
      <c r="C177" s="11" t="s">
        <v>779</v>
      </c>
      <c r="D177" s="11" t="s">
        <v>618</v>
      </c>
      <c r="E177" s="11" t="s">
        <v>705</v>
      </c>
      <c r="F177" s="11" t="s">
        <v>781</v>
      </c>
      <c r="G177" s="11" t="s">
        <v>782</v>
      </c>
      <c r="H177" s="11" t="s">
        <v>805</v>
      </c>
      <c r="I177" s="11"/>
      <c r="J177" s="11"/>
      <c r="K177" s="11"/>
    </row>
    <row r="178" spans="1:11" x14ac:dyDescent="0.35">
      <c r="A178" s="11"/>
      <c r="B178" s="11"/>
      <c r="C178" s="11"/>
      <c r="D178" s="11"/>
      <c r="E178" s="11"/>
      <c r="F178" s="11"/>
      <c r="G178" s="11"/>
      <c r="H178" s="11"/>
      <c r="I178" s="11"/>
      <c r="J178" s="11"/>
      <c r="K178" s="11"/>
    </row>
    <row r="179" spans="1:11" x14ac:dyDescent="0.35">
      <c r="A179" s="11"/>
      <c r="B179" s="11"/>
      <c r="C179" s="11"/>
      <c r="D179" s="11"/>
      <c r="E179" s="11"/>
      <c r="F179" s="11"/>
      <c r="G179" s="11"/>
      <c r="H179" s="11"/>
      <c r="I179" s="11"/>
      <c r="J179" s="11"/>
      <c r="K179" s="11"/>
    </row>
    <row r="180" spans="1:11" x14ac:dyDescent="0.35">
      <c r="A180" s="11"/>
      <c r="B180" s="11"/>
      <c r="C180" s="11"/>
      <c r="D180" s="11"/>
      <c r="E180" s="11"/>
      <c r="F180" s="11"/>
      <c r="G180" s="11"/>
      <c r="H180" s="11"/>
      <c r="I180" s="11"/>
      <c r="J180" s="11"/>
      <c r="K180" s="11"/>
    </row>
    <row r="181" spans="1:11" x14ac:dyDescent="0.35">
      <c r="A181" s="11"/>
      <c r="B181" s="11"/>
      <c r="C181" s="11"/>
      <c r="D181" s="11"/>
      <c r="E181" s="11"/>
      <c r="F181" s="11"/>
      <c r="G181" s="11"/>
      <c r="H181" s="11"/>
      <c r="I181" s="11"/>
      <c r="J181" s="11"/>
      <c r="K181" s="11"/>
    </row>
    <row r="182" spans="1:11" x14ac:dyDescent="0.35">
      <c r="A182" s="11"/>
      <c r="B182" s="11"/>
      <c r="C182" s="11"/>
      <c r="D182" s="11"/>
      <c r="E182" s="11"/>
      <c r="F182" s="11"/>
      <c r="G182" s="11"/>
      <c r="H182" s="11"/>
      <c r="I182" s="11"/>
      <c r="J182" s="11"/>
      <c r="K182" s="11"/>
    </row>
    <row r="183" spans="1:11" x14ac:dyDescent="0.35">
      <c r="A183" s="11"/>
      <c r="B183" s="11"/>
      <c r="C183" s="11"/>
      <c r="D183" s="11"/>
      <c r="E183" s="11"/>
      <c r="F183" s="11"/>
      <c r="G183" s="11"/>
      <c r="H183" s="11"/>
      <c r="I183" s="11"/>
      <c r="J183" s="11"/>
      <c r="K183" s="11"/>
    </row>
    <row r="184" spans="1:11" x14ac:dyDescent="0.35">
      <c r="A184" s="11"/>
      <c r="B184" s="11"/>
      <c r="C184" s="11"/>
      <c r="D184" s="11"/>
      <c r="E184" s="11"/>
      <c r="F184" s="11"/>
      <c r="G184" s="11"/>
      <c r="H184" s="11"/>
      <c r="I184" s="11"/>
      <c r="J184" s="11"/>
      <c r="K184" s="11"/>
    </row>
    <row r="185" spans="1:11" x14ac:dyDescent="0.35">
      <c r="A185" s="11"/>
      <c r="B185" s="11"/>
      <c r="C185" s="11"/>
      <c r="D185" s="11"/>
      <c r="E185" s="11"/>
      <c r="F185" s="11"/>
      <c r="G185" s="11"/>
      <c r="H185" s="11"/>
      <c r="I185" s="11"/>
      <c r="J185" s="11"/>
      <c r="K185" s="11"/>
    </row>
    <row r="186" spans="1:11" x14ac:dyDescent="0.35">
      <c r="A186" s="11"/>
      <c r="B186" s="11"/>
      <c r="C186" s="11"/>
      <c r="D186" s="11"/>
      <c r="E186" s="11"/>
      <c r="F186" s="11"/>
      <c r="G186" s="11"/>
      <c r="H186" s="11"/>
      <c r="I186" s="11"/>
      <c r="J186" s="11"/>
      <c r="K186" s="11"/>
    </row>
    <row r="187" spans="1:11" x14ac:dyDescent="0.35">
      <c r="A187" s="11"/>
      <c r="B187" s="11"/>
      <c r="C187" s="11"/>
      <c r="D187" s="11"/>
      <c r="E187" s="11"/>
      <c r="F187" s="11"/>
      <c r="G187" s="11"/>
      <c r="H187" s="11"/>
      <c r="I187" s="11"/>
      <c r="J187" s="11"/>
      <c r="K187" s="11"/>
    </row>
    <row r="188" spans="1:11" x14ac:dyDescent="0.35">
      <c r="A188" s="11"/>
      <c r="B188" s="11"/>
      <c r="C188" s="11"/>
      <c r="D188" s="11"/>
      <c r="E188" s="11"/>
      <c r="F188" s="11"/>
      <c r="G188" s="11"/>
      <c r="H188" s="11"/>
      <c r="I188" s="11"/>
      <c r="J188" s="11"/>
      <c r="K188" s="11"/>
    </row>
    <row r="189" spans="1:11" x14ac:dyDescent="0.35">
      <c r="A189" s="11"/>
      <c r="B189" s="11"/>
      <c r="C189" s="11"/>
      <c r="D189" s="11"/>
      <c r="E189" s="11"/>
      <c r="F189" s="11"/>
      <c r="G189" s="11"/>
      <c r="H189" s="11"/>
      <c r="I189" s="11"/>
      <c r="J189" s="11"/>
      <c r="K189" s="11"/>
    </row>
    <row r="190" spans="1:11" x14ac:dyDescent="0.35">
      <c r="A190" s="11"/>
      <c r="B190" s="11"/>
      <c r="C190" s="11"/>
      <c r="D190" s="11"/>
      <c r="E190" s="11"/>
      <c r="F190" s="11"/>
      <c r="G190" s="11"/>
      <c r="H190" s="11"/>
      <c r="I190" s="11"/>
      <c r="J190" s="11"/>
      <c r="K190" s="11"/>
    </row>
    <row r="191" spans="1:11" x14ac:dyDescent="0.35">
      <c r="A191" s="11"/>
      <c r="B191" s="11"/>
      <c r="C191" s="11"/>
      <c r="D191" s="11"/>
      <c r="E191" s="11"/>
      <c r="F191" s="11"/>
      <c r="G191" s="11"/>
      <c r="H191" s="11"/>
      <c r="I191" s="11"/>
      <c r="J191" s="11"/>
      <c r="K191" s="11"/>
    </row>
    <row r="192" spans="1:11" x14ac:dyDescent="0.35">
      <c r="A192" s="11"/>
      <c r="B192" s="11"/>
      <c r="C192" s="11"/>
      <c r="D192" s="11"/>
      <c r="E192" s="11"/>
      <c r="F192" s="11"/>
      <c r="G192" s="11"/>
      <c r="H192" s="11"/>
      <c r="I192" s="11"/>
      <c r="J192" s="11"/>
      <c r="K192" s="11"/>
    </row>
    <row r="193" spans="1:11" x14ac:dyDescent="0.35">
      <c r="A193" s="11"/>
      <c r="B193" s="11"/>
      <c r="C193" s="11"/>
      <c r="D193" s="11"/>
      <c r="E193" s="11"/>
      <c r="F193" s="11"/>
      <c r="G193" s="11"/>
      <c r="H193" s="11"/>
      <c r="I193" s="11"/>
      <c r="J193" s="11"/>
      <c r="K193" s="11"/>
    </row>
    <row r="194" spans="1:11" x14ac:dyDescent="0.35">
      <c r="A194" s="11"/>
      <c r="B194" s="11"/>
      <c r="C194" s="11"/>
      <c r="D194" s="11"/>
      <c r="E194" s="11"/>
      <c r="F194" s="11"/>
      <c r="G194" s="11"/>
      <c r="H194" s="11"/>
      <c r="I194" s="11"/>
      <c r="J194" s="11"/>
      <c r="K194" s="11"/>
    </row>
    <row r="195" spans="1:11" x14ac:dyDescent="0.35">
      <c r="A195" s="11"/>
      <c r="B195" s="11"/>
      <c r="C195" s="11"/>
      <c r="D195" s="11"/>
      <c r="E195" s="11"/>
      <c r="F195" s="11"/>
      <c r="G195" s="11"/>
      <c r="H195" s="11"/>
      <c r="I195" s="11"/>
      <c r="J195" s="11"/>
      <c r="K195" s="11"/>
    </row>
    <row r="196" spans="1:11" x14ac:dyDescent="0.35">
      <c r="A196" s="11"/>
      <c r="B196" s="11"/>
      <c r="C196" s="11"/>
      <c r="D196" s="11"/>
      <c r="E196" s="11"/>
      <c r="F196" s="11"/>
      <c r="G196" s="11"/>
      <c r="H196" s="11"/>
      <c r="I196" s="11"/>
      <c r="J196" s="11"/>
      <c r="K196" s="11"/>
    </row>
    <row r="197" spans="1:11" x14ac:dyDescent="0.35">
      <c r="A197" s="11"/>
      <c r="B197" s="11"/>
      <c r="C197" s="11"/>
      <c r="D197" s="11"/>
      <c r="E197" s="11"/>
      <c r="F197" s="11"/>
      <c r="G197" s="11"/>
      <c r="H197" s="11"/>
      <c r="I197" s="11"/>
      <c r="J197" s="11"/>
      <c r="K197" s="11"/>
    </row>
    <row r="198" spans="1:11" x14ac:dyDescent="0.35">
      <c r="A198" s="11"/>
      <c r="B198" s="11"/>
      <c r="C198" s="11"/>
      <c r="D198" s="11"/>
      <c r="E198" s="11"/>
      <c r="F198" s="11"/>
      <c r="G198" s="11"/>
      <c r="H198" s="11"/>
      <c r="I198" s="11"/>
      <c r="J198" s="11"/>
      <c r="K198" s="11"/>
    </row>
    <row r="199" spans="1:11" x14ac:dyDescent="0.35">
      <c r="A199" s="11"/>
      <c r="B199" s="11"/>
      <c r="C199" s="11"/>
      <c r="D199" s="11"/>
      <c r="E199" s="11"/>
      <c r="F199" s="11"/>
      <c r="G199" s="11"/>
      <c r="H199" s="11"/>
      <c r="I199" s="11"/>
      <c r="J199" s="11"/>
      <c r="K199" s="11"/>
    </row>
    <row r="200" spans="1:11" x14ac:dyDescent="0.35">
      <c r="A200" s="11"/>
      <c r="B200" s="11"/>
      <c r="C200" s="11"/>
      <c r="D200" s="11"/>
      <c r="E200" s="11"/>
      <c r="F200" s="11"/>
      <c r="G200" s="11"/>
      <c r="H200" s="11"/>
      <c r="I200" s="11"/>
      <c r="J200" s="11"/>
      <c r="K200" s="11"/>
    </row>
    <row r="201" spans="1:11" x14ac:dyDescent="0.35">
      <c r="A201" s="11"/>
      <c r="B201" s="11"/>
      <c r="C201" s="11"/>
      <c r="D201" s="11"/>
      <c r="E201" s="11"/>
      <c r="F201" s="11"/>
      <c r="G201" s="11"/>
      <c r="H201" s="11"/>
      <c r="I201" s="11"/>
      <c r="J201" s="11"/>
      <c r="K201" s="11"/>
    </row>
    <row r="202" spans="1:11" x14ac:dyDescent="0.35">
      <c r="A202" s="11"/>
      <c r="B202" s="11"/>
      <c r="C202" s="11"/>
      <c r="D202" s="11"/>
      <c r="E202" s="11"/>
      <c r="F202" s="11"/>
      <c r="G202" s="11"/>
      <c r="H202" s="11"/>
      <c r="I202" s="11"/>
      <c r="J202" s="11"/>
      <c r="K202" s="11"/>
    </row>
    <row r="203" spans="1:11" x14ac:dyDescent="0.35">
      <c r="A203" s="11"/>
      <c r="B203" s="11"/>
      <c r="C203" s="11"/>
      <c r="D203" s="11"/>
      <c r="E203" s="11"/>
      <c r="F203" s="11"/>
      <c r="G203" s="11"/>
      <c r="H203" s="11"/>
      <c r="I203" s="11"/>
      <c r="J203" s="11"/>
      <c r="K203" s="11"/>
    </row>
    <row r="204" spans="1:11" x14ac:dyDescent="0.35">
      <c r="A204" s="11"/>
      <c r="B204" s="11"/>
      <c r="C204" s="11"/>
      <c r="D204" s="11"/>
      <c r="E204" s="11"/>
      <c r="F204" s="11"/>
      <c r="G204" s="11"/>
      <c r="H204" s="11"/>
      <c r="I204" s="11"/>
      <c r="J204" s="11"/>
      <c r="K204" s="11"/>
    </row>
    <row r="205" spans="1:11" x14ac:dyDescent="0.35">
      <c r="A205" s="11"/>
      <c r="B205" s="11"/>
      <c r="C205" s="11"/>
      <c r="D205" s="11"/>
      <c r="E205" s="11"/>
      <c r="F205" s="11"/>
      <c r="G205" s="11"/>
      <c r="H205" s="11"/>
      <c r="I205" s="11"/>
      <c r="J205" s="11"/>
      <c r="K205" s="11"/>
    </row>
    <row r="206" spans="1:11" x14ac:dyDescent="0.35">
      <c r="A206" s="11"/>
      <c r="B206" s="11"/>
      <c r="C206" s="11"/>
      <c r="D206" s="11"/>
      <c r="E206" s="11"/>
      <c r="F206" s="11"/>
      <c r="G206" s="11"/>
      <c r="H206" s="11"/>
      <c r="I206" s="11"/>
      <c r="J206" s="11"/>
      <c r="K206" s="11"/>
    </row>
    <row r="207" spans="1:11" x14ac:dyDescent="0.35">
      <c r="A207" s="11"/>
      <c r="B207" s="11"/>
      <c r="C207" s="11"/>
      <c r="D207" s="11"/>
      <c r="E207" s="11"/>
      <c r="F207" s="11"/>
      <c r="G207" s="11"/>
      <c r="H207" s="11"/>
      <c r="I207" s="11"/>
      <c r="J207" s="11"/>
      <c r="K207" s="11"/>
    </row>
    <row r="208" spans="1:11" x14ac:dyDescent="0.35">
      <c r="A208" s="11"/>
      <c r="B208" s="11"/>
      <c r="C208" s="11"/>
      <c r="D208" s="11"/>
      <c r="E208" s="11"/>
      <c r="F208" s="11"/>
      <c r="G208" s="11"/>
      <c r="H208" s="11"/>
      <c r="I208" s="11"/>
      <c r="J208" s="11"/>
      <c r="K208" s="11"/>
    </row>
    <row r="209" spans="1:11" x14ac:dyDescent="0.35">
      <c r="A209" s="11"/>
      <c r="B209" s="11"/>
      <c r="C209" s="11"/>
      <c r="D209" s="11"/>
      <c r="E209" s="11"/>
      <c r="F209" s="11"/>
      <c r="G209" s="11"/>
      <c r="H209" s="11"/>
      <c r="I209" s="11"/>
      <c r="J209" s="11"/>
      <c r="K209" s="11"/>
    </row>
    <row r="210" spans="1:11" x14ac:dyDescent="0.35">
      <c r="A210" s="11"/>
      <c r="B210" s="11"/>
      <c r="C210" s="11"/>
      <c r="D210" s="11"/>
      <c r="E210" s="11"/>
      <c r="F210" s="11"/>
      <c r="G210" s="11"/>
      <c r="H210" s="11"/>
      <c r="I210" s="11"/>
      <c r="J210" s="11"/>
      <c r="K210" s="11"/>
    </row>
    <row r="211" spans="1:11" x14ac:dyDescent="0.35">
      <c r="A211" s="11"/>
      <c r="B211" s="11"/>
      <c r="C211" s="11"/>
      <c r="D211" s="11"/>
      <c r="E211" s="11"/>
      <c r="F211" s="11"/>
      <c r="G211" s="11"/>
      <c r="H211" s="11"/>
      <c r="I211" s="11"/>
      <c r="J211" s="11"/>
      <c r="K211" s="11"/>
    </row>
    <row r="212" spans="1:11" x14ac:dyDescent="0.35">
      <c r="A212" s="11"/>
      <c r="B212" s="11"/>
      <c r="C212" s="11"/>
      <c r="D212" s="11"/>
      <c r="E212" s="11"/>
      <c r="F212" s="11"/>
      <c r="G212" s="11"/>
      <c r="H212" s="11"/>
      <c r="I212" s="11"/>
      <c r="J212" s="11"/>
      <c r="K212" s="11"/>
    </row>
    <row r="213" spans="1:11" x14ac:dyDescent="0.35">
      <c r="A213" s="11"/>
      <c r="B213" s="11"/>
      <c r="C213" s="11"/>
      <c r="D213" s="11"/>
      <c r="E213" s="11"/>
      <c r="F213" s="11"/>
      <c r="G213" s="11"/>
      <c r="H213" s="11"/>
      <c r="I213" s="11"/>
      <c r="J213" s="11"/>
      <c r="K213" s="11"/>
    </row>
    <row r="214" spans="1:11" x14ac:dyDescent="0.35">
      <c r="A214" s="11"/>
      <c r="B214" s="11"/>
      <c r="C214" s="11"/>
      <c r="D214" s="11"/>
      <c r="E214" s="11"/>
      <c r="F214" s="11"/>
      <c r="G214" s="11"/>
      <c r="H214" s="11"/>
      <c r="I214" s="11"/>
      <c r="J214" s="11"/>
      <c r="K214" s="11"/>
    </row>
    <row r="215" spans="1:11" x14ac:dyDescent="0.35">
      <c r="A215" s="11"/>
      <c r="B215" s="11"/>
      <c r="C215" s="11"/>
      <c r="D215" s="11"/>
      <c r="E215" s="11"/>
      <c r="F215" s="11"/>
      <c r="G215" s="11"/>
      <c r="H215" s="11"/>
      <c r="I215" s="11"/>
      <c r="J215" s="11"/>
      <c r="K215" s="11"/>
    </row>
    <row r="216" spans="1:11" x14ac:dyDescent="0.35">
      <c r="A216" s="11"/>
      <c r="B216" s="11"/>
      <c r="C216" s="11"/>
      <c r="D216" s="11"/>
      <c r="E216" s="11"/>
      <c r="F216" s="11"/>
      <c r="G216" s="11"/>
      <c r="H216" s="11"/>
      <c r="I216" s="11"/>
      <c r="J216" s="11"/>
      <c r="K216" s="11"/>
    </row>
    <row r="217" spans="1:11" x14ac:dyDescent="0.35">
      <c r="A217" s="11"/>
      <c r="B217" s="11"/>
      <c r="C217" s="11"/>
      <c r="D217" s="11"/>
      <c r="E217" s="11"/>
      <c r="F217" s="11"/>
      <c r="G217" s="11"/>
      <c r="H217" s="11"/>
      <c r="I217" s="11"/>
      <c r="J217" s="11"/>
      <c r="K217" s="11"/>
    </row>
    <row r="218" spans="1:11" x14ac:dyDescent="0.35">
      <c r="A218" s="11"/>
      <c r="B218" s="11"/>
      <c r="C218" s="11"/>
      <c r="D218" s="11"/>
      <c r="E218" s="11"/>
      <c r="F218" s="11"/>
      <c r="G218" s="11"/>
      <c r="H218" s="11"/>
      <c r="I218" s="11"/>
      <c r="J218" s="11"/>
      <c r="K218" s="11"/>
    </row>
    <row r="219" spans="1:11" x14ac:dyDescent="0.35">
      <c r="A219" s="11"/>
      <c r="B219" s="11"/>
      <c r="C219" s="11"/>
      <c r="D219" s="11"/>
      <c r="E219" s="11"/>
      <c r="F219" s="11"/>
      <c r="G219" s="11"/>
      <c r="H219" s="11"/>
      <c r="I219" s="11"/>
      <c r="J219" s="11"/>
      <c r="K219" s="11"/>
    </row>
    <row r="220" spans="1:11" x14ac:dyDescent="0.35">
      <c r="A220" s="11"/>
      <c r="B220" s="11"/>
      <c r="C220" s="11"/>
      <c r="D220" s="11"/>
      <c r="E220" s="11"/>
      <c r="F220" s="11"/>
      <c r="G220" s="11"/>
      <c r="H220" s="11"/>
      <c r="I220" s="11"/>
      <c r="J220" s="11"/>
      <c r="K220" s="11"/>
    </row>
    <row r="221" spans="1:11" x14ac:dyDescent="0.35">
      <c r="A221" s="11"/>
      <c r="B221" s="11"/>
      <c r="C221" s="11"/>
      <c r="D221" s="11"/>
      <c r="E221" s="11"/>
      <c r="F221" s="11"/>
      <c r="G221" s="11"/>
      <c r="H221" s="11"/>
      <c r="I221" s="11"/>
      <c r="J221" s="11"/>
      <c r="K221" s="11"/>
    </row>
    <row r="222" spans="1:11" x14ac:dyDescent="0.35">
      <c r="A222" s="11"/>
      <c r="B222" s="11"/>
      <c r="C222" s="11"/>
      <c r="D222" s="11"/>
      <c r="E222" s="11"/>
      <c r="F222" s="11"/>
      <c r="G222" s="11"/>
      <c r="H222" s="11"/>
      <c r="I222" s="11"/>
      <c r="J222" s="11"/>
      <c r="K222" s="11"/>
    </row>
    <row r="223" spans="1:11" x14ac:dyDescent="0.35">
      <c r="A223" s="11"/>
      <c r="B223" s="11"/>
      <c r="C223" s="11"/>
      <c r="D223" s="11"/>
      <c r="E223" s="11"/>
      <c r="F223" s="11"/>
      <c r="G223" s="11"/>
      <c r="H223" s="11"/>
      <c r="I223" s="11"/>
      <c r="J223" s="11"/>
      <c r="K223" s="11"/>
    </row>
    <row r="224" spans="1:11" x14ac:dyDescent="0.35">
      <c r="A224" s="11"/>
      <c r="B224" s="11"/>
      <c r="C224" s="11"/>
      <c r="D224" s="11"/>
      <c r="E224" s="11"/>
      <c r="F224" s="11"/>
      <c r="G224" s="11"/>
      <c r="H224" s="11"/>
      <c r="I224" s="11"/>
      <c r="J224" s="11"/>
      <c r="K224" s="11"/>
    </row>
    <row r="225" spans="1:11" x14ac:dyDescent="0.35">
      <c r="A225" s="11"/>
      <c r="B225" s="11"/>
      <c r="C225" s="11"/>
      <c r="D225" s="11"/>
      <c r="E225" s="11"/>
      <c r="F225" s="11"/>
      <c r="G225" s="11"/>
      <c r="H225" s="11"/>
      <c r="I225" s="11"/>
      <c r="J225" s="11"/>
      <c r="K225" s="11"/>
    </row>
    <row r="226" spans="1:11" x14ac:dyDescent="0.35">
      <c r="A226" s="11"/>
      <c r="B226" s="11"/>
      <c r="C226" s="11"/>
      <c r="D226" s="11"/>
      <c r="E226" s="11"/>
      <c r="F226" s="11"/>
      <c r="G226" s="11"/>
      <c r="H226" s="11"/>
      <c r="I226" s="11"/>
      <c r="J226" s="11"/>
      <c r="K226" s="11"/>
    </row>
    <row r="227" spans="1:11" x14ac:dyDescent="0.35">
      <c r="A227" s="11"/>
      <c r="B227" s="11"/>
      <c r="C227" s="11"/>
      <c r="D227" s="11"/>
      <c r="E227" s="11"/>
      <c r="F227" s="11"/>
      <c r="G227" s="11"/>
      <c r="H227" s="11"/>
      <c r="I227" s="11"/>
      <c r="J227" s="11"/>
      <c r="K227" s="11"/>
    </row>
    <row r="228" spans="1:11" x14ac:dyDescent="0.35">
      <c r="A228" s="11"/>
      <c r="B228" s="11"/>
      <c r="C228" s="11"/>
      <c r="D228" s="11"/>
      <c r="E228" s="11"/>
      <c r="F228" s="11"/>
      <c r="G228" s="11"/>
      <c r="H228" s="11"/>
      <c r="I228" s="11"/>
      <c r="J228" s="11"/>
      <c r="K228" s="11"/>
    </row>
    <row r="229" spans="1:11" x14ac:dyDescent="0.35">
      <c r="A229" s="11"/>
      <c r="B229" s="11"/>
      <c r="C229" s="11"/>
      <c r="D229" s="11"/>
      <c r="E229" s="11"/>
      <c r="F229" s="11"/>
      <c r="G229" s="11"/>
      <c r="H229" s="11"/>
      <c r="I229" s="11"/>
      <c r="J229" s="11"/>
      <c r="K229" s="11"/>
    </row>
    <row r="230" spans="1:11" x14ac:dyDescent="0.35">
      <c r="A230" s="11"/>
      <c r="B230" s="11"/>
      <c r="C230" s="11"/>
      <c r="D230" s="11"/>
      <c r="E230" s="11"/>
      <c r="F230" s="11"/>
      <c r="G230" s="11"/>
      <c r="H230" s="11"/>
      <c r="I230" s="11"/>
      <c r="J230" s="11"/>
      <c r="K230" s="11"/>
    </row>
    <row r="231" spans="1:11" x14ac:dyDescent="0.35">
      <c r="A231" s="11"/>
      <c r="B231" s="11"/>
      <c r="C231" s="11"/>
      <c r="D231" s="11"/>
      <c r="E231" s="11"/>
      <c r="F231" s="11"/>
      <c r="G231" s="11"/>
      <c r="H231" s="11"/>
      <c r="I231" s="11"/>
      <c r="J231" s="11"/>
      <c r="K231" s="11"/>
    </row>
    <row r="232" spans="1:11" x14ac:dyDescent="0.35">
      <c r="A232" s="11"/>
      <c r="B232" s="11"/>
      <c r="C232" s="11"/>
      <c r="D232" s="11"/>
      <c r="E232" s="11"/>
      <c r="F232" s="11"/>
      <c r="G232" s="11"/>
      <c r="H232" s="11"/>
      <c r="I232" s="11"/>
      <c r="J232" s="11"/>
      <c r="K232" s="11"/>
    </row>
    <row r="233" spans="1:11" x14ac:dyDescent="0.35">
      <c r="A233" s="11"/>
      <c r="B233" s="11"/>
      <c r="C233" s="11"/>
      <c r="D233" s="11"/>
      <c r="E233" s="11"/>
      <c r="F233" s="11"/>
      <c r="G233" s="11"/>
      <c r="H233" s="11"/>
      <c r="I233" s="11"/>
      <c r="J233" s="11"/>
      <c r="K233" s="11"/>
    </row>
    <row r="234" spans="1:11" x14ac:dyDescent="0.35">
      <c r="A234" s="11"/>
      <c r="B234" s="11"/>
      <c r="C234" s="11"/>
      <c r="D234" s="11"/>
      <c r="E234" s="11"/>
      <c r="F234" s="11"/>
      <c r="G234" s="11"/>
      <c r="H234" s="11"/>
      <c r="I234" s="11"/>
      <c r="J234" s="11"/>
      <c r="K234" s="11"/>
    </row>
    <row r="235" spans="1:11" x14ac:dyDescent="0.35">
      <c r="A235" s="11"/>
      <c r="B235" s="11"/>
      <c r="C235" s="11"/>
      <c r="D235" s="11"/>
      <c r="E235" s="11"/>
      <c r="F235" s="11"/>
      <c r="G235" s="11"/>
      <c r="H235" s="11"/>
      <c r="I235" s="11"/>
      <c r="J235" s="11"/>
      <c r="K235" s="11"/>
    </row>
    <row r="236" spans="1:11" x14ac:dyDescent="0.35">
      <c r="A236" s="11"/>
      <c r="B236" s="11"/>
      <c r="C236" s="11"/>
      <c r="D236" s="11"/>
      <c r="E236" s="11"/>
      <c r="F236" s="11"/>
      <c r="G236" s="11"/>
      <c r="H236" s="11"/>
      <c r="I236" s="11"/>
      <c r="J236" s="11"/>
      <c r="K236" s="11"/>
    </row>
    <row r="237" spans="1:11" x14ac:dyDescent="0.35">
      <c r="A237" s="11"/>
      <c r="B237" s="11"/>
      <c r="C237" s="11"/>
      <c r="D237" s="11"/>
      <c r="E237" s="11"/>
      <c r="F237" s="11"/>
      <c r="G237" s="11"/>
      <c r="H237" s="11"/>
      <c r="I237" s="11"/>
      <c r="J237" s="11"/>
      <c r="K237" s="11"/>
    </row>
    <row r="238" spans="1:11" x14ac:dyDescent="0.35">
      <c r="A238" s="11"/>
      <c r="B238" s="11"/>
      <c r="C238" s="11"/>
      <c r="D238" s="11"/>
      <c r="E238" s="11"/>
      <c r="F238" s="11"/>
      <c r="G238" s="11"/>
      <c r="H238" s="11"/>
      <c r="I238" s="11"/>
      <c r="J238" s="11"/>
      <c r="K238" s="11"/>
    </row>
    <row r="239" spans="1:11" x14ac:dyDescent="0.35">
      <c r="A239" s="11"/>
      <c r="B239" s="11"/>
      <c r="C239" s="11"/>
      <c r="D239" s="11"/>
      <c r="E239" s="11"/>
      <c r="F239" s="11"/>
      <c r="G239" s="11"/>
      <c r="H239" s="11"/>
      <c r="I239" s="11"/>
      <c r="J239" s="11"/>
      <c r="K239" s="11"/>
    </row>
    <row r="240" spans="1:11" x14ac:dyDescent="0.35">
      <c r="A240" s="11"/>
      <c r="B240" s="11"/>
      <c r="C240" s="11"/>
      <c r="D240" s="11"/>
      <c r="E240" s="11"/>
      <c r="F240" s="11"/>
      <c r="G240" s="11"/>
      <c r="H240" s="11"/>
      <c r="I240" s="11"/>
      <c r="J240" s="11"/>
      <c r="K240" s="11"/>
    </row>
    <row r="241" spans="1:11" x14ac:dyDescent="0.35">
      <c r="A241" s="11"/>
      <c r="B241" s="11"/>
      <c r="C241" s="11"/>
      <c r="D241" s="11"/>
      <c r="E241" s="11"/>
      <c r="F241" s="11"/>
      <c r="G241" s="11"/>
      <c r="H241" s="11"/>
      <c r="I241" s="11"/>
      <c r="J241" s="11"/>
      <c r="K241" s="11"/>
    </row>
    <row r="242" spans="1:11" x14ac:dyDescent="0.35">
      <c r="A242" s="11"/>
      <c r="B242" s="11"/>
      <c r="C242" s="11"/>
      <c r="D242" s="11"/>
      <c r="E242" s="11"/>
      <c r="F242" s="11"/>
      <c r="G242" s="11"/>
      <c r="H242" s="11"/>
      <c r="I242" s="11"/>
      <c r="J242" s="11"/>
      <c r="K242" s="11"/>
    </row>
    <row r="243" spans="1:11" x14ac:dyDescent="0.35">
      <c r="A243" s="11"/>
      <c r="B243" s="11"/>
      <c r="C243" s="11"/>
      <c r="D243" s="11"/>
      <c r="E243" s="11"/>
      <c r="F243" s="11"/>
      <c r="G243" s="11"/>
      <c r="H243" s="11"/>
      <c r="I243" s="11"/>
      <c r="J243" s="11"/>
      <c r="K243" s="11"/>
    </row>
    <row r="244" spans="1:11" x14ac:dyDescent="0.35">
      <c r="A244" s="11"/>
      <c r="B244" s="11"/>
      <c r="C244" s="11"/>
      <c r="D244" s="11"/>
      <c r="E244" s="11"/>
      <c r="F244" s="11"/>
      <c r="G244" s="11"/>
      <c r="H244" s="11"/>
      <c r="I244" s="11"/>
      <c r="J244" s="11"/>
      <c r="K244" s="11"/>
    </row>
    <row r="245" spans="1:11" x14ac:dyDescent="0.35">
      <c r="A245" s="11"/>
      <c r="B245" s="11"/>
      <c r="C245" s="11"/>
      <c r="D245" s="11"/>
      <c r="E245" s="11"/>
      <c r="F245" s="11"/>
      <c r="G245" s="11"/>
      <c r="H245" s="11"/>
      <c r="I245" s="11"/>
      <c r="J245" s="11"/>
      <c r="K245" s="11"/>
    </row>
    <row r="246" spans="1:11" x14ac:dyDescent="0.35">
      <c r="A246" s="11"/>
      <c r="B246" s="11"/>
      <c r="C246" s="11"/>
      <c r="D246" s="11"/>
      <c r="E246" s="11"/>
      <c r="F246" s="11"/>
      <c r="G246" s="11"/>
      <c r="H246" s="11"/>
      <c r="I246" s="11"/>
      <c r="J246" s="11"/>
      <c r="K246" s="11"/>
    </row>
    <row r="247" spans="1:11" x14ac:dyDescent="0.35">
      <c r="A247" s="11"/>
      <c r="B247" s="11"/>
      <c r="C247" s="11"/>
      <c r="D247" s="11"/>
      <c r="E247" s="11"/>
      <c r="F247" s="11"/>
      <c r="G247" s="11"/>
      <c r="H247" s="11"/>
      <c r="I247" s="11"/>
      <c r="J247" s="11"/>
      <c r="K247" s="11"/>
    </row>
    <row r="248" spans="1:11" x14ac:dyDescent="0.35">
      <c r="A248" s="11"/>
      <c r="B248" s="11"/>
      <c r="C248" s="11"/>
      <c r="D248" s="11"/>
      <c r="E248" s="11"/>
      <c r="F248" s="11"/>
      <c r="G248" s="11"/>
      <c r="H248" s="11"/>
      <c r="I248" s="11"/>
      <c r="J248" s="11"/>
      <c r="K248" s="11"/>
    </row>
    <row r="249" spans="1:11" x14ac:dyDescent="0.35">
      <c r="A249" s="11"/>
      <c r="B249" s="11"/>
      <c r="C249" s="11"/>
      <c r="D249" s="11"/>
      <c r="E249" s="11"/>
      <c r="F249" s="11"/>
      <c r="G249" s="11"/>
      <c r="H249" s="11"/>
      <c r="I249" s="11"/>
      <c r="J249" s="11"/>
      <c r="K249" s="11"/>
    </row>
    <row r="250" spans="1:11" x14ac:dyDescent="0.35">
      <c r="A250" s="11"/>
      <c r="B250" s="11"/>
      <c r="C250" s="11"/>
      <c r="D250" s="11"/>
      <c r="E250" s="11"/>
      <c r="F250" s="11"/>
      <c r="G250" s="11"/>
      <c r="H250" s="11"/>
      <c r="I250" s="11"/>
      <c r="J250" s="11"/>
      <c r="K250" s="11"/>
    </row>
    <row r="251" spans="1:11" x14ac:dyDescent="0.35">
      <c r="A251" s="11"/>
      <c r="B251" s="11"/>
      <c r="C251" s="11"/>
      <c r="D251" s="11"/>
      <c r="E251" s="11"/>
      <c r="F251" s="11"/>
      <c r="G251" s="11"/>
      <c r="H251" s="11"/>
      <c r="I251" s="11"/>
      <c r="J251" s="11"/>
      <c r="K251" s="11"/>
    </row>
    <row r="252" spans="1:11" x14ac:dyDescent="0.35">
      <c r="A252" s="11"/>
      <c r="B252" s="11"/>
      <c r="C252" s="11"/>
      <c r="D252" s="11"/>
      <c r="E252" s="11"/>
      <c r="F252" s="11"/>
      <c r="G252" s="11"/>
      <c r="H252" s="11"/>
      <c r="I252" s="11"/>
      <c r="J252" s="11"/>
      <c r="K252" s="11"/>
    </row>
    <row r="253" spans="1:11" x14ac:dyDescent="0.35">
      <c r="A253" s="11"/>
      <c r="B253" s="11"/>
      <c r="C253" s="11"/>
      <c r="D253" s="11"/>
      <c r="E253" s="11"/>
      <c r="F253" s="11"/>
      <c r="G253" s="11"/>
      <c r="H253" s="11"/>
      <c r="I253" s="11"/>
      <c r="J253" s="11"/>
      <c r="K253" s="11"/>
    </row>
    <row r="254" spans="1:11" x14ac:dyDescent="0.35">
      <c r="A254" s="11"/>
      <c r="B254" s="11"/>
      <c r="C254" s="11"/>
      <c r="D254" s="11"/>
      <c r="E254" s="11"/>
      <c r="F254" s="11"/>
      <c r="G254" s="11"/>
      <c r="H254" s="11"/>
      <c r="I254" s="11"/>
      <c r="J254" s="11"/>
      <c r="K254" s="11"/>
    </row>
    <row r="255" spans="1:11" x14ac:dyDescent="0.35">
      <c r="A255" s="11"/>
      <c r="B255" s="11"/>
      <c r="C255" s="11"/>
      <c r="D255" s="11"/>
      <c r="E255" s="11"/>
      <c r="F255" s="11"/>
      <c r="G255" s="11"/>
      <c r="H255" s="11"/>
      <c r="I255" s="11"/>
      <c r="J255" s="11"/>
      <c r="K255" s="11"/>
    </row>
    <row r="256" spans="1:11" x14ac:dyDescent="0.35">
      <c r="A256" s="11"/>
      <c r="B256" s="11"/>
      <c r="C256" s="11"/>
      <c r="D256" s="11"/>
      <c r="E256" s="11"/>
      <c r="F256" s="11"/>
      <c r="G256" s="11"/>
      <c r="H256" s="11"/>
      <c r="I256" s="11"/>
      <c r="J256" s="11"/>
      <c r="K256" s="11"/>
    </row>
    <row r="257" spans="1:11" x14ac:dyDescent="0.35">
      <c r="A257" s="11"/>
      <c r="B257" s="11"/>
      <c r="C257" s="11"/>
      <c r="D257" s="11"/>
      <c r="E257" s="11"/>
      <c r="F257" s="11"/>
      <c r="G257" s="11"/>
      <c r="H257" s="11"/>
      <c r="I257" s="11"/>
      <c r="J257" s="11"/>
      <c r="K257" s="11"/>
    </row>
    <row r="258" spans="1:11" x14ac:dyDescent="0.35">
      <c r="A258" s="11"/>
      <c r="B258" s="11"/>
      <c r="C258" s="11"/>
      <c r="D258" s="11"/>
      <c r="E258" s="11"/>
      <c r="F258" s="11"/>
      <c r="G258" s="11"/>
      <c r="H258" s="11"/>
      <c r="I258" s="11"/>
      <c r="J258" s="11"/>
      <c r="K258" s="11"/>
    </row>
    <row r="259" spans="1:11" x14ac:dyDescent="0.35">
      <c r="A259" s="11"/>
      <c r="B259" s="11"/>
      <c r="C259" s="11"/>
      <c r="D259" s="11"/>
      <c r="E259" s="11"/>
      <c r="F259" s="11"/>
      <c r="G259" s="11"/>
      <c r="H259" s="11"/>
      <c r="I259" s="11"/>
      <c r="J259" s="11"/>
      <c r="K259" s="11"/>
    </row>
    <row r="260" spans="1:11" x14ac:dyDescent="0.35">
      <c r="A260" s="11"/>
      <c r="B260" s="11"/>
      <c r="C260" s="11"/>
      <c r="D260" s="11"/>
      <c r="E260" s="11"/>
      <c r="F260" s="11"/>
      <c r="G260" s="11"/>
      <c r="H260" s="11"/>
      <c r="I260" s="11"/>
      <c r="J260" s="11"/>
      <c r="K260" s="11"/>
    </row>
    <row r="261" spans="1:11" x14ac:dyDescent="0.35">
      <c r="A261" s="11"/>
      <c r="B261" s="11"/>
      <c r="C261" s="11"/>
      <c r="D261" s="11"/>
      <c r="E261" s="11"/>
      <c r="F261" s="11"/>
      <c r="G261" s="11"/>
      <c r="H261" s="11"/>
      <c r="I261" s="11"/>
      <c r="J261" s="11"/>
      <c r="K261" s="11"/>
    </row>
    <row r="262" spans="1:11" x14ac:dyDescent="0.35">
      <c r="A262" s="11"/>
      <c r="B262" s="11"/>
      <c r="C262" s="11"/>
      <c r="D262" s="11"/>
      <c r="E262" s="11"/>
      <c r="F262" s="11"/>
      <c r="G262" s="11"/>
      <c r="H262" s="11"/>
      <c r="I262" s="11"/>
      <c r="J262" s="11"/>
      <c r="K262" s="11"/>
    </row>
    <row r="263" spans="1:11" x14ac:dyDescent="0.35">
      <c r="A263" s="11"/>
      <c r="B263" s="11"/>
      <c r="C263" s="11"/>
      <c r="D263" s="11"/>
      <c r="E263" s="11"/>
      <c r="F263" s="11"/>
      <c r="G263" s="11"/>
      <c r="H263" s="11"/>
      <c r="I263" s="11"/>
      <c r="J263" s="11"/>
      <c r="K263" s="11"/>
    </row>
    <row r="264" spans="1:11" x14ac:dyDescent="0.35">
      <c r="A264" s="11"/>
      <c r="B264" s="11"/>
      <c r="C264" s="11"/>
      <c r="D264" s="11"/>
      <c r="E264" s="11"/>
      <c r="F264" s="11"/>
      <c r="G264" s="11"/>
      <c r="H264" s="11"/>
      <c r="I264" s="11"/>
      <c r="J264" s="11"/>
      <c r="K264" s="11"/>
    </row>
    <row r="265" spans="1:11" x14ac:dyDescent="0.35">
      <c r="A265" s="11"/>
      <c r="B265" s="11"/>
      <c r="C265" s="11"/>
      <c r="D265" s="11"/>
      <c r="E265" s="11"/>
      <c r="F265" s="11"/>
      <c r="G265" s="11"/>
      <c r="H265" s="11"/>
      <c r="I265" s="11"/>
      <c r="J265" s="11"/>
      <c r="K265" s="11"/>
    </row>
    <row r="266" spans="1:11" x14ac:dyDescent="0.35">
      <c r="A266" s="11"/>
      <c r="B266" s="11"/>
      <c r="C266" s="11"/>
      <c r="D266" s="11"/>
      <c r="E266" s="11"/>
      <c r="F266" s="11"/>
      <c r="G266" s="11"/>
      <c r="H266" s="11"/>
      <c r="I266" s="11"/>
      <c r="J266" s="11"/>
      <c r="K266" s="11"/>
    </row>
    <row r="267" spans="1:11" x14ac:dyDescent="0.35">
      <c r="A267" s="11"/>
      <c r="B267" s="11"/>
      <c r="C267" s="11"/>
      <c r="D267" s="11"/>
      <c r="E267" s="11"/>
      <c r="F267" s="11"/>
      <c r="G267" s="11"/>
      <c r="H267" s="11"/>
      <c r="I267" s="11"/>
      <c r="J267" s="11"/>
      <c r="K267" s="11"/>
    </row>
    <row r="268" spans="1:11" x14ac:dyDescent="0.35">
      <c r="A268" s="11"/>
      <c r="B268" s="11"/>
      <c r="C268" s="11"/>
      <c r="D268" s="11"/>
      <c r="E268" s="11"/>
      <c r="F268" s="11"/>
      <c r="G268" s="11"/>
      <c r="H268" s="11"/>
      <c r="I268" s="11"/>
      <c r="J268" s="11"/>
      <c r="K268" s="11"/>
    </row>
    <row r="269" spans="1:11" x14ac:dyDescent="0.35">
      <c r="A269" s="11"/>
      <c r="B269" s="11"/>
      <c r="C269" s="11"/>
      <c r="D269" s="11"/>
      <c r="E269" s="11"/>
      <c r="F269" s="11"/>
      <c r="G269" s="11"/>
      <c r="H269" s="11"/>
      <c r="I269" s="11"/>
      <c r="J269" s="11"/>
      <c r="K269" s="11"/>
    </row>
    <row r="270" spans="1:11" x14ac:dyDescent="0.35">
      <c r="A270" s="11"/>
      <c r="B270" s="11"/>
      <c r="C270" s="11"/>
      <c r="D270" s="11"/>
      <c r="E270" s="11"/>
      <c r="F270" s="11"/>
      <c r="G270" s="11"/>
      <c r="H270" s="11"/>
      <c r="I270" s="11"/>
      <c r="J270" s="11"/>
      <c r="K270" s="11"/>
    </row>
    <row r="271" spans="1:11" x14ac:dyDescent="0.35">
      <c r="A271" s="11"/>
      <c r="B271" s="11"/>
      <c r="C271" s="11"/>
      <c r="D271" s="11"/>
      <c r="E271" s="11"/>
      <c r="F271" s="11"/>
      <c r="G271" s="11"/>
      <c r="H271" s="11"/>
      <c r="I271" s="11"/>
      <c r="J271" s="11"/>
      <c r="K271" s="11"/>
    </row>
    <row r="272" spans="1:11" x14ac:dyDescent="0.35">
      <c r="A272" s="11"/>
      <c r="B272" s="11"/>
      <c r="C272" s="11"/>
      <c r="D272" s="11"/>
      <c r="E272" s="11"/>
      <c r="F272" s="11"/>
      <c r="G272" s="11"/>
      <c r="H272" s="11"/>
      <c r="I272" s="11"/>
      <c r="J272" s="11"/>
      <c r="K272" s="11"/>
    </row>
    <row r="273" spans="1:11" x14ac:dyDescent="0.35">
      <c r="A273" s="11"/>
      <c r="B273" s="11"/>
      <c r="C273" s="11"/>
      <c r="D273" s="11"/>
      <c r="E273" s="11"/>
      <c r="F273" s="11"/>
      <c r="G273" s="11"/>
      <c r="H273" s="11"/>
      <c r="I273" s="11"/>
      <c r="J273" s="11"/>
      <c r="K273" s="11"/>
    </row>
    <row r="274" spans="1:11" x14ac:dyDescent="0.35">
      <c r="A274" s="11"/>
      <c r="B274" s="11"/>
      <c r="C274" s="11"/>
      <c r="D274" s="11"/>
      <c r="E274" s="11"/>
      <c r="F274" s="11"/>
      <c r="G274" s="11"/>
      <c r="H274" s="11"/>
      <c r="I274" s="11"/>
      <c r="J274" s="11"/>
      <c r="K274" s="11"/>
    </row>
    <row r="275" spans="1:11" x14ac:dyDescent="0.35">
      <c r="A275" s="11"/>
      <c r="B275" s="11"/>
      <c r="C275" s="11"/>
      <c r="D275" s="11"/>
      <c r="E275" s="11"/>
      <c r="F275" s="11"/>
      <c r="G275" s="11"/>
      <c r="H275" s="11"/>
      <c r="I275" s="11"/>
      <c r="J275" s="11"/>
      <c r="K275" s="11"/>
    </row>
    <row r="276" spans="1:11" x14ac:dyDescent="0.35">
      <c r="A276" s="11"/>
      <c r="B276" s="11"/>
      <c r="C276" s="11"/>
      <c r="D276" s="11"/>
      <c r="E276" s="11"/>
      <c r="F276" s="11"/>
      <c r="G276" s="11"/>
      <c r="H276" s="11"/>
      <c r="I276" s="11"/>
      <c r="J276" s="11"/>
      <c r="K276" s="11"/>
    </row>
    <row r="277" spans="1:11" x14ac:dyDescent="0.35">
      <c r="A277" s="11"/>
      <c r="B277" s="11"/>
      <c r="C277" s="11"/>
      <c r="D277" s="11"/>
      <c r="E277" s="11"/>
      <c r="F277" s="11"/>
      <c r="G277" s="11"/>
      <c r="H277" s="11"/>
      <c r="I277" s="11"/>
      <c r="J277" s="11"/>
      <c r="K277" s="11"/>
    </row>
    <row r="278" spans="1:11" x14ac:dyDescent="0.35">
      <c r="A278" s="11"/>
      <c r="B278" s="11"/>
      <c r="C278" s="11"/>
      <c r="D278" s="11"/>
      <c r="E278" s="11"/>
      <c r="F278" s="11"/>
      <c r="G278" s="11"/>
      <c r="H278" s="11"/>
      <c r="I278" s="11"/>
      <c r="J278" s="11"/>
      <c r="K278" s="11"/>
    </row>
    <row r="279" spans="1:11" x14ac:dyDescent="0.35">
      <c r="A279" s="11"/>
      <c r="B279" s="11"/>
      <c r="C279" s="11"/>
      <c r="D279" s="11"/>
      <c r="E279" s="11"/>
      <c r="F279" s="11"/>
      <c r="G279" s="11"/>
      <c r="H279" s="11"/>
      <c r="I279" s="11"/>
      <c r="J279" s="11"/>
      <c r="K279" s="11"/>
    </row>
    <row r="280" spans="1:11" x14ac:dyDescent="0.35">
      <c r="A280" s="11"/>
      <c r="B280" s="11"/>
      <c r="C280" s="11"/>
      <c r="D280" s="11"/>
      <c r="E280" s="11"/>
      <c r="F280" s="11"/>
      <c r="G280" s="11"/>
      <c r="H280" s="11"/>
      <c r="I280" s="11"/>
      <c r="J280" s="11"/>
      <c r="K280" s="11"/>
    </row>
    <row r="281" spans="1:11" x14ac:dyDescent="0.35">
      <c r="A281" s="11"/>
      <c r="B281" s="11"/>
      <c r="C281" s="11"/>
      <c r="D281" s="11"/>
      <c r="E281" s="11"/>
      <c r="F281" s="11"/>
      <c r="G281" s="11"/>
      <c r="H281" s="11"/>
      <c r="I281" s="11"/>
      <c r="J281" s="11"/>
      <c r="K281" s="11"/>
    </row>
    <row r="282" spans="1:11" x14ac:dyDescent="0.35">
      <c r="A282" s="11"/>
      <c r="B282" s="11"/>
      <c r="C282" s="11"/>
      <c r="D282" s="11"/>
      <c r="E282" s="11"/>
      <c r="F282" s="11"/>
      <c r="G282" s="11"/>
      <c r="H282" s="11"/>
      <c r="I282" s="11"/>
      <c r="J282" s="11"/>
      <c r="K282" s="11"/>
    </row>
    <row r="283" spans="1:11" x14ac:dyDescent="0.35">
      <c r="A283" s="11"/>
      <c r="B283" s="11"/>
      <c r="C283" s="11"/>
      <c r="D283" s="11"/>
      <c r="E283" s="11"/>
      <c r="F283" s="11"/>
      <c r="G283" s="11"/>
      <c r="H283" s="11"/>
      <c r="I283" s="11"/>
      <c r="J283" s="11"/>
      <c r="K283" s="11"/>
    </row>
    <row r="284" spans="1:11" x14ac:dyDescent="0.35">
      <c r="A284" s="11"/>
      <c r="B284" s="11"/>
      <c r="C284" s="11"/>
      <c r="D284" s="11"/>
      <c r="E284" s="11"/>
      <c r="F284" s="11"/>
      <c r="G284" s="11"/>
      <c r="H284" s="11"/>
      <c r="I284" s="11"/>
      <c r="J284" s="11"/>
      <c r="K284" s="11"/>
    </row>
    <row r="285" spans="1:11" x14ac:dyDescent="0.35">
      <c r="A285" s="11"/>
      <c r="B285" s="11"/>
      <c r="C285" s="11"/>
      <c r="D285" s="11"/>
      <c r="E285" s="11"/>
      <c r="F285" s="11"/>
      <c r="G285" s="11"/>
      <c r="H285" s="11"/>
      <c r="I285" s="11"/>
      <c r="J285" s="11"/>
      <c r="K285" s="11"/>
    </row>
    <row r="286" spans="1:11" x14ac:dyDescent="0.35">
      <c r="A286" s="11"/>
      <c r="B286" s="11"/>
      <c r="C286" s="11"/>
      <c r="D286" s="11"/>
      <c r="E286" s="11"/>
      <c r="F286" s="11"/>
      <c r="G286" s="11"/>
      <c r="H286" s="11"/>
      <c r="I286" s="11"/>
      <c r="J286" s="11"/>
      <c r="K286" s="11"/>
    </row>
    <row r="287" spans="1:11" x14ac:dyDescent="0.35">
      <c r="A287" s="11"/>
      <c r="B287" s="11"/>
      <c r="C287" s="11"/>
      <c r="D287" s="11"/>
      <c r="E287" s="11"/>
      <c r="F287" s="11"/>
      <c r="G287" s="11"/>
      <c r="H287" s="11"/>
      <c r="I287" s="11"/>
      <c r="J287" s="11"/>
      <c r="K287" s="11"/>
    </row>
    <row r="288" spans="1:11" x14ac:dyDescent="0.35">
      <c r="A288" s="11"/>
      <c r="B288" s="11"/>
      <c r="C288" s="11"/>
      <c r="D288" s="11"/>
      <c r="E288" s="11"/>
      <c r="F288" s="11"/>
      <c r="G288" s="11"/>
      <c r="H288" s="11"/>
      <c r="I288" s="11"/>
      <c r="J288" s="11"/>
      <c r="K288" s="11"/>
    </row>
    <row r="289" spans="1:11" x14ac:dyDescent="0.35">
      <c r="A289" s="11"/>
      <c r="B289" s="11"/>
      <c r="C289" s="11"/>
      <c r="D289" s="11"/>
      <c r="E289" s="11"/>
      <c r="F289" s="11"/>
      <c r="G289" s="11"/>
      <c r="H289" s="11"/>
      <c r="I289" s="11"/>
      <c r="J289" s="11"/>
      <c r="K289" s="11"/>
    </row>
    <row r="290" spans="1:11" x14ac:dyDescent="0.35">
      <c r="A290" s="11"/>
      <c r="B290" s="11"/>
      <c r="C290" s="11"/>
      <c r="D290" s="11"/>
      <c r="E290" s="11"/>
      <c r="F290" s="11"/>
      <c r="G290" s="11"/>
      <c r="H290" s="11"/>
      <c r="I290" s="11"/>
      <c r="J290" s="11"/>
      <c r="K290" s="11"/>
    </row>
    <row r="291" spans="1:11" x14ac:dyDescent="0.35">
      <c r="A291" s="11"/>
      <c r="B291" s="11"/>
      <c r="C291" s="11"/>
      <c r="D291" s="11"/>
      <c r="E291" s="11"/>
      <c r="F291" s="11"/>
      <c r="G291" s="11"/>
      <c r="H291" s="11"/>
      <c r="I291" s="11"/>
      <c r="J291" s="11"/>
      <c r="K291" s="11"/>
    </row>
    <row r="292" spans="1:11" x14ac:dyDescent="0.35">
      <c r="A292" s="11"/>
      <c r="B292" s="11"/>
      <c r="C292" s="11"/>
      <c r="D292" s="11"/>
      <c r="E292" s="11"/>
      <c r="F292" s="11"/>
      <c r="G292" s="11"/>
      <c r="H292" s="11"/>
      <c r="I292" s="11"/>
      <c r="J292" s="11"/>
      <c r="K292" s="11"/>
    </row>
    <row r="293" spans="1:11" x14ac:dyDescent="0.35">
      <c r="A293" s="11"/>
      <c r="B293" s="11"/>
      <c r="C293" s="11"/>
      <c r="D293" s="11"/>
      <c r="E293" s="11"/>
      <c r="F293" s="11"/>
      <c r="G293" s="11"/>
      <c r="H293" s="11"/>
      <c r="I293" s="11"/>
      <c r="J293" s="11"/>
      <c r="K293" s="11"/>
    </row>
    <row r="294" spans="1:11" x14ac:dyDescent="0.35">
      <c r="A294" s="11"/>
      <c r="B294" s="11"/>
      <c r="C294" s="11"/>
      <c r="D294" s="11"/>
      <c r="E294" s="11"/>
      <c r="F294" s="11"/>
      <c r="G294" s="11"/>
      <c r="H294" s="11"/>
      <c r="I294" s="11"/>
      <c r="J294" s="11"/>
      <c r="K294" s="11"/>
    </row>
    <row r="295" spans="1:11" x14ac:dyDescent="0.35">
      <c r="A295" s="11"/>
      <c r="B295" s="11"/>
      <c r="C295" s="11"/>
      <c r="D295" s="11"/>
      <c r="E295" s="11"/>
      <c r="F295" s="11"/>
      <c r="G295" s="11"/>
      <c r="H295" s="11"/>
      <c r="I295" s="11"/>
      <c r="J295" s="11"/>
      <c r="K295" s="11"/>
    </row>
    <row r="296" spans="1:11" x14ac:dyDescent="0.35">
      <c r="A296" s="11"/>
      <c r="B296" s="11"/>
      <c r="C296" s="11"/>
      <c r="D296" s="11"/>
      <c r="E296" s="11"/>
      <c r="F296" s="11"/>
      <c r="G296" s="11"/>
      <c r="H296" s="11"/>
      <c r="I296" s="11"/>
      <c r="J296" s="11"/>
      <c r="K296" s="11"/>
    </row>
    <row r="297" spans="1:11" x14ac:dyDescent="0.35">
      <c r="A297" s="11"/>
      <c r="B297" s="11"/>
      <c r="C297" s="11"/>
      <c r="D297" s="11"/>
      <c r="E297" s="11"/>
      <c r="F297" s="11"/>
      <c r="G297" s="11"/>
      <c r="H297" s="11"/>
      <c r="I297" s="11"/>
      <c r="J297" s="11"/>
      <c r="K297" s="11"/>
    </row>
    <row r="298" spans="1:11" x14ac:dyDescent="0.35">
      <c r="A298" s="11"/>
      <c r="B298" s="11"/>
      <c r="C298" s="11"/>
      <c r="D298" s="11"/>
      <c r="E298" s="11"/>
      <c r="F298" s="11"/>
      <c r="G298" s="11"/>
      <c r="H298" s="11"/>
      <c r="I298" s="11"/>
      <c r="J298" s="11"/>
      <c r="K298" s="11"/>
    </row>
    <row r="299" spans="1:11" x14ac:dyDescent="0.35">
      <c r="A299" s="11"/>
      <c r="B299" s="11"/>
      <c r="C299" s="11"/>
      <c r="D299" s="11"/>
      <c r="E299" s="11"/>
      <c r="F299" s="11"/>
      <c r="G299" s="11"/>
      <c r="H299" s="11"/>
      <c r="I299" s="11"/>
      <c r="J299" s="11"/>
      <c r="K299" s="11"/>
    </row>
    <row r="300" spans="1:11" x14ac:dyDescent="0.35">
      <c r="A300" s="11"/>
      <c r="B300" s="11"/>
      <c r="C300" s="11"/>
      <c r="D300" s="11"/>
      <c r="E300" s="11"/>
      <c r="F300" s="11"/>
      <c r="G300" s="11"/>
      <c r="H300" s="11"/>
      <c r="I300" s="11"/>
      <c r="J300" s="11"/>
      <c r="K300" s="11"/>
    </row>
    <row r="301" spans="1:11" x14ac:dyDescent="0.35">
      <c r="A301" s="11"/>
      <c r="B301" s="11"/>
      <c r="C301" s="11"/>
      <c r="D301" s="11"/>
      <c r="E301" s="11"/>
      <c r="F301" s="11"/>
      <c r="G301" s="11"/>
      <c r="H301" s="11"/>
      <c r="I301" s="11"/>
      <c r="J301" s="11"/>
      <c r="K301" s="11"/>
    </row>
    <row r="302" spans="1:11" x14ac:dyDescent="0.35">
      <c r="A302" s="11"/>
      <c r="B302" s="11"/>
      <c r="C302" s="11"/>
      <c r="D302" s="11"/>
      <c r="E302" s="11"/>
      <c r="F302" s="11"/>
      <c r="G302" s="11"/>
      <c r="H302" s="11"/>
      <c r="I302" s="11"/>
      <c r="J302" s="11"/>
      <c r="K302" s="11"/>
    </row>
    <row r="303" spans="1:11" x14ac:dyDescent="0.35">
      <c r="A303" s="11"/>
      <c r="B303" s="11"/>
      <c r="C303" s="11"/>
      <c r="D303" s="11"/>
      <c r="E303" s="11"/>
      <c r="F303" s="11"/>
      <c r="G303" s="11"/>
      <c r="H303" s="11"/>
      <c r="I303" s="11"/>
      <c r="J303" s="11"/>
      <c r="K303" s="11"/>
    </row>
    <row r="304" spans="1:11" x14ac:dyDescent="0.35">
      <c r="A304" s="11"/>
      <c r="B304" s="11"/>
      <c r="C304" s="11"/>
      <c r="D304" s="11"/>
      <c r="E304" s="11"/>
      <c r="F304" s="11"/>
      <c r="G304" s="11"/>
      <c r="H304" s="11"/>
      <c r="I304" s="11"/>
      <c r="J304" s="11"/>
      <c r="K304" s="11"/>
    </row>
    <row r="305" spans="1:11" x14ac:dyDescent="0.35">
      <c r="A305" s="11"/>
      <c r="B305" s="11"/>
      <c r="C305" s="11"/>
      <c r="D305" s="11"/>
      <c r="E305" s="11"/>
      <c r="F305" s="11"/>
      <c r="G305" s="11"/>
      <c r="H305" s="11"/>
      <c r="I305" s="11"/>
      <c r="J305" s="11"/>
      <c r="K305" s="11"/>
    </row>
    <row r="306" spans="1:11" x14ac:dyDescent="0.35">
      <c r="A306" s="11"/>
      <c r="B306" s="11"/>
      <c r="C306" s="11"/>
      <c r="D306" s="11"/>
      <c r="E306" s="11"/>
      <c r="F306" s="11"/>
      <c r="G306" s="11"/>
      <c r="H306" s="11"/>
      <c r="I306" s="11"/>
      <c r="J306" s="11"/>
      <c r="K306" s="11"/>
    </row>
    <row r="307" spans="1:11" x14ac:dyDescent="0.35">
      <c r="A307" s="11"/>
      <c r="B307" s="11"/>
      <c r="C307" s="11"/>
      <c r="D307" s="11"/>
      <c r="E307" s="11"/>
      <c r="F307" s="11"/>
      <c r="G307" s="11"/>
      <c r="H307" s="11"/>
      <c r="I307" s="11"/>
      <c r="J307" s="11"/>
      <c r="K307" s="11"/>
    </row>
    <row r="308" spans="1:11" x14ac:dyDescent="0.35">
      <c r="A308" s="11"/>
      <c r="B308" s="11"/>
      <c r="C308" s="11"/>
      <c r="D308" s="11"/>
      <c r="E308" s="11"/>
      <c r="F308" s="11"/>
      <c r="G308" s="11"/>
      <c r="H308" s="11"/>
      <c r="I308" s="11"/>
      <c r="J308" s="11"/>
      <c r="K308" s="11"/>
    </row>
    <row r="309" spans="1:11" x14ac:dyDescent="0.35">
      <c r="A309" s="11"/>
      <c r="B309" s="11"/>
      <c r="C309" s="11"/>
      <c r="D309" s="11"/>
      <c r="E309" s="11"/>
      <c r="F309" s="11"/>
      <c r="G309" s="11"/>
      <c r="H309" s="11"/>
      <c r="I309" s="11"/>
      <c r="J309" s="11"/>
      <c r="K309" s="11"/>
    </row>
    <row r="310" spans="1:11" x14ac:dyDescent="0.35">
      <c r="A310" s="11"/>
      <c r="B310" s="11"/>
      <c r="C310" s="11"/>
      <c r="D310" s="11"/>
      <c r="E310" s="11"/>
      <c r="F310" s="11"/>
      <c r="G310" s="11"/>
      <c r="H310" s="11"/>
      <c r="I310" s="11"/>
      <c r="J310" s="11"/>
      <c r="K310" s="11"/>
    </row>
    <row r="311" spans="1:11" x14ac:dyDescent="0.35">
      <c r="A311" s="11"/>
      <c r="B311" s="11"/>
      <c r="C311" s="11"/>
      <c r="D311" s="11"/>
      <c r="E311" s="11"/>
      <c r="F311" s="11"/>
      <c r="G311" s="11"/>
      <c r="H311" s="11"/>
      <c r="I311" s="11"/>
      <c r="J311" s="11"/>
      <c r="K311" s="11"/>
    </row>
    <row r="312" spans="1:11" x14ac:dyDescent="0.35">
      <c r="A312" s="11"/>
      <c r="B312" s="11"/>
      <c r="C312" s="11"/>
      <c r="D312" s="11"/>
      <c r="E312" s="11"/>
      <c r="F312" s="11"/>
      <c r="G312" s="11"/>
      <c r="H312" s="11"/>
      <c r="I312" s="11"/>
      <c r="J312" s="11"/>
      <c r="K312" s="11"/>
    </row>
    <row r="313" spans="1:11" x14ac:dyDescent="0.35">
      <c r="A313" s="11"/>
      <c r="B313" s="11"/>
      <c r="C313" s="11"/>
      <c r="D313" s="11"/>
      <c r="E313" s="11"/>
      <c r="F313" s="11"/>
      <c r="G313" s="11"/>
      <c r="H313" s="11"/>
      <c r="I313" s="11"/>
      <c r="J313" s="11"/>
      <c r="K313" s="11"/>
    </row>
    <row r="314" spans="1:11" x14ac:dyDescent="0.35">
      <c r="A314" s="11"/>
      <c r="B314" s="11"/>
      <c r="C314" s="11"/>
      <c r="D314" s="11"/>
      <c r="E314" s="11"/>
      <c r="F314" s="11"/>
      <c r="G314" s="11"/>
      <c r="H314" s="11"/>
      <c r="I314" s="11"/>
      <c r="J314" s="11"/>
      <c r="K314" s="11"/>
    </row>
    <row r="315" spans="1:11" x14ac:dyDescent="0.35">
      <c r="A315" s="11"/>
      <c r="B315" s="11"/>
      <c r="C315" s="11"/>
      <c r="D315" s="11"/>
      <c r="E315" s="11"/>
      <c r="F315" s="11"/>
      <c r="G315" s="11"/>
      <c r="H315" s="11"/>
      <c r="I315" s="11"/>
      <c r="J315" s="11"/>
      <c r="K315" s="11"/>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Products</vt:lpstr>
      <vt:lpstr>Website Content Guide</vt:lpstr>
      <vt:lpstr>Website Copy</vt:lpstr>
      <vt:lpstr>Website Gap Review</vt:lpstr>
      <vt:lpstr>Website Launch Controls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Mansour AL-Bareeki</dc:creator>
  <cp:lastModifiedBy>Mansour AL-Bareeki</cp:lastModifiedBy>
  <dcterms:created xsi:type="dcterms:W3CDTF">2026-08-23T17:24:09Z</dcterms:created>
  <dcterms:modified xsi:type="dcterms:W3CDTF">2026-08-23T21:30:04Z</dcterms:modified>
</cp:coreProperties>
</file>